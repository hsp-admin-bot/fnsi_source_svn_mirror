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AECBA5AE-435F-42B8-9E50-5CAFF28EBF1F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グループ" sheetId="7" state="veryHidden" r:id="rId1"/>
    <sheet name="パラメータ" sheetId="6" state="veryHidden" r:id="rId2"/>
    <sheet name="設定" sheetId="5" state="veryHidden" r:id="rId3"/>
    <sheet name="更新履歴_000" sheetId="8" state="veryHidden" r:id="rId4"/>
    <sheet name="更新履歴" sheetId="9" state="veryHidden" r:id="rId5"/>
    <sheet name="レイアウト" sheetId="4" r:id="rId6"/>
  </sheets>
  <definedNames>
    <definedName name="_xlnm.Print_Area" localSheetId="5">レイアウト!$A$1:$EQ$19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E8" i="4" l="1"/>
  <c r="DE9" i="4"/>
  <c r="DE10" i="4"/>
  <c r="DE11" i="4"/>
  <c r="DE12" i="4"/>
  <c r="DE13" i="4"/>
  <c r="DE14" i="4"/>
  <c r="DE15" i="4"/>
  <c r="DE16" i="4"/>
  <c r="CN8" i="4"/>
  <c r="CN9" i="4"/>
  <c r="CN10" i="4"/>
  <c r="CN11" i="4"/>
  <c r="CN12" i="4"/>
  <c r="CN13" i="4"/>
  <c r="CN14" i="4"/>
  <c r="CN15" i="4"/>
  <c r="CN16" i="4"/>
  <c r="DE7" i="4"/>
  <c r="CN7" i="4"/>
  <c r="CE7" i="4"/>
  <c r="CV8" i="4"/>
  <c r="CV9" i="4"/>
  <c r="CV10" i="4"/>
  <c r="CV11" i="4"/>
  <c r="CV12" i="4"/>
  <c r="CV13" i="4"/>
  <c r="CV14" i="4"/>
  <c r="CV15" i="4"/>
  <c r="CV16" i="4"/>
  <c r="CV7" i="4"/>
  <c r="CE8" i="4"/>
  <c r="CE9" i="4"/>
  <c r="CE10" i="4"/>
  <c r="CE11" i="4"/>
  <c r="CE12" i="4"/>
  <c r="CE13" i="4"/>
  <c r="CE14" i="4"/>
  <c r="CE15" i="4"/>
  <c r="CE16" i="4"/>
  <c r="BV7" i="4"/>
  <c r="BV8" i="4"/>
  <c r="BV9" i="4"/>
  <c r="BV10" i="4"/>
  <c r="BV11" i="4"/>
  <c r="BV12" i="4"/>
  <c r="BV13" i="4"/>
  <c r="BV14" i="4"/>
  <c r="BV15" i="4"/>
  <c r="BV16" i="4"/>
  <c r="BL7" i="4"/>
  <c r="BL8" i="4"/>
  <c r="BL9" i="4"/>
  <c r="BL10" i="4"/>
  <c r="BL11" i="4"/>
  <c r="BL12" i="4"/>
  <c r="BL13" i="4"/>
  <c r="BL14" i="4"/>
  <c r="BL15" i="4"/>
  <c r="BL16" i="4"/>
  <c r="EH19" i="4"/>
  <c r="EH18" i="4"/>
  <c r="DY18" i="4" l="1"/>
</calcChain>
</file>

<file path=xl/sharedStrings.xml><?xml version="1.0" encoding="utf-8"?>
<sst xmlns="http://schemas.openxmlformats.org/spreadsheetml/2006/main" count="1215" uniqueCount="326">
  <si>
    <t>GroupPath</t>
  </si>
  <si>
    <t>DataCategory</t>
  </si>
  <si>
    <t>DataClass</t>
  </si>
  <si>
    <t>GroupName</t>
  </si>
  <si>
    <t>IsNewPage</t>
  </si>
  <si>
    <t>FilterData</t>
  </si>
  <si>
    <t>FilterType</t>
  </si>
  <si>
    <t>RepeatCount</t>
  </si>
  <si>
    <t>IsInTemplete</t>
  </si>
  <si>
    <t>DataPath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</si>
  <si>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</si>
  <si>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</si>
  <si>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</si>
  <si>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</si>
  <si>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</si>
  <si>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</si>
  <si>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</si>
  <si>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</si>
  <si>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</si>
  <si>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</si>
  <si>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</si>
  <si>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LabelItem</t>
  </si>
  <si>
    <t>CellAddress</t>
  </si>
  <si>
    <t>FilterState</t>
  </si>
  <si>
    <t>ParticularInfo</t>
  </si>
  <si>
    <t>IsCalcResult</t>
  </si>
  <si>
    <t>IsImage</t>
  </si>
  <si>
    <t>RowCount</t>
  </si>
  <si>
    <t>##印刷情報.検索条件.治療日</t>
  </si>
  <si>
    <t>印刷情報</t>
  </si>
  <si>
    <t>検索条件</t>
  </si>
  <si>
    <t>治療日</t>
  </si>
  <si>
    <t/>
  </si>
  <si>
    <t>treatDate</t>
  </si>
  <si>
    <t>DateTime</t>
  </si>
  <si>
    <t>2011/06/03</t>
  </si>
  <si>
    <t>yyyy/mm/dd</t>
  </si>
  <si>
    <t>False</t>
  </si>
  <si>
    <t>Z2:BP2</t>
  </si>
  <si>
    <t>外</t>
  </si>
  <si>
    <t>##印刷情報.検索条件.クール名</t>
  </si>
  <si>
    <t>クール名</t>
  </si>
  <si>
    <t>kurNames</t>
  </si>
  <si>
    <t>string</t>
  </si>
  <si>
    <t>午前</t>
  </si>
  <si>
    <t>G/標準</t>
  </si>
  <si>
    <t>33</t>
  </si>
  <si>
    <t>DQ2:EE2</t>
  </si>
  <si>
    <t>1</t>
  </si>
  <si>
    <t>##スケジュール表.スケジュール情報.確定実績数(入院)</t>
  </si>
  <si>
    <t>スケジュール表</t>
  </si>
  <si>
    <t>スケジュール情報</t>
  </si>
  <si>
    <t>確定実績数(入院)</t>
  </si>
  <si>
    <t>240</t>
  </si>
  <si>
    <t>confirmed_inpatient_count</t>
  </si>
  <si>
    <t>0</t>
  </si>
  <si>
    <t>10</t>
  </si>
  <si>
    <t>J4:U4</t>
  </si>
  <si>
    <t>##スケジュール表.スケジュール情報.確定実績数(外来)</t>
  </si>
  <si>
    <t>確定実績数(外来)</t>
  </si>
  <si>
    <t>confirmed_ambulatory_count</t>
  </si>
  <si>
    <t>8</t>
  </si>
  <si>
    <t>AI4:AT4</t>
  </si>
  <si>
    <t>##スケジュール表.スケジュール情報.確定実績数(総数)</t>
  </si>
  <si>
    <t>確定実績数(総数)</t>
  </si>
  <si>
    <t>total_confirmed_count</t>
  </si>
  <si>
    <t>BG4:BT4</t>
  </si>
  <si>
    <t>##印刷情報.共通情報.単位ページ番号</t>
  </si>
  <si>
    <t>共通情報</t>
  </si>
  <si>
    <t>単位ページ番号</t>
  </si>
  <si>
    <t>currentPage</t>
  </si>
  <si>
    <t>13</t>
  </si>
  <si>
    <t>EE4</t>
  </si>
  <si>
    <t>##実績.実績情報.ベッド名</t>
  </si>
  <si>
    <t>実績</t>
  </si>
  <si>
    <t>実績情報</t>
  </si>
  <si>
    <t>ベッド名</t>
  </si>
  <si>
    <t>7</t>
  </si>
  <si>
    <t>rst_bed_name</t>
  </si>
  <si>
    <t>テストベッド</t>
  </si>
  <si>
    <t>B7:M7</t>
  </si>
  <si>
    <t>内</t>
  </si>
  <si>
    <t>##患者情報.本人情報.患者名</t>
  </si>
  <si>
    <t>患者情報</t>
  </si>
  <si>
    <t>本人情報</t>
  </si>
  <si>
    <t>患者名</t>
  </si>
  <si>
    <t>pat_name</t>
  </si>
  <si>
    <t>日機装　太郎</t>
  </si>
  <si>
    <t>N7:AE7</t>
  </si>
  <si>
    <t>##実績.実績情報.治療方法名</t>
  </si>
  <si>
    <t>治療方法名</t>
  </si>
  <si>
    <t>rst_treatment_name</t>
  </si>
  <si>
    <t>テスト治療方法</t>
  </si>
  <si>
    <t>AF7:AM7</t>
  </si>
  <si>
    <t>##実績.実績情報.透析開始日時</t>
  </si>
  <si>
    <t>透析開始日時</t>
  </si>
  <si>
    <t>2</t>
  </si>
  <si>
    <t>rst_start_date</t>
  </si>
  <si>
    <t>17:25</t>
  </si>
  <si>
    <t>hh:mm</t>
  </si>
  <si>
    <t>AN7:AU7</t>
  </si>
  <si>
    <t>##実績.実績情報.透析終了日時</t>
  </si>
  <si>
    <t>透析終了日時</t>
  </si>
  <si>
    <t>rst_end_date</t>
  </si>
  <si>
    <t>17:12</t>
  </si>
  <si>
    <t>AV7:BC7</t>
  </si>
  <si>
    <t>##実績.実績情報.透析時間</t>
  </si>
  <si>
    <t>透析時間</t>
  </si>
  <si>
    <t>rst_date</t>
  </si>
  <si>
    <t>17:14</t>
  </si>
  <si>
    <t>BD7:BK7</t>
  </si>
  <si>
    <t>##実績.透析条件.DW</t>
  </si>
  <si>
    <t>透析条件</t>
  </si>
  <si>
    <t>DW</t>
  </si>
  <si>
    <t>95</t>
  </si>
  <si>
    <t>dw</t>
  </si>
  <si>
    <t>decimal</t>
  </si>
  <si>
    <t>55.00</t>
  </si>
  <si>
    <t>0.00</t>
  </si>
  <si>
    <t>BU7</t>
  </si>
  <si>
    <t>##実績.体重情報（過去実績）.後体重(前回)</t>
  </si>
  <si>
    <t>体重情報（過去実績）</t>
  </si>
  <si>
    <t>後体重(前回)</t>
  </si>
  <si>
    <t>12</t>
  </si>
  <si>
    <t>last_weight_after</t>
  </si>
  <si>
    <t>56.78</t>
  </si>
  <si>
    <t>CD7</t>
  </si>
  <si>
    <t>##実績.体重情報.前体重</t>
  </si>
  <si>
    <t>体重情報</t>
  </si>
  <si>
    <t>前体重</t>
  </si>
  <si>
    <t>3</t>
  </si>
  <si>
    <t>weight_before</t>
  </si>
  <si>
    <t>57.90</t>
  </si>
  <si>
    <t>CM7</t>
  </si>
  <si>
    <t>##実績.体重情報.後体重</t>
  </si>
  <si>
    <t>後体重</t>
  </si>
  <si>
    <t>weight_after</t>
  </si>
  <si>
    <t>55.05</t>
  </si>
  <si>
    <t>0.00"kg"</t>
  </si>
  <si>
    <t>DD7</t>
  </si>
  <si>
    <t>##実績.透析条件.ダイアライザ</t>
  </si>
  <si>
    <t>ダイアライザ</t>
  </si>
  <si>
    <t>dialyzer_name</t>
  </si>
  <si>
    <t>FDX-120GW</t>
  </si>
  <si>
    <t>DM7:DV7</t>
  </si>
  <si>
    <t>##実績.透析条件.抗凝固剤</t>
  </si>
  <si>
    <t>抗凝固剤</t>
  </si>
  <si>
    <t>anti_coagulant_name</t>
  </si>
  <si>
    <t>テスト抗凝固剤</t>
  </si>
  <si>
    <t>DW7:ED7</t>
  </si>
  <si>
    <t>##施設.施設情報.施設名</t>
  </si>
  <si>
    <t>施設</t>
  </si>
  <si>
    <t>施設情報</t>
  </si>
  <si>
    <t>施設名</t>
  </si>
  <si>
    <t>300</t>
  </si>
  <si>
    <t>facility_name</t>
  </si>
  <si>
    <t>大塚医院</t>
  </si>
  <si>
    <t>86</t>
  </si>
  <si>
    <t>B18:DL18</t>
  </si>
  <si>
    <t>##印刷情報.共通情報.印刷日時</t>
  </si>
  <si>
    <t>印刷日時</t>
  </si>
  <si>
    <t>prt_dt</t>
  </si>
  <si>
    <t>2025/06/19</t>
  </si>
  <si>
    <t>EG18</t>
  </si>
  <si>
    <t>MultiPatient</t>
  </si>
  <si>
    <t>B7:DZ7</t>
  </si>
  <si>
    <t>Z</t>
  </si>
  <si>
    <t>B7:EE7</t>
  </si>
  <si>
    <t>134</t>
  </si>
  <si>
    <t>N</t>
  </si>
  <si>
    <t>Dialysis</t>
  </si>
  <si>
    <t>確認テスト</t>
  </si>
  <si>
    <t>11/09/14 19:33:14</t>
  </si>
  <si>
    <t>テンプレート設定</t>
  </si>
  <si>
    <t xml:space="preserve">設定：無効 ⇒ 有効_x000D_
範囲：未設定 ⇒ B7:DZ7_x000D_
右移動量：0 ⇒ 129_x000D_
右移動回数：0 ⇒ 1_x000D_
下移動量：0 ⇒ 1_x000D_
下移動回数：0 ⇒ 10_x000D_
繰り返し方向：未設定 ⇒ N型_x000D_
</t>
  </si>
  <si>
    <t>11/09/14 19:33:18</t>
  </si>
  <si>
    <t>帳票モード</t>
  </si>
  <si>
    <t>モード：単純モード ⇒ 透析日モード</t>
  </si>
  <si>
    <t>120386</t>
  </si>
  <si>
    <t>2024/11/20 11:06:38</t>
  </si>
  <si>
    <t>帳票設定</t>
  </si>
  <si>
    <t xml:space="preserve">有り_x000D_
</t>
  </si>
  <si>
    <t>2024/11/20 11:13:36</t>
  </si>
  <si>
    <t xml:space="preserve">設定:無効 ⇒ 有効_x000D_
範囲:未設定 ⇒ B7:DZ7_x000D_
縦回数:1 ⇒ 10_x000D_
改頁しない_x000D_
</t>
  </si>
  <si>
    <t xml:space="preserve">新規追加_x000D_
改頁しない_x000D_
プレビューデータ:2011/06/03_x000D_
書式:yyyy/mm/dd_x000D_
縮小しない_x000D_
テンプレート内外:外_x000D_
</t>
  </si>
  <si>
    <t>DL2:DX2</t>
  </si>
  <si>
    <t xml:space="preserve">新規追加_x000D_
表示文字数:12_x000D_
改頁しない_x000D_
プレビューデータ:午前_x000D_
書式:G/標準_x000D_
縮小しない_x000D_
テンプレート内外:外_x000D_
</t>
  </si>
  <si>
    <t xml:space="preserve">新規追加_x000D_
改頁しない_x000D_
プレビューデータ:テストベッド_x000D_
書式:G/標準_x000D_
縮小しない_x000D_
テンプレート内外:内_x000D_
</t>
  </si>
  <si>
    <t xml:space="preserve">新規追加_x000D_
改頁しない_x000D_
プレビューデータ:日機装　太郎_x000D_
書式:G/標準_x000D_
縮小しない_x000D_
テンプレート内外:内_x000D_
</t>
  </si>
  <si>
    <t xml:space="preserve">新規追加_x000D_
改頁しない_x000D_
プレビューデータ:テスト治療方法_x000D_
書式:G/標準_x000D_
縮小しない_x000D_
テンプレート内外:内_x000D_
</t>
  </si>
  <si>
    <t xml:space="preserve">新規追加_x000D_
改頁しない_x000D_
プレビューデータ:2011/3/12  08:21_x000D_
書式:hh:mm_x000D_
縮小しない_x000D_
テンプレート内外:内_x000D_
</t>
  </si>
  <si>
    <t xml:space="preserve">新規追加_x000D_
改頁しない_x000D_
プレビューデータ:2011/3/12  12:45_x000D_
書式:hh:mm_x000D_
縮小しない_x000D_
テンプレート内外:内_x000D_
</t>
  </si>
  <si>
    <t xml:space="preserve">新規追加_x000D_
改頁しない_x000D_
プレビューデータ:12:45_x000D_
書式:hh:mm_x000D_
縮小しない_x000D_
テンプレート内外:内_x000D_
</t>
  </si>
  <si>
    <t>##実績.実績情報.DW</t>
  </si>
  <si>
    <t>BL7:BS7</t>
  </si>
  <si>
    <t xml:space="preserve">新規追加_x000D_
改頁しない_x000D_
プレビューデータ:55.00_x000D_
書式:0.00_x000D_
縮小しない_x000D_
テンプレート内外:内_x000D_
</t>
  </si>
  <si>
    <t>BT7:CA7</t>
  </si>
  <si>
    <t xml:space="preserve">新規追加_x000D_
改頁しない_x000D_
プレビューデータ:56.78_x000D_
書式:0.00_x000D_
縮小しない_x000D_
テンプレート内外:内_x000D_
</t>
  </si>
  <si>
    <t>CB7:CI7</t>
  </si>
  <si>
    <t xml:space="preserve">新規追加_x000D_
改頁しない_x000D_
プレビューデータ:57.90_x000D_
書式:0.00_x000D_
縮小しない_x000D_
テンプレート内外:内_x000D_
</t>
  </si>
  <si>
    <t>CR7:CY7</t>
  </si>
  <si>
    <t xml:space="preserve">新規追加_x000D_
改頁しない_x000D_
プレビューデータ:55.05_x000D_
書式:0.00_x000D_
縮小しない_x000D_
テンプレート内外:内_x000D_
</t>
  </si>
  <si>
    <t>DH7:DQ7</t>
  </si>
  <si>
    <t xml:space="preserve">新規追加_x000D_
改頁しない_x000D_
プレビューデータ:FDX-120GW_x000D_
書式:G/標準_x000D_
縮小しない_x000D_
テンプレート内外:内_x000D_
</t>
  </si>
  <si>
    <t>DR7:DY7</t>
  </si>
  <si>
    <t xml:space="preserve">新規追加_x000D_
改頁しない_x000D_
プレビューデータ:テスト抗凝固剤_x000D_
書式:G/標準_x000D_
縮小しない_x000D_
テンプレート内外:内_x000D_
</t>
  </si>
  <si>
    <t>2024/11/20 11:13:37</t>
  </si>
  <si>
    <t>集計設定</t>
  </si>
  <si>
    <t xml:space="preserve">縦の合計: ⇒ 0_x000D_
横の合計: ⇒ 0_x000D_
</t>
  </si>
  <si>
    <t>2025/03/19 10:51:39</t>
  </si>
  <si>
    <t xml:space="preserve">新規追加_x000D_
表示文字数:10_x000D_
改頁しない_x000D_
プレビューデータ:0_x000D_
書式:G/標準_x000D_
縮小しない_x000D_
テンプレート内外:外_x000D_
</t>
  </si>
  <si>
    <t xml:space="preserve">新規追加_x000D_
表示文字数:8_x000D_
改頁しない_x000D_
プレビューデータ:0_x000D_
書式:G/標準_x000D_
縮小しない_x000D_
テンプレート内外:外_x000D_
</t>
  </si>
  <si>
    <t>BG4:BS4</t>
  </si>
  <si>
    <t xml:space="preserve">新規追加_x000D_
表示文字数:11_x000D_
改頁しない_x000D_
プレビューデータ:0_x000D_
書式:G/標準_x000D_
縮小しない_x000D_
テンプレート内外:外_x000D_
</t>
  </si>
  <si>
    <t>2025/03/19 13:02:00</t>
  </si>
  <si>
    <t xml:space="preserve">設定変更_x000D_
書式:0.00 ⇒ G/標準"Kg"_x000D_
</t>
  </si>
  <si>
    <t>##印刷情報.共通情報.印刷日時0313</t>
  </si>
  <si>
    <t>DY18</t>
  </si>
  <si>
    <t xml:space="preserve">新規追加_x000D_
改頁しない_x000D_
プレビューデータ:2025/03/19_x000D_
書式:yyyy/mm/dd_x000D_
縮小しない_x000D_
テンプレート内外:外_x000D_
</t>
  </si>
  <si>
    <t>2025/03/19 13:04:50</t>
  </si>
  <si>
    <t>DL2:DY2</t>
  </si>
  <si>
    <t xml:space="preserve">新規追加_x000D_
表示文字数:25_x000D_
改頁しない_x000D_
プレビューデータ:午前_x000D_
書式:G/標準_x000D_
縮小しない_x000D_
テンプレート内外:外_x000D_
</t>
  </si>
  <si>
    <t>DT18:DY18</t>
  </si>
  <si>
    <t xml:space="preserve">新規追加_x000D_
改頁しない_x000D_
プレビューデータ:19/04/25_x000D_
書式:dd/mm/yy_x000D_
縮小しない_x000D_
テンプレート内外:外_x000D_
</t>
  </si>
  <si>
    <t>削除</t>
  </si>
  <si>
    <t>2025/03/19 13:06:35</t>
  </si>
  <si>
    <t xml:space="preserve">設定変更_x000D_
プレビューデータ:19/04/25 ⇒ 25/06/19/水_x000D_
書式:dd/mm/yy ⇒ yy/mm/dd/ddd_x000D_
</t>
  </si>
  <si>
    <t>2025/03/19 13:20:15</t>
  </si>
  <si>
    <t>DZ4</t>
  </si>
  <si>
    <t xml:space="preserve">新規追加_x000D_
表示文字数:13_x000D_
改頁しない_x000D_
プレビューデータ:1_x000D_
書式:G/標準_x000D_
縮小しない_x000D_
テンプレート内外:外_x000D_
</t>
  </si>
  <si>
    <t xml:space="preserve">設定変更_x000D_
プレビューデータ:25/06/19/水 ⇒ 25/08/19/水_x000D_
</t>
  </si>
  <si>
    <t>2025/03/19 13:26:54</t>
  </si>
  <si>
    <t>DL2:DZ2</t>
  </si>
  <si>
    <t xml:space="preserve">新規追加_x000D_
表示文字数:29_x000D_
改頁しない_x000D_
プレビューデータ:午前_x000D_
書式:G/標準_x000D_
縮小しない_x000D_
テンプレート内外:外_x000D_
</t>
  </si>
  <si>
    <t>2025/03/19 13:34:31</t>
  </si>
  <si>
    <t>##実績.体重情報.DW</t>
  </si>
  <si>
    <t xml:space="preserve">設定変更_x000D_
書式:G/標準"Kg" ⇒ 0.00_x000D_
</t>
  </si>
  <si>
    <t>2025/03/19 13:39:07</t>
  </si>
  <si>
    <t>2025/03/27 09:18:28</t>
  </si>
  <si>
    <t>AW18:DG18</t>
  </si>
  <si>
    <t xml:space="preserve">新規追加_x000D_
表示文字数:41_x000D_
改頁しない_x000D_
プレビューデータ:大塚医院_x000D_
書式:G/標準_x000D_
縮小しない_x000D_
テンプレート内外:外_x000D_
</t>
  </si>
  <si>
    <t>2025/03/27 09:47:57</t>
  </si>
  <si>
    <t>B18:DG18</t>
  </si>
  <si>
    <t xml:space="preserve">新規追加_x000D_
表示文字数:76_x000D_
改頁しない_x000D_
プレビューデータ:大塚医院_x000D_
書式:G/標準_x000D_
縮小しない_x000D_
テンプレート内外:外_x000D_
</t>
  </si>
  <si>
    <t>staff0002</t>
  </si>
  <si>
    <t>2025/05/13 17:00:49</t>
  </si>
  <si>
    <t xml:space="preserve">設定変更_x000D_
プレビューデータ:25/08/19/水 ⇒ 25/00/13/火_x000D_
</t>
  </si>
  <si>
    <t>2025/06/05 14:47:46</t>
  </si>
  <si>
    <t xml:space="preserve">設定変更_x000D_
プレビューデータ:25/00/13/火 ⇒ 25/47/05/_x000D_
書式:yy/mm/dd/ddd ⇒ yy/mm/dd/_x000D_
</t>
  </si>
  <si>
    <t>2025/06/05 15:32:36</t>
  </si>
  <si>
    <t>EB18</t>
  </si>
  <si>
    <t xml:space="preserve">新規追加_x000D_
改頁しない_x000D_
プレビューデータ:2025/06/05_x000D_
書式:yyyy/mm/dd_x000D_
縮小しない_x000D_
テンプレート内外:外_x000D_
</t>
  </si>
  <si>
    <t>2025/06/19 16:12:48</t>
  </si>
  <si>
    <t>2025/06/19 16:18:50</t>
  </si>
  <si>
    <t>2025/06/19 16:22:50</t>
  </si>
  <si>
    <t>##=[##実績.透析条件.DW]&amp;" kg "</t>
  </si>
  <si>
    <t xml:space="preserve">設定変更_x000D_
プレビューデータ:55.00 ⇒ 0_x000D_
</t>
  </si>
  <si>
    <t>2025/06/19 16:25:47</t>
  </si>
  <si>
    <t xml:space="preserve">設定変更_x000D_
プレビューデータ:0 ⇒ 55.00_x000D_
</t>
  </si>
  <si>
    <t>2025/06/19 16:28:50</t>
  </si>
  <si>
    <t>2025/06/19 16:31:28</t>
  </si>
  <si>
    <t>##=[##実績.透析条件.DW]&amp;"Kg"</t>
  </si>
  <si>
    <t>2025/06/19 16:42:05</t>
  </si>
  <si>
    <t xml:space="preserve">設定変更_x000D_
書式:0.00 ⇒ 0.00"kg"_x000D_
</t>
  </si>
  <si>
    <t>2025/06/19 17:05:15</t>
  </si>
  <si>
    <t xml:space="preserve">範囲:B7:DZ7 ⇒ B7:EB7_x000D_
</t>
  </si>
  <si>
    <t>2025/06/19 17:05:16</t>
  </si>
  <si>
    <t>DN2:EB2</t>
  </si>
  <si>
    <t xml:space="preserve">新規追加_x000D_
表示文字数:33_x000D_
改頁しない_x000D_
プレビューデータ:午前_x000D_
書式:G/標準_x000D_
縮小しない_x000D_
テンプレート内外:外_x000D_
</t>
  </si>
  <si>
    <t>EB4</t>
  </si>
  <si>
    <t>BV7:CC7</t>
  </si>
  <si>
    <t>CD7:CK7</t>
  </si>
  <si>
    <t>CT7:DA7</t>
  </si>
  <si>
    <t xml:space="preserve">新規追加_x000D_
改頁しない_x000D_
プレビューデータ:55.05_x000D_
書式:0.00"kg"_x000D_
縮小しない_x000D_
テンプレート内外:内_x000D_
</t>
  </si>
  <si>
    <t>DJ7:DS7</t>
  </si>
  <si>
    <t>DT7:EA7</t>
  </si>
  <si>
    <t>B18:DI18</t>
  </si>
  <si>
    <t xml:space="preserve">新規追加_x000D_
表示文字数:77_x000D_
改頁しない_x000D_
プレビューデータ:大塚医院_x000D_
書式:G/標準_x000D_
縮小しない_x000D_
テンプレート内外:外_x000D_
</t>
  </si>
  <si>
    <t>ED18</t>
  </si>
  <si>
    <t xml:space="preserve">新規追加_x000D_
改頁しない_x000D_
プレビューデータ:2025/06/19_x000D_
書式:yyyy/mm/dd_x000D_
縮小しない_x000D_
テンプレート内外:外_x000D_
</t>
  </si>
  <si>
    <t>2025/06/19 17:13:08</t>
  </si>
  <si>
    <t xml:space="preserve">設定変更_x000D_
プレビューデータ:2011/3/12  12:45 ⇒ 17:12_x000D_
</t>
  </si>
  <si>
    <t>2025/06/19 17:16:56</t>
  </si>
  <si>
    <t xml:space="preserve">設定変更_x000D_
プレビューデータ:12:45 ⇒ 17:14_x000D_
</t>
  </si>
  <si>
    <t>2025/06/19 17:25:33</t>
  </si>
  <si>
    <t xml:space="preserve">設定変更_x000D_
プレビューデータ:2011/3/12  08:21 ⇒ 17:25_x000D_
</t>
  </si>
  <si>
    <t>2025/06/19 17:32:02</t>
  </si>
  <si>
    <t xml:space="preserve">範囲:B7:EB7 ⇒ B7:EE7_x000D_
</t>
  </si>
  <si>
    <t xml:space="preserve">新規追加_x000D_
表示文字数:86_x000D_
改頁しない_x000D_
プレビューデータ:大塚医院_x000D_
書式:G/標準_x000D_
縮小しない_x000D_
テンプレート内外:外_x000D_
</t>
  </si>
  <si>
    <t>【透析日報】</t>
    <rPh sb="1" eb="3">
      <t>トウセキ</t>
    </rPh>
    <rPh sb="3" eb="5">
      <t>ニッポウ</t>
    </rPh>
    <phoneticPr fontId="4"/>
  </si>
  <si>
    <t>クール：</t>
    <phoneticPr fontId="4"/>
  </si>
  <si>
    <t>・入院</t>
    <rPh sb="1" eb="3">
      <t>ニュウイン</t>
    </rPh>
    <phoneticPr fontId="4"/>
  </si>
  <si>
    <t>名</t>
    <rPh sb="0" eb="1">
      <t>メイ</t>
    </rPh>
    <phoneticPr fontId="4"/>
  </si>
  <si>
    <t>・外来</t>
    <rPh sb="1" eb="3">
      <t>ガイライ</t>
    </rPh>
    <phoneticPr fontId="4"/>
  </si>
  <si>
    <t>・計</t>
    <rPh sb="1" eb="2">
      <t>ケイ</t>
    </rPh>
    <phoneticPr fontId="4"/>
  </si>
  <si>
    <t>ベッド名称</t>
    <phoneticPr fontId="4"/>
  </si>
  <si>
    <t>患者名</t>
    <phoneticPr fontId="4"/>
  </si>
  <si>
    <t>治療名称</t>
    <rPh sb="0" eb="2">
      <t>チリョウ</t>
    </rPh>
    <rPh sb="2" eb="4">
      <t>メイショウ</t>
    </rPh>
    <phoneticPr fontId="4"/>
  </si>
  <si>
    <t>透析開始
時刻</t>
    <rPh sb="0" eb="2">
      <t>トウセキ</t>
    </rPh>
    <rPh sb="2" eb="4">
      <t>カイシ</t>
    </rPh>
    <rPh sb="5" eb="7">
      <t>ジコク</t>
    </rPh>
    <phoneticPr fontId="4"/>
  </si>
  <si>
    <t>透析終了
時刻</t>
    <rPh sb="2" eb="4">
      <t>シュウリョウ</t>
    </rPh>
    <phoneticPr fontId="4"/>
  </si>
  <si>
    <t>透析時間</t>
    <rPh sb="0" eb="2">
      <t>トウセキ</t>
    </rPh>
    <rPh sb="2" eb="4">
      <t>ジカン</t>
    </rPh>
    <phoneticPr fontId="4"/>
  </si>
  <si>
    <t>ＤＷ</t>
    <phoneticPr fontId="4"/>
  </si>
  <si>
    <t>前回
後体重</t>
    <phoneticPr fontId="4"/>
  </si>
  <si>
    <t>前体重</t>
    <rPh sb="0" eb="1">
      <t>マエ</t>
    </rPh>
    <rPh sb="1" eb="3">
      <t>タイジュウ</t>
    </rPh>
    <phoneticPr fontId="4"/>
  </si>
  <si>
    <t>増</t>
    <rPh sb="0" eb="1">
      <t>ゾウ</t>
    </rPh>
    <phoneticPr fontId="4"/>
  </si>
  <si>
    <t>後体重</t>
    <rPh sb="0" eb="1">
      <t>ゴ</t>
    </rPh>
    <phoneticPr fontId="4"/>
  </si>
  <si>
    <t>減</t>
    <rPh sb="0" eb="1">
      <t>ゲン</t>
    </rPh>
    <phoneticPr fontId="4"/>
  </si>
  <si>
    <t>ダイアライザ</t>
    <phoneticPr fontId="4"/>
  </si>
  <si>
    <t>抗凝固剤</t>
    <rPh sb="0" eb="1">
      <t>コウ</t>
    </rPh>
    <rPh sb="1" eb="3">
      <t>ギョウコ</t>
    </rPh>
    <rPh sb="3" eb="4">
      <t>ザイ</t>
    </rPh>
    <phoneticPr fontId="4"/>
  </si>
  <si>
    <t>備考</t>
    <rPh sb="0" eb="2">
      <t>ビコウ</t>
    </rPh>
    <phoneticPr fontId="4"/>
  </si>
  <si>
    <t>##実績.実績情報.透析終了日時</t>
    <phoneticPr fontId="1"/>
  </si>
  <si>
    <t>##実績.実績情報.透析時間</t>
    <phoneticPr fontId="1"/>
  </si>
  <si>
    <t>##実績.体重情報（過去実績）.後体重(前回)</t>
    <phoneticPr fontId="1"/>
  </si>
  <si>
    <t>##実績.体重情報.前体重</t>
    <phoneticPr fontId="1"/>
  </si>
  <si>
    <t>##実績.体重情報.後体重</t>
    <phoneticPr fontId="1"/>
  </si>
  <si>
    <t>##施設.施設情報.施設名</t>
    <phoneticPr fontId="1"/>
  </si>
  <si>
    <t>CanBarCode</t>
  </si>
  <si>
    <t>BarCode</t>
  </si>
  <si>
    <t>##実績.体重情報（過去実績）.後体重(前回)Kg</t>
  </si>
  <si>
    <t>##実績.体重情報.前体重Kg</t>
  </si>
  <si>
    <t>CE7:CL7</t>
  </si>
  <si>
    <t>2026/06/08 19:52:44</t>
  </si>
  <si>
    <t xml:space="preserve">新規追加_x000D_
改頁しない_x000D_
プレビューデータ:_x000D_
書式:0.00_x000D_
縮小しない_x000D_
テンプレート内外:内_x000D_
</t>
  </si>
  <si>
    <t>2026/06/08 19:52:45</t>
  </si>
  <si>
    <t xml:space="preserve">出力値のない列は省略する設定: ⇒ 0_x000D_
出力値のない行は省略する設定: ⇒ 0_x000D_
</t>
  </si>
  <si>
    <t>35161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</si>
</sst>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/mm/dd"/>
    <numFmt numFmtId="177" formatCode="hh:mm"/>
    <numFmt numFmtId="178" formatCode="General&quot;Kg&quot;"/>
    <numFmt numFmtId="179" formatCode="yy/mm/dd/"/>
    <numFmt numFmtId="180" formatCode="0.00&quot;kg&quot;"/>
  </numFmts>
  <fonts count="15" x14ac:knownFonts="1">
    <font>
      <sz val="11"/>
      <color theme="1"/>
      <name val="ＭＳ Ｐゴシック"/>
      <charset val="128"/>
      <scheme val="minor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sz val="18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9"/>
      <name val="ＭＳ Ｐゴシック"/>
      <family val="3"/>
      <charset val="128"/>
    </font>
    <font>
      <sz val="7"/>
      <name val="ＭＳ ゴシック"/>
      <family val="3"/>
      <charset val="128"/>
    </font>
    <font>
      <sz val="14"/>
      <name val="ＭＳ ゴシック"/>
      <family val="3"/>
      <charset val="128"/>
    </font>
    <font>
      <sz val="16"/>
      <name val="ＭＳ ゴシック"/>
      <family val="3"/>
      <charset val="128"/>
    </font>
    <font>
      <sz val="14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 applyAlignment="1"/>
    <xf numFmtId="49" fontId="3" fillId="0" borderId="0" xfId="0" applyNumberFormat="1" applyFont="1" applyAlignment="1">
      <alignment horizontal="left" vertical="center"/>
    </xf>
    <xf numFmtId="0" fontId="6" fillId="0" borderId="0" xfId="0" applyFont="1" applyAlignment="1"/>
    <xf numFmtId="0" fontId="7" fillId="0" borderId="0" xfId="0" applyFont="1" applyAlignment="1"/>
    <xf numFmtId="0" fontId="2" fillId="0" borderId="0" xfId="0" applyFont="1" applyAlignment="1">
      <alignment vertical="center" shrinkToFit="1"/>
    </xf>
    <xf numFmtId="0" fontId="2" fillId="0" borderId="1" xfId="0" applyFont="1" applyBorder="1" applyAlignment="1">
      <alignment horizontal="center" vertical="center" shrinkToFit="1"/>
    </xf>
    <xf numFmtId="0" fontId="6" fillId="0" borderId="0" xfId="0" applyFont="1" applyAlignment="1">
      <alignment vertical="center" shrinkToFit="1"/>
    </xf>
    <xf numFmtId="0" fontId="11" fillId="0" borderId="1" xfId="0" applyFont="1" applyBorder="1" applyAlignment="1">
      <alignment vertical="center" shrinkToFit="1"/>
    </xf>
    <xf numFmtId="0" fontId="6" fillId="0" borderId="0" xfId="0" applyFon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0" fontId="7" fillId="0" borderId="0" xfId="0" applyFont="1" applyAlignment="1">
      <alignment horizontal="right"/>
    </xf>
    <xf numFmtId="176" fontId="2" fillId="0" borderId="0" xfId="0" applyNumberFormat="1" applyFont="1" applyAlignment="1">
      <alignment shrinkToFit="1"/>
    </xf>
    <xf numFmtId="0" fontId="2" fillId="0" borderId="3" xfId="0" applyFont="1" applyBorder="1" applyAlignment="1">
      <alignment horizontal="center" vertical="center" shrinkToFit="1"/>
    </xf>
    <xf numFmtId="0" fontId="11" fillId="0" borderId="0" xfId="0" applyFont="1" applyAlignment="1">
      <alignment horizontal="right"/>
    </xf>
    <xf numFmtId="178" fontId="2" fillId="0" borderId="3" xfId="0" applyNumberFormat="1" applyFont="1" applyBorder="1" applyAlignment="1">
      <alignment horizontal="right" vertical="center" shrinkToFit="1"/>
    </xf>
    <xf numFmtId="178" fontId="2" fillId="0" borderId="3" xfId="0" applyNumberFormat="1" applyFont="1" applyBorder="1" applyAlignment="1">
      <alignment horizontal="right" vertical="center" wrapText="1" shrinkToFit="1"/>
    </xf>
    <xf numFmtId="0" fontId="8" fillId="0" borderId="3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2" fontId="10" fillId="2" borderId="3" xfId="0" applyNumberFormat="1" applyFont="1" applyFill="1" applyBorder="1" applyAlignment="1">
      <alignment horizontal="right" vertical="center" wrapText="1" shrinkToFit="1"/>
    </xf>
    <xf numFmtId="2" fontId="10" fillId="2" borderId="3" xfId="0" applyNumberFormat="1" applyFont="1" applyFill="1" applyBorder="1" applyAlignment="1">
      <alignment horizontal="right" vertical="center" shrinkToFit="1"/>
    </xf>
    <xf numFmtId="180" fontId="10" fillId="2" borderId="3" xfId="0" applyNumberFormat="1" applyFont="1" applyFill="1" applyBorder="1" applyAlignment="1">
      <alignment horizontal="right" vertical="center" shrinkToFit="1"/>
    </xf>
    <xf numFmtId="0" fontId="2" fillId="0" borderId="1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wrapText="1" shrinkToFit="1"/>
    </xf>
    <xf numFmtId="0" fontId="8" fillId="0" borderId="3" xfId="0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176" fontId="3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top" wrapText="1" shrinkToFit="1"/>
    </xf>
    <xf numFmtId="0" fontId="2" fillId="0" borderId="1" xfId="0" applyFont="1" applyBorder="1" applyAlignment="1">
      <alignment horizontal="left" vertical="top" shrinkToFit="1"/>
    </xf>
    <xf numFmtId="0" fontId="6" fillId="0" borderId="1" xfId="0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wrapText="1" shrinkToFit="1"/>
    </xf>
    <xf numFmtId="0" fontId="2" fillId="0" borderId="3" xfId="0" applyFont="1" applyBorder="1" applyAlignment="1">
      <alignment horizontal="center" vertical="center" wrapText="1" shrinkToFit="1"/>
    </xf>
    <xf numFmtId="0" fontId="2" fillId="0" borderId="4" xfId="0" applyFont="1" applyBorder="1" applyAlignment="1">
      <alignment horizontal="center" vertical="center" wrapText="1" shrinkToFit="1"/>
    </xf>
    <xf numFmtId="177" fontId="2" fillId="0" borderId="2" xfId="0" applyNumberFormat="1" applyFont="1" applyBorder="1" applyAlignment="1">
      <alignment horizontal="center" vertical="center" wrapText="1" shrinkToFit="1"/>
    </xf>
    <xf numFmtId="177" fontId="2" fillId="0" borderId="3" xfId="0" applyNumberFormat="1" applyFont="1" applyBorder="1" applyAlignment="1">
      <alignment horizontal="center" vertical="center" wrapText="1" shrinkToFit="1"/>
    </xf>
    <xf numFmtId="177" fontId="2" fillId="0" borderId="4" xfId="0" applyNumberFormat="1" applyFont="1" applyBorder="1" applyAlignment="1">
      <alignment horizontal="center" vertical="center" wrapText="1" shrinkToFit="1"/>
    </xf>
    <xf numFmtId="178" fontId="10" fillId="0" borderId="2" xfId="0" applyNumberFormat="1" applyFont="1" applyBorder="1" applyAlignment="1">
      <alignment horizontal="right" vertical="center" wrapText="1" shrinkToFit="1"/>
    </xf>
    <xf numFmtId="178" fontId="10" fillId="0" borderId="3" xfId="0" applyNumberFormat="1" applyFont="1" applyBorder="1" applyAlignment="1">
      <alignment horizontal="right" vertical="center" shrinkToFit="1"/>
    </xf>
    <xf numFmtId="178" fontId="10" fillId="0" borderId="4" xfId="0" applyNumberFormat="1" applyFont="1" applyBorder="1" applyAlignment="1">
      <alignment horizontal="right" vertical="center" shrinkToFit="1"/>
    </xf>
    <xf numFmtId="0" fontId="11" fillId="0" borderId="1" xfId="0" applyFont="1" applyBorder="1" applyAlignment="1">
      <alignment horizontal="left" vertical="center" shrinkToFit="1"/>
    </xf>
    <xf numFmtId="2" fontId="10" fillId="0" borderId="2" xfId="0" applyNumberFormat="1" applyFont="1" applyBorder="1" applyAlignment="1">
      <alignment horizontal="right" vertical="center" wrapText="1" shrinkToFit="1"/>
    </xf>
    <xf numFmtId="2" fontId="10" fillId="0" borderId="3" xfId="0" applyNumberFormat="1" applyFont="1" applyBorder="1" applyAlignment="1">
      <alignment horizontal="right" vertical="center" wrapText="1" shrinkToFit="1"/>
    </xf>
    <xf numFmtId="2" fontId="10" fillId="0" borderId="4" xfId="0" applyNumberFormat="1" applyFont="1" applyBorder="1" applyAlignment="1">
      <alignment horizontal="right" vertical="center" wrapText="1" shrinkToFit="1"/>
    </xf>
    <xf numFmtId="2" fontId="10" fillId="0" borderId="3" xfId="0" applyNumberFormat="1" applyFont="1" applyBorder="1" applyAlignment="1">
      <alignment horizontal="right" vertical="center" shrinkToFit="1"/>
    </xf>
    <xf numFmtId="2" fontId="10" fillId="0" borderId="4" xfId="0" applyNumberFormat="1" applyFont="1" applyBorder="1" applyAlignment="1">
      <alignment horizontal="right" vertical="center" shrinkToFit="1"/>
    </xf>
    <xf numFmtId="180" fontId="10" fillId="0" borderId="2" xfId="0" applyNumberFormat="1" applyFont="1" applyBorder="1" applyAlignment="1">
      <alignment horizontal="right" vertical="center" wrapText="1" shrinkToFit="1"/>
    </xf>
    <xf numFmtId="180" fontId="10" fillId="0" borderId="3" xfId="0" applyNumberFormat="1" applyFont="1" applyBorder="1" applyAlignment="1">
      <alignment horizontal="right" vertical="center" shrinkToFit="1"/>
    </xf>
    <xf numFmtId="180" fontId="10" fillId="0" borderId="4" xfId="0" applyNumberFormat="1" applyFont="1" applyBorder="1" applyAlignment="1">
      <alignment horizontal="right" vertical="center" shrinkToFit="1"/>
    </xf>
    <xf numFmtId="0" fontId="2" fillId="0" borderId="1" xfId="0" applyFont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 shrinkToFit="1"/>
    </xf>
    <xf numFmtId="177" fontId="2" fillId="0" borderId="3" xfId="0" applyNumberFormat="1" applyFont="1" applyBorder="1" applyAlignment="1">
      <alignment horizontal="center" vertical="center" shrinkToFit="1"/>
    </xf>
    <xf numFmtId="177" fontId="2" fillId="0" borderId="4" xfId="0" applyNumberFormat="1" applyFont="1" applyBorder="1" applyAlignment="1">
      <alignment horizontal="center" vertical="center" shrinkToFit="1"/>
    </xf>
    <xf numFmtId="2" fontId="2" fillId="0" borderId="2" xfId="0" applyNumberFormat="1" applyFont="1" applyBorder="1" applyAlignment="1">
      <alignment horizontal="right" vertical="center" wrapText="1" shrinkToFit="1"/>
    </xf>
    <xf numFmtId="2" fontId="2" fillId="0" borderId="3" xfId="0" applyNumberFormat="1" applyFont="1" applyBorder="1" applyAlignment="1">
      <alignment horizontal="right" vertical="center" shrinkToFit="1"/>
    </xf>
    <xf numFmtId="2" fontId="2" fillId="0" borderId="4" xfId="0" applyNumberFormat="1" applyFont="1" applyBorder="1" applyAlignment="1">
      <alignment horizontal="right" vertical="center" shrinkToFit="1"/>
    </xf>
    <xf numFmtId="179" fontId="11" fillId="0" borderId="0" xfId="0" applyNumberFormat="1" applyFont="1" applyAlignment="1">
      <alignment horizontal="righ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workbookViewId="0"/>
  </sheetViews>
  <sheetFormatPr defaultColWidth="9" defaultRowHeight="13.5" x14ac:dyDescent="0.15"/>
  <cols>
    <col min="1" max="16384" width="9" style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3"/>
  <sheetViews>
    <sheetView workbookViewId="0"/>
  </sheetViews>
  <sheetFormatPr defaultColWidth="9" defaultRowHeight="13.5" x14ac:dyDescent="0.15"/>
  <cols>
    <col min="1" max="16384" width="9" style="1"/>
  </cols>
  <sheetData>
    <row r="1" spans="1:28" x14ac:dyDescent="0.15">
      <c r="A1" s="1" t="s">
        <v>9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5</v>
      </c>
      <c r="P1" s="1" t="s">
        <v>6</v>
      </c>
      <c r="Q1" s="1" t="s">
        <v>4</v>
      </c>
      <c r="R1" s="1" t="s">
        <v>21</v>
      </c>
      <c r="S1" s="1" t="s">
        <v>22</v>
      </c>
      <c r="T1" s="1" t="s">
        <v>3</v>
      </c>
      <c r="U1" s="1" t="s">
        <v>23</v>
      </c>
      <c r="V1" s="1" t="s">
        <v>8</v>
      </c>
      <c r="W1" s="1" t="s">
        <v>24</v>
      </c>
      <c r="X1" s="1" t="s">
        <v>25</v>
      </c>
      <c r="Y1" s="1" t="s">
        <v>316</v>
      </c>
      <c r="Z1" s="1" t="s">
        <v>317</v>
      </c>
      <c r="AA1" s="1" t="s">
        <v>26</v>
      </c>
      <c r="AB1" s="1" t="s">
        <v>27</v>
      </c>
    </row>
    <row r="2" spans="1:28" x14ac:dyDescent="0.15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K2" s="1" t="s">
        <v>37</v>
      </c>
      <c r="L2" s="1" t="s">
        <v>32</v>
      </c>
      <c r="M2" s="1" t="s">
        <v>32</v>
      </c>
      <c r="N2" s="1" t="s">
        <v>32</v>
      </c>
      <c r="O2" s="1" t="s">
        <v>32</v>
      </c>
      <c r="P2" s="1" t="s">
        <v>32</v>
      </c>
      <c r="Q2" s="1" t="s">
        <v>32</v>
      </c>
      <c r="R2" s="1" t="s">
        <v>32</v>
      </c>
      <c r="S2" s="1" t="s">
        <v>38</v>
      </c>
      <c r="T2" s="1" t="s">
        <v>32</v>
      </c>
      <c r="U2" s="1" t="s">
        <v>32</v>
      </c>
      <c r="V2" s="1" t="s">
        <v>39</v>
      </c>
      <c r="W2" s="1" t="s">
        <v>32</v>
      </c>
      <c r="X2" s="1" t="s">
        <v>37</v>
      </c>
      <c r="Y2" s="1" t="s">
        <v>37</v>
      </c>
      <c r="Z2" s="1" t="s">
        <v>32</v>
      </c>
      <c r="AA2" s="1" t="s">
        <v>32</v>
      </c>
      <c r="AB2" s="1" t="s">
        <v>32</v>
      </c>
    </row>
    <row r="3" spans="1:28" x14ac:dyDescent="0.15">
      <c r="A3" s="1" t="s">
        <v>40</v>
      </c>
      <c r="B3" s="1" t="s">
        <v>29</v>
      </c>
      <c r="C3" s="1" t="s">
        <v>30</v>
      </c>
      <c r="D3" s="1" t="s">
        <v>41</v>
      </c>
      <c r="E3" s="1" t="s">
        <v>32</v>
      </c>
      <c r="F3" s="1" t="s">
        <v>42</v>
      </c>
      <c r="G3" s="1" t="s">
        <v>43</v>
      </c>
      <c r="H3" s="1" t="s">
        <v>44</v>
      </c>
      <c r="I3" s="1" t="s">
        <v>45</v>
      </c>
      <c r="K3" s="1" t="s">
        <v>37</v>
      </c>
      <c r="L3" s="1" t="s">
        <v>32</v>
      </c>
      <c r="M3" s="1" t="s">
        <v>32</v>
      </c>
      <c r="N3" s="1" t="s">
        <v>46</v>
      </c>
      <c r="O3" s="1" t="s">
        <v>32</v>
      </c>
      <c r="P3" s="1" t="s">
        <v>32</v>
      </c>
      <c r="Q3" s="1" t="s">
        <v>32</v>
      </c>
      <c r="R3" s="1" t="s">
        <v>32</v>
      </c>
      <c r="S3" s="1" t="s">
        <v>47</v>
      </c>
      <c r="T3" s="1" t="s">
        <v>32</v>
      </c>
      <c r="U3" s="1" t="s">
        <v>32</v>
      </c>
      <c r="V3" s="1" t="s">
        <v>39</v>
      </c>
      <c r="W3" s="1" t="s">
        <v>32</v>
      </c>
      <c r="X3" s="1" t="s">
        <v>37</v>
      </c>
      <c r="Y3" s="1" t="s">
        <v>37</v>
      </c>
      <c r="Z3" s="1" t="s">
        <v>32</v>
      </c>
      <c r="AA3" s="1" t="s">
        <v>32</v>
      </c>
      <c r="AB3" s="1" t="s">
        <v>48</v>
      </c>
    </row>
    <row r="4" spans="1:28" x14ac:dyDescent="0.15">
      <c r="A4" s="1" t="s">
        <v>49</v>
      </c>
      <c r="B4" s="1" t="s">
        <v>50</v>
      </c>
      <c r="C4" s="1" t="s">
        <v>51</v>
      </c>
      <c r="D4" s="1" t="s">
        <v>52</v>
      </c>
      <c r="E4" s="1" t="s">
        <v>53</v>
      </c>
      <c r="F4" s="1" t="s">
        <v>54</v>
      </c>
      <c r="G4" s="1" t="s">
        <v>43</v>
      </c>
      <c r="H4" s="1" t="s">
        <v>55</v>
      </c>
      <c r="I4" s="1" t="s">
        <v>45</v>
      </c>
      <c r="K4" s="1" t="s">
        <v>37</v>
      </c>
      <c r="L4" s="1" t="s">
        <v>32</v>
      </c>
      <c r="M4" s="1" t="s">
        <v>32</v>
      </c>
      <c r="N4" s="1" t="s">
        <v>56</v>
      </c>
      <c r="O4" s="1" t="s">
        <v>32</v>
      </c>
      <c r="P4" s="1" t="s">
        <v>32</v>
      </c>
      <c r="Q4" s="1" t="s">
        <v>32</v>
      </c>
      <c r="R4" s="1" t="s">
        <v>32</v>
      </c>
      <c r="S4" s="1" t="s">
        <v>57</v>
      </c>
      <c r="T4" s="1" t="s">
        <v>32</v>
      </c>
      <c r="U4" s="1" t="s">
        <v>32</v>
      </c>
      <c r="V4" s="1" t="s">
        <v>39</v>
      </c>
      <c r="W4" s="1" t="s">
        <v>32</v>
      </c>
      <c r="X4" s="1" t="s">
        <v>37</v>
      </c>
      <c r="Y4" s="1" t="s">
        <v>37</v>
      </c>
      <c r="Z4" s="1" t="s">
        <v>32</v>
      </c>
      <c r="AA4" s="1" t="s">
        <v>32</v>
      </c>
      <c r="AB4" s="1" t="s">
        <v>48</v>
      </c>
    </row>
    <row r="5" spans="1:28" x14ac:dyDescent="0.15">
      <c r="A5" s="1" t="s">
        <v>58</v>
      </c>
      <c r="B5" s="1" t="s">
        <v>50</v>
      </c>
      <c r="C5" s="1" t="s">
        <v>51</v>
      </c>
      <c r="D5" s="1" t="s">
        <v>59</v>
      </c>
      <c r="E5" s="1" t="s">
        <v>53</v>
      </c>
      <c r="F5" s="1" t="s">
        <v>60</v>
      </c>
      <c r="G5" s="1" t="s">
        <v>43</v>
      </c>
      <c r="H5" s="1" t="s">
        <v>55</v>
      </c>
      <c r="I5" s="1" t="s">
        <v>45</v>
      </c>
      <c r="K5" s="1" t="s">
        <v>37</v>
      </c>
      <c r="L5" s="1" t="s">
        <v>32</v>
      </c>
      <c r="M5" s="1" t="s">
        <v>32</v>
      </c>
      <c r="N5" s="1" t="s">
        <v>61</v>
      </c>
      <c r="O5" s="1" t="s">
        <v>32</v>
      </c>
      <c r="P5" s="1" t="s">
        <v>32</v>
      </c>
      <c r="Q5" s="1" t="s">
        <v>32</v>
      </c>
      <c r="R5" s="1" t="s">
        <v>32</v>
      </c>
      <c r="S5" s="1" t="s">
        <v>62</v>
      </c>
      <c r="T5" s="1" t="s">
        <v>32</v>
      </c>
      <c r="U5" s="1" t="s">
        <v>32</v>
      </c>
      <c r="V5" s="1" t="s">
        <v>39</v>
      </c>
      <c r="W5" s="1" t="s">
        <v>32</v>
      </c>
      <c r="X5" s="1" t="s">
        <v>37</v>
      </c>
      <c r="Y5" s="1" t="s">
        <v>37</v>
      </c>
      <c r="Z5" s="1" t="s">
        <v>32</v>
      </c>
      <c r="AA5" s="1" t="s">
        <v>32</v>
      </c>
      <c r="AB5" s="1" t="s">
        <v>48</v>
      </c>
    </row>
    <row r="6" spans="1:28" x14ac:dyDescent="0.15">
      <c r="A6" s="1" t="s">
        <v>63</v>
      </c>
      <c r="B6" s="1" t="s">
        <v>50</v>
      </c>
      <c r="C6" s="1" t="s">
        <v>51</v>
      </c>
      <c r="D6" s="1" t="s">
        <v>64</v>
      </c>
      <c r="E6" s="1" t="s">
        <v>53</v>
      </c>
      <c r="F6" s="1" t="s">
        <v>65</v>
      </c>
      <c r="G6" s="1" t="s">
        <v>43</v>
      </c>
      <c r="H6" s="1" t="s">
        <v>55</v>
      </c>
      <c r="I6" s="1" t="s">
        <v>45</v>
      </c>
      <c r="K6" s="1" t="s">
        <v>37</v>
      </c>
      <c r="L6" s="1" t="s">
        <v>32</v>
      </c>
      <c r="M6" s="1" t="s">
        <v>32</v>
      </c>
      <c r="N6" s="1" t="s">
        <v>61</v>
      </c>
      <c r="O6" s="1" t="s">
        <v>32</v>
      </c>
      <c r="P6" s="1" t="s">
        <v>32</v>
      </c>
      <c r="Q6" s="1" t="s">
        <v>32</v>
      </c>
      <c r="R6" s="1" t="s">
        <v>32</v>
      </c>
      <c r="S6" s="1" t="s">
        <v>66</v>
      </c>
      <c r="T6" s="1" t="s">
        <v>32</v>
      </c>
      <c r="U6" s="1" t="s">
        <v>32</v>
      </c>
      <c r="V6" s="1" t="s">
        <v>39</v>
      </c>
      <c r="W6" s="1" t="s">
        <v>32</v>
      </c>
      <c r="X6" s="1" t="s">
        <v>37</v>
      </c>
      <c r="Y6" s="1" t="s">
        <v>37</v>
      </c>
      <c r="Z6" s="1" t="s">
        <v>32</v>
      </c>
      <c r="AA6" s="1" t="s">
        <v>32</v>
      </c>
      <c r="AB6" s="1" t="s">
        <v>48</v>
      </c>
    </row>
    <row r="7" spans="1:28" x14ac:dyDescent="0.15">
      <c r="A7" s="1" t="s">
        <v>67</v>
      </c>
      <c r="B7" s="1" t="s">
        <v>29</v>
      </c>
      <c r="C7" s="1" t="s">
        <v>68</v>
      </c>
      <c r="D7" s="1" t="s">
        <v>69</v>
      </c>
      <c r="E7" s="1" t="s">
        <v>32</v>
      </c>
      <c r="F7" s="1" t="s">
        <v>70</v>
      </c>
      <c r="G7" s="1" t="s">
        <v>43</v>
      </c>
      <c r="H7" s="1" t="s">
        <v>48</v>
      </c>
      <c r="I7" s="1" t="s">
        <v>45</v>
      </c>
      <c r="K7" s="1" t="s">
        <v>37</v>
      </c>
      <c r="L7" s="1" t="s">
        <v>32</v>
      </c>
      <c r="M7" s="1" t="s">
        <v>32</v>
      </c>
      <c r="N7" s="1" t="s">
        <v>71</v>
      </c>
      <c r="O7" s="1" t="s">
        <v>32</v>
      </c>
      <c r="P7" s="1" t="s">
        <v>32</v>
      </c>
      <c r="Q7" s="1" t="s">
        <v>32</v>
      </c>
      <c r="R7" s="1" t="s">
        <v>32</v>
      </c>
      <c r="S7" s="1" t="s">
        <v>72</v>
      </c>
      <c r="T7" s="1" t="s">
        <v>32</v>
      </c>
      <c r="U7" s="1" t="s">
        <v>32</v>
      </c>
      <c r="V7" s="1" t="s">
        <v>39</v>
      </c>
      <c r="W7" s="1" t="s">
        <v>32</v>
      </c>
      <c r="X7" s="1" t="s">
        <v>37</v>
      </c>
      <c r="Y7" s="1" t="s">
        <v>37</v>
      </c>
      <c r="Z7" s="1" t="s">
        <v>32</v>
      </c>
      <c r="AA7" s="1" t="s">
        <v>32</v>
      </c>
      <c r="AB7" s="1" t="s">
        <v>48</v>
      </c>
    </row>
    <row r="8" spans="1:28" x14ac:dyDescent="0.15">
      <c r="A8" s="1" t="s">
        <v>73</v>
      </c>
      <c r="B8" s="1" t="s">
        <v>74</v>
      </c>
      <c r="C8" s="1" t="s">
        <v>75</v>
      </c>
      <c r="D8" s="1" t="s">
        <v>76</v>
      </c>
      <c r="E8" s="1" t="s">
        <v>77</v>
      </c>
      <c r="F8" s="1" t="s">
        <v>78</v>
      </c>
      <c r="G8" s="1" t="s">
        <v>43</v>
      </c>
      <c r="H8" s="1" t="s">
        <v>79</v>
      </c>
      <c r="I8" s="1" t="s">
        <v>45</v>
      </c>
      <c r="K8" s="1" t="s">
        <v>37</v>
      </c>
      <c r="L8" s="1" t="s">
        <v>32</v>
      </c>
      <c r="M8" s="1" t="s">
        <v>48</v>
      </c>
      <c r="N8" s="1" t="s">
        <v>32</v>
      </c>
      <c r="O8" s="1" t="s">
        <v>32</v>
      </c>
      <c r="P8" s="1" t="s">
        <v>32</v>
      </c>
      <c r="Q8" s="1" t="s">
        <v>32</v>
      </c>
      <c r="R8" s="1" t="s">
        <v>32</v>
      </c>
      <c r="S8" s="1" t="s">
        <v>80</v>
      </c>
      <c r="T8" s="1" t="s">
        <v>32</v>
      </c>
      <c r="U8" s="1" t="s">
        <v>32</v>
      </c>
      <c r="V8" s="1" t="s">
        <v>81</v>
      </c>
      <c r="W8" s="1" t="s">
        <v>32</v>
      </c>
      <c r="X8" s="1" t="s">
        <v>37</v>
      </c>
      <c r="Y8" s="1" t="s">
        <v>37</v>
      </c>
      <c r="Z8" s="1" t="s">
        <v>32</v>
      </c>
      <c r="AA8" s="1" t="s">
        <v>32</v>
      </c>
      <c r="AB8" s="1" t="s">
        <v>32</v>
      </c>
    </row>
    <row r="9" spans="1:28" x14ac:dyDescent="0.15">
      <c r="A9" s="1" t="s">
        <v>82</v>
      </c>
      <c r="B9" s="1" t="s">
        <v>83</v>
      </c>
      <c r="C9" s="1" t="s">
        <v>84</v>
      </c>
      <c r="D9" s="1" t="s">
        <v>85</v>
      </c>
      <c r="E9" s="1" t="s">
        <v>48</v>
      </c>
      <c r="F9" s="1" t="s">
        <v>86</v>
      </c>
      <c r="G9" s="1" t="s">
        <v>43</v>
      </c>
      <c r="H9" s="1" t="s">
        <v>87</v>
      </c>
      <c r="I9" s="1" t="s">
        <v>45</v>
      </c>
      <c r="K9" s="1" t="s">
        <v>37</v>
      </c>
      <c r="L9" s="1" t="s">
        <v>32</v>
      </c>
      <c r="M9" s="1" t="s">
        <v>48</v>
      </c>
      <c r="N9" s="1" t="s">
        <v>32</v>
      </c>
      <c r="O9" s="1" t="s">
        <v>32</v>
      </c>
      <c r="P9" s="1" t="s">
        <v>32</v>
      </c>
      <c r="Q9" s="1" t="s">
        <v>32</v>
      </c>
      <c r="R9" s="1" t="s">
        <v>32</v>
      </c>
      <c r="S9" s="1" t="s">
        <v>88</v>
      </c>
      <c r="T9" s="1" t="s">
        <v>32</v>
      </c>
      <c r="U9" s="1" t="s">
        <v>32</v>
      </c>
      <c r="V9" s="1" t="s">
        <v>81</v>
      </c>
      <c r="W9" s="1" t="s">
        <v>32</v>
      </c>
      <c r="X9" s="1" t="s">
        <v>37</v>
      </c>
      <c r="Y9" s="1" t="s">
        <v>37</v>
      </c>
      <c r="Z9" s="1" t="s">
        <v>32</v>
      </c>
      <c r="AA9" s="1" t="s">
        <v>32</v>
      </c>
      <c r="AB9" s="1" t="s">
        <v>32</v>
      </c>
    </row>
    <row r="10" spans="1:28" x14ac:dyDescent="0.15">
      <c r="A10" s="1" t="s">
        <v>89</v>
      </c>
      <c r="B10" s="1" t="s">
        <v>74</v>
      </c>
      <c r="C10" s="1" t="s">
        <v>75</v>
      </c>
      <c r="D10" s="1" t="s">
        <v>90</v>
      </c>
      <c r="E10" s="1" t="s">
        <v>77</v>
      </c>
      <c r="F10" s="1" t="s">
        <v>91</v>
      </c>
      <c r="G10" s="1" t="s">
        <v>43</v>
      </c>
      <c r="H10" s="1" t="s">
        <v>92</v>
      </c>
      <c r="I10" s="1" t="s">
        <v>45</v>
      </c>
      <c r="K10" s="1" t="s">
        <v>37</v>
      </c>
      <c r="L10" s="1" t="s">
        <v>32</v>
      </c>
      <c r="M10" s="1" t="s">
        <v>48</v>
      </c>
      <c r="N10" s="1" t="s">
        <v>32</v>
      </c>
      <c r="O10" s="1" t="s">
        <v>32</v>
      </c>
      <c r="P10" s="1" t="s">
        <v>32</v>
      </c>
      <c r="Q10" s="1" t="s">
        <v>32</v>
      </c>
      <c r="R10" s="1" t="s">
        <v>32</v>
      </c>
      <c r="S10" s="1" t="s">
        <v>93</v>
      </c>
      <c r="T10" s="1" t="s">
        <v>32</v>
      </c>
      <c r="U10" s="1" t="s">
        <v>32</v>
      </c>
      <c r="V10" s="1" t="s">
        <v>81</v>
      </c>
      <c r="W10" s="1" t="s">
        <v>32</v>
      </c>
      <c r="X10" s="1" t="s">
        <v>37</v>
      </c>
      <c r="Y10" s="1" t="s">
        <v>37</v>
      </c>
      <c r="Z10" s="1" t="s">
        <v>32</v>
      </c>
      <c r="AA10" s="1" t="s">
        <v>32</v>
      </c>
      <c r="AB10" s="1" t="s">
        <v>32</v>
      </c>
    </row>
    <row r="11" spans="1:28" x14ac:dyDescent="0.15">
      <c r="A11" s="1" t="s">
        <v>94</v>
      </c>
      <c r="B11" s="1" t="s">
        <v>74</v>
      </c>
      <c r="C11" s="1" t="s">
        <v>75</v>
      </c>
      <c r="D11" s="1" t="s">
        <v>95</v>
      </c>
      <c r="E11" s="1" t="s">
        <v>96</v>
      </c>
      <c r="F11" s="1" t="s">
        <v>97</v>
      </c>
      <c r="G11" s="1" t="s">
        <v>34</v>
      </c>
      <c r="H11" s="1" t="s">
        <v>98</v>
      </c>
      <c r="I11" s="1" t="s">
        <v>99</v>
      </c>
      <c r="K11" s="1" t="s">
        <v>37</v>
      </c>
      <c r="L11" s="1" t="s">
        <v>32</v>
      </c>
      <c r="M11" s="1" t="s">
        <v>48</v>
      </c>
      <c r="N11" s="1" t="s">
        <v>32</v>
      </c>
      <c r="O11" s="1" t="s">
        <v>32</v>
      </c>
      <c r="P11" s="1" t="s">
        <v>32</v>
      </c>
      <c r="Q11" s="1" t="s">
        <v>32</v>
      </c>
      <c r="R11" s="1" t="s">
        <v>32</v>
      </c>
      <c r="S11" s="1" t="s">
        <v>100</v>
      </c>
      <c r="T11" s="1" t="s">
        <v>32</v>
      </c>
      <c r="U11" s="1" t="s">
        <v>32</v>
      </c>
      <c r="V11" s="1" t="s">
        <v>81</v>
      </c>
      <c r="W11" s="1" t="s">
        <v>32</v>
      </c>
      <c r="X11" s="1" t="s">
        <v>37</v>
      </c>
      <c r="Y11" s="1" t="s">
        <v>37</v>
      </c>
      <c r="Z11" s="1" t="s">
        <v>32</v>
      </c>
      <c r="AA11" s="1" t="s">
        <v>32</v>
      </c>
      <c r="AB11" s="1" t="s">
        <v>32</v>
      </c>
    </row>
    <row r="12" spans="1:28" x14ac:dyDescent="0.15">
      <c r="A12" s="1" t="s">
        <v>101</v>
      </c>
      <c r="B12" s="1" t="s">
        <v>74</v>
      </c>
      <c r="C12" s="1" t="s">
        <v>75</v>
      </c>
      <c r="D12" s="1" t="s">
        <v>102</v>
      </c>
      <c r="E12" s="1" t="s">
        <v>96</v>
      </c>
      <c r="F12" s="1" t="s">
        <v>103</v>
      </c>
      <c r="G12" s="1" t="s">
        <v>34</v>
      </c>
      <c r="H12" s="1" t="s">
        <v>104</v>
      </c>
      <c r="I12" s="1" t="s">
        <v>99</v>
      </c>
      <c r="K12" s="1" t="s">
        <v>37</v>
      </c>
      <c r="L12" s="1" t="s">
        <v>32</v>
      </c>
      <c r="M12" s="1" t="s">
        <v>48</v>
      </c>
      <c r="N12" s="1" t="s">
        <v>32</v>
      </c>
      <c r="O12" s="1" t="s">
        <v>32</v>
      </c>
      <c r="P12" s="1" t="s">
        <v>32</v>
      </c>
      <c r="Q12" s="1" t="s">
        <v>32</v>
      </c>
      <c r="R12" s="1" t="s">
        <v>32</v>
      </c>
      <c r="S12" s="1" t="s">
        <v>105</v>
      </c>
      <c r="T12" s="1" t="s">
        <v>32</v>
      </c>
      <c r="U12" s="1" t="s">
        <v>32</v>
      </c>
      <c r="V12" s="1" t="s">
        <v>81</v>
      </c>
      <c r="W12" s="1" t="s">
        <v>32</v>
      </c>
      <c r="X12" s="1" t="s">
        <v>37</v>
      </c>
      <c r="Y12" s="1" t="s">
        <v>37</v>
      </c>
      <c r="Z12" s="1" t="s">
        <v>32</v>
      </c>
      <c r="AA12" s="1" t="s">
        <v>32</v>
      </c>
      <c r="AB12" s="1" t="s">
        <v>32</v>
      </c>
    </row>
    <row r="13" spans="1:28" x14ac:dyDescent="0.15">
      <c r="A13" s="1" t="s">
        <v>106</v>
      </c>
      <c r="B13" s="1" t="s">
        <v>74</v>
      </c>
      <c r="C13" s="1" t="s">
        <v>75</v>
      </c>
      <c r="D13" s="1" t="s">
        <v>107</v>
      </c>
      <c r="E13" s="1" t="s">
        <v>96</v>
      </c>
      <c r="F13" s="1" t="s">
        <v>108</v>
      </c>
      <c r="G13" s="1" t="s">
        <v>34</v>
      </c>
      <c r="H13" s="1" t="s">
        <v>109</v>
      </c>
      <c r="I13" s="1" t="s">
        <v>99</v>
      </c>
      <c r="K13" s="1" t="s">
        <v>37</v>
      </c>
      <c r="L13" s="1" t="s">
        <v>32</v>
      </c>
      <c r="M13" s="1" t="s">
        <v>48</v>
      </c>
      <c r="N13" s="1" t="s">
        <v>32</v>
      </c>
      <c r="O13" s="1" t="s">
        <v>32</v>
      </c>
      <c r="P13" s="1" t="s">
        <v>32</v>
      </c>
      <c r="Q13" s="1" t="s">
        <v>32</v>
      </c>
      <c r="R13" s="1" t="s">
        <v>32</v>
      </c>
      <c r="S13" s="1" t="s">
        <v>110</v>
      </c>
      <c r="T13" s="1" t="s">
        <v>32</v>
      </c>
      <c r="U13" s="1" t="s">
        <v>32</v>
      </c>
      <c r="V13" s="1" t="s">
        <v>81</v>
      </c>
      <c r="W13" s="1" t="s">
        <v>32</v>
      </c>
      <c r="X13" s="1" t="s">
        <v>37</v>
      </c>
      <c r="Y13" s="1" t="s">
        <v>37</v>
      </c>
      <c r="Z13" s="1" t="s">
        <v>32</v>
      </c>
      <c r="AA13" s="1" t="s">
        <v>32</v>
      </c>
      <c r="AB13" s="1" t="s">
        <v>32</v>
      </c>
    </row>
    <row r="14" spans="1:28" x14ac:dyDescent="0.15">
      <c r="A14" s="1" t="s">
        <v>111</v>
      </c>
      <c r="B14" s="1" t="s">
        <v>74</v>
      </c>
      <c r="C14" s="1" t="s">
        <v>112</v>
      </c>
      <c r="D14" s="1" t="s">
        <v>113</v>
      </c>
      <c r="E14" s="1" t="s">
        <v>114</v>
      </c>
      <c r="F14" s="1" t="s">
        <v>115</v>
      </c>
      <c r="G14" s="1" t="s">
        <v>116</v>
      </c>
      <c r="H14" s="1" t="s">
        <v>117</v>
      </c>
      <c r="I14" s="1" t="s">
        <v>118</v>
      </c>
      <c r="K14" s="1" t="s">
        <v>37</v>
      </c>
      <c r="L14" s="1" t="s">
        <v>32</v>
      </c>
      <c r="M14" s="1" t="s">
        <v>48</v>
      </c>
      <c r="N14" s="1" t="s">
        <v>32</v>
      </c>
      <c r="O14" s="1" t="s">
        <v>32</v>
      </c>
      <c r="P14" s="1" t="s">
        <v>32</v>
      </c>
      <c r="Q14" s="1" t="s">
        <v>32</v>
      </c>
      <c r="R14" s="1" t="s">
        <v>32</v>
      </c>
      <c r="S14" s="1" t="s">
        <v>119</v>
      </c>
      <c r="T14" s="1" t="s">
        <v>32</v>
      </c>
      <c r="U14" s="1" t="s">
        <v>32</v>
      </c>
      <c r="V14" s="1" t="s">
        <v>81</v>
      </c>
      <c r="W14" s="1" t="s">
        <v>32</v>
      </c>
      <c r="X14" s="1" t="s">
        <v>37</v>
      </c>
      <c r="Y14" s="1" t="s">
        <v>37</v>
      </c>
      <c r="Z14" s="1" t="s">
        <v>32</v>
      </c>
      <c r="AA14" s="1" t="s">
        <v>32</v>
      </c>
      <c r="AB14" s="1" t="s">
        <v>32</v>
      </c>
    </row>
    <row r="15" spans="1:28" x14ac:dyDescent="0.15">
      <c r="A15" s="1" t="s">
        <v>318</v>
      </c>
      <c r="B15" s="1" t="s">
        <v>32</v>
      </c>
      <c r="C15" s="1" t="s">
        <v>32</v>
      </c>
      <c r="D15" s="1" t="s">
        <v>32</v>
      </c>
      <c r="E15" s="1" t="s">
        <v>32</v>
      </c>
      <c r="F15" s="1" t="s">
        <v>32</v>
      </c>
      <c r="G15" s="1" t="s">
        <v>32</v>
      </c>
      <c r="H15" s="1" t="s">
        <v>32</v>
      </c>
      <c r="I15" s="1" t="s">
        <v>118</v>
      </c>
      <c r="K15" s="1" t="s">
        <v>37</v>
      </c>
      <c r="L15" s="1" t="s">
        <v>32</v>
      </c>
      <c r="M15" s="1" t="s">
        <v>48</v>
      </c>
      <c r="N15" s="1" t="s">
        <v>32</v>
      </c>
      <c r="O15" s="1" t="s">
        <v>32</v>
      </c>
      <c r="P15" s="1" t="s">
        <v>32</v>
      </c>
      <c r="Q15" s="1" t="s">
        <v>32</v>
      </c>
      <c r="R15" s="1" t="s">
        <v>32</v>
      </c>
      <c r="S15" s="1" t="s">
        <v>270</v>
      </c>
      <c r="T15" s="1" t="s">
        <v>32</v>
      </c>
      <c r="U15" s="1" t="s">
        <v>32</v>
      </c>
      <c r="V15" s="1" t="s">
        <v>81</v>
      </c>
      <c r="W15" s="1" t="s">
        <v>32</v>
      </c>
      <c r="X15" s="1" t="s">
        <v>37</v>
      </c>
      <c r="Y15" s="1" t="s">
        <v>37</v>
      </c>
      <c r="Z15" s="1" t="s">
        <v>32</v>
      </c>
      <c r="AA15" s="1" t="s">
        <v>32</v>
      </c>
      <c r="AB15" s="1" t="s">
        <v>32</v>
      </c>
    </row>
    <row r="16" spans="1:28" x14ac:dyDescent="0.15">
      <c r="A16" s="1" t="s">
        <v>120</v>
      </c>
      <c r="B16" s="1" t="s">
        <v>74</v>
      </c>
      <c r="C16" s="1" t="s">
        <v>121</v>
      </c>
      <c r="D16" s="1" t="s">
        <v>122</v>
      </c>
      <c r="E16" s="1" t="s">
        <v>123</v>
      </c>
      <c r="F16" s="1" t="s">
        <v>124</v>
      </c>
      <c r="G16" s="1" t="s">
        <v>116</v>
      </c>
      <c r="H16" s="1" t="s">
        <v>125</v>
      </c>
      <c r="I16" s="1" t="s">
        <v>118</v>
      </c>
      <c r="K16" s="1" t="s">
        <v>37</v>
      </c>
      <c r="L16" s="1" t="s">
        <v>32</v>
      </c>
      <c r="M16" s="1" t="s">
        <v>48</v>
      </c>
      <c r="N16" s="1" t="s">
        <v>32</v>
      </c>
      <c r="O16" s="1" t="s">
        <v>32</v>
      </c>
      <c r="P16" s="1" t="s">
        <v>32</v>
      </c>
      <c r="Q16" s="1" t="s">
        <v>32</v>
      </c>
      <c r="R16" s="1" t="s">
        <v>32</v>
      </c>
      <c r="S16" s="1" t="s">
        <v>126</v>
      </c>
      <c r="T16" s="1" t="s">
        <v>32</v>
      </c>
      <c r="U16" s="1" t="s">
        <v>32</v>
      </c>
      <c r="V16" s="1" t="s">
        <v>81</v>
      </c>
      <c r="W16" s="1" t="s">
        <v>32</v>
      </c>
      <c r="X16" s="1" t="s">
        <v>37</v>
      </c>
      <c r="Y16" s="1" t="s">
        <v>37</v>
      </c>
      <c r="Z16" s="1" t="s">
        <v>32</v>
      </c>
      <c r="AA16" s="1" t="s">
        <v>32</v>
      </c>
      <c r="AB16" s="1" t="s">
        <v>32</v>
      </c>
    </row>
    <row r="17" spans="1:28" x14ac:dyDescent="0.15">
      <c r="A17" s="1" t="s">
        <v>319</v>
      </c>
      <c r="B17" s="1" t="s">
        <v>32</v>
      </c>
      <c r="C17" s="1" t="s">
        <v>32</v>
      </c>
      <c r="D17" s="1" t="s">
        <v>32</v>
      </c>
      <c r="E17" s="1" t="s">
        <v>32</v>
      </c>
      <c r="F17" s="1" t="s">
        <v>32</v>
      </c>
      <c r="G17" s="1" t="s">
        <v>32</v>
      </c>
      <c r="H17" s="1" t="s">
        <v>32</v>
      </c>
      <c r="I17" s="1" t="s">
        <v>118</v>
      </c>
      <c r="K17" s="1" t="s">
        <v>37</v>
      </c>
      <c r="L17" s="1" t="s">
        <v>32</v>
      </c>
      <c r="M17" s="1" t="s">
        <v>48</v>
      </c>
      <c r="N17" s="1" t="s">
        <v>32</v>
      </c>
      <c r="O17" s="1" t="s">
        <v>32</v>
      </c>
      <c r="P17" s="1" t="s">
        <v>32</v>
      </c>
      <c r="Q17" s="1" t="s">
        <v>32</v>
      </c>
      <c r="R17" s="1" t="s">
        <v>32</v>
      </c>
      <c r="S17" s="1" t="s">
        <v>320</v>
      </c>
      <c r="T17" s="1" t="s">
        <v>32</v>
      </c>
      <c r="U17" s="1" t="s">
        <v>32</v>
      </c>
      <c r="V17" s="1" t="s">
        <v>81</v>
      </c>
      <c r="W17" s="1" t="s">
        <v>32</v>
      </c>
      <c r="X17" s="1" t="s">
        <v>37</v>
      </c>
      <c r="Y17" s="1" t="s">
        <v>37</v>
      </c>
      <c r="Z17" s="1" t="s">
        <v>32</v>
      </c>
      <c r="AA17" s="1" t="s">
        <v>32</v>
      </c>
      <c r="AB17" s="1" t="s">
        <v>32</v>
      </c>
    </row>
    <row r="18" spans="1:28" x14ac:dyDescent="0.15">
      <c r="A18" s="1" t="s">
        <v>127</v>
      </c>
      <c r="B18" s="1" t="s">
        <v>74</v>
      </c>
      <c r="C18" s="1" t="s">
        <v>128</v>
      </c>
      <c r="D18" s="1" t="s">
        <v>129</v>
      </c>
      <c r="E18" s="1" t="s">
        <v>130</v>
      </c>
      <c r="F18" s="1" t="s">
        <v>131</v>
      </c>
      <c r="G18" s="1" t="s">
        <v>116</v>
      </c>
      <c r="H18" s="1" t="s">
        <v>132</v>
      </c>
      <c r="I18" s="1" t="s">
        <v>118</v>
      </c>
      <c r="K18" s="1" t="s">
        <v>37</v>
      </c>
      <c r="L18" s="1" t="s">
        <v>32</v>
      </c>
      <c r="M18" s="1" t="s">
        <v>48</v>
      </c>
      <c r="N18" s="1" t="s">
        <v>32</v>
      </c>
      <c r="O18" s="1" t="s">
        <v>32</v>
      </c>
      <c r="P18" s="1" t="s">
        <v>32</v>
      </c>
      <c r="Q18" s="1" t="s">
        <v>32</v>
      </c>
      <c r="R18" s="1" t="s">
        <v>32</v>
      </c>
      <c r="S18" s="1" t="s">
        <v>133</v>
      </c>
      <c r="T18" s="1" t="s">
        <v>32</v>
      </c>
      <c r="U18" s="1" t="s">
        <v>32</v>
      </c>
      <c r="V18" s="1" t="s">
        <v>81</v>
      </c>
      <c r="W18" s="1" t="s">
        <v>32</v>
      </c>
      <c r="X18" s="1" t="s">
        <v>37</v>
      </c>
      <c r="Y18" s="1" t="s">
        <v>37</v>
      </c>
      <c r="Z18" s="1" t="s">
        <v>32</v>
      </c>
      <c r="AA18" s="1" t="s">
        <v>32</v>
      </c>
      <c r="AB18" s="1" t="s">
        <v>32</v>
      </c>
    </row>
    <row r="19" spans="1:28" x14ac:dyDescent="0.15">
      <c r="A19" s="1" t="s">
        <v>134</v>
      </c>
      <c r="B19" s="1" t="s">
        <v>74</v>
      </c>
      <c r="C19" s="1" t="s">
        <v>128</v>
      </c>
      <c r="D19" s="1" t="s">
        <v>135</v>
      </c>
      <c r="E19" s="1" t="s">
        <v>130</v>
      </c>
      <c r="F19" s="1" t="s">
        <v>136</v>
      </c>
      <c r="G19" s="1" t="s">
        <v>116</v>
      </c>
      <c r="H19" s="1" t="s">
        <v>137</v>
      </c>
      <c r="I19" s="1" t="s">
        <v>138</v>
      </c>
      <c r="K19" s="1" t="s">
        <v>37</v>
      </c>
      <c r="L19" s="1" t="s">
        <v>32</v>
      </c>
      <c r="M19" s="1" t="s">
        <v>48</v>
      </c>
      <c r="N19" s="1" t="s">
        <v>32</v>
      </c>
      <c r="O19" s="1" t="s">
        <v>32</v>
      </c>
      <c r="P19" s="1" t="s">
        <v>32</v>
      </c>
      <c r="Q19" s="1" t="s">
        <v>32</v>
      </c>
      <c r="R19" s="1" t="s">
        <v>32</v>
      </c>
      <c r="S19" s="1" t="s">
        <v>139</v>
      </c>
      <c r="T19" s="1" t="s">
        <v>32</v>
      </c>
      <c r="U19" s="1" t="s">
        <v>32</v>
      </c>
      <c r="V19" s="1" t="s">
        <v>81</v>
      </c>
      <c r="W19" s="1" t="s">
        <v>32</v>
      </c>
      <c r="X19" s="1" t="s">
        <v>37</v>
      </c>
      <c r="Y19" s="1" t="s">
        <v>37</v>
      </c>
      <c r="Z19" s="1" t="s">
        <v>32</v>
      </c>
      <c r="AA19" s="1" t="s">
        <v>32</v>
      </c>
      <c r="AB19" s="1" t="s">
        <v>32</v>
      </c>
    </row>
    <row r="20" spans="1:28" x14ac:dyDescent="0.15">
      <c r="A20" s="1" t="s">
        <v>140</v>
      </c>
      <c r="B20" s="1" t="s">
        <v>74</v>
      </c>
      <c r="C20" s="1" t="s">
        <v>112</v>
      </c>
      <c r="D20" s="1" t="s">
        <v>141</v>
      </c>
      <c r="E20" s="1" t="s">
        <v>114</v>
      </c>
      <c r="F20" s="1" t="s">
        <v>142</v>
      </c>
      <c r="G20" s="1" t="s">
        <v>43</v>
      </c>
      <c r="H20" s="1" t="s">
        <v>143</v>
      </c>
      <c r="I20" s="1" t="s">
        <v>45</v>
      </c>
      <c r="K20" s="1" t="s">
        <v>37</v>
      </c>
      <c r="L20" s="1" t="s">
        <v>32</v>
      </c>
      <c r="M20" s="1" t="s">
        <v>48</v>
      </c>
      <c r="N20" s="1" t="s">
        <v>32</v>
      </c>
      <c r="O20" s="1" t="s">
        <v>32</v>
      </c>
      <c r="P20" s="1" t="s">
        <v>32</v>
      </c>
      <c r="Q20" s="1" t="s">
        <v>32</v>
      </c>
      <c r="R20" s="1" t="s">
        <v>32</v>
      </c>
      <c r="S20" s="1" t="s">
        <v>144</v>
      </c>
      <c r="T20" s="1" t="s">
        <v>32</v>
      </c>
      <c r="U20" s="1" t="s">
        <v>32</v>
      </c>
      <c r="V20" s="1" t="s">
        <v>81</v>
      </c>
      <c r="W20" s="1" t="s">
        <v>32</v>
      </c>
      <c r="X20" s="1" t="s">
        <v>37</v>
      </c>
      <c r="Y20" s="1" t="s">
        <v>37</v>
      </c>
      <c r="Z20" s="1" t="s">
        <v>32</v>
      </c>
      <c r="AA20" s="1" t="s">
        <v>32</v>
      </c>
      <c r="AB20" s="1" t="s">
        <v>32</v>
      </c>
    </row>
    <row r="21" spans="1:28" x14ac:dyDescent="0.15">
      <c r="A21" s="1" t="s">
        <v>145</v>
      </c>
      <c r="B21" s="1" t="s">
        <v>74</v>
      </c>
      <c r="C21" s="1" t="s">
        <v>112</v>
      </c>
      <c r="D21" s="1" t="s">
        <v>146</v>
      </c>
      <c r="E21" s="1" t="s">
        <v>114</v>
      </c>
      <c r="F21" s="1" t="s">
        <v>147</v>
      </c>
      <c r="G21" s="1" t="s">
        <v>43</v>
      </c>
      <c r="H21" s="1" t="s">
        <v>148</v>
      </c>
      <c r="I21" s="1" t="s">
        <v>45</v>
      </c>
      <c r="K21" s="1" t="s">
        <v>37</v>
      </c>
      <c r="L21" s="1" t="s">
        <v>32</v>
      </c>
      <c r="M21" s="1" t="s">
        <v>48</v>
      </c>
      <c r="N21" s="1" t="s">
        <v>32</v>
      </c>
      <c r="O21" s="1" t="s">
        <v>32</v>
      </c>
      <c r="P21" s="1" t="s">
        <v>32</v>
      </c>
      <c r="Q21" s="1" t="s">
        <v>32</v>
      </c>
      <c r="R21" s="1" t="s">
        <v>32</v>
      </c>
      <c r="S21" s="1" t="s">
        <v>149</v>
      </c>
      <c r="T21" s="1" t="s">
        <v>32</v>
      </c>
      <c r="U21" s="1" t="s">
        <v>32</v>
      </c>
      <c r="V21" s="1" t="s">
        <v>81</v>
      </c>
      <c r="W21" s="1" t="s">
        <v>32</v>
      </c>
      <c r="X21" s="1" t="s">
        <v>37</v>
      </c>
      <c r="Y21" s="1" t="s">
        <v>37</v>
      </c>
      <c r="Z21" s="1" t="s">
        <v>32</v>
      </c>
      <c r="AA21" s="1" t="s">
        <v>32</v>
      </c>
      <c r="AB21" s="1" t="s">
        <v>32</v>
      </c>
    </row>
    <row r="22" spans="1:28" x14ac:dyDescent="0.15">
      <c r="A22" s="1" t="s">
        <v>150</v>
      </c>
      <c r="B22" s="1" t="s">
        <v>151</v>
      </c>
      <c r="C22" s="1" t="s">
        <v>152</v>
      </c>
      <c r="D22" s="1" t="s">
        <v>153</v>
      </c>
      <c r="E22" s="1" t="s">
        <v>154</v>
      </c>
      <c r="F22" s="1" t="s">
        <v>155</v>
      </c>
      <c r="G22" s="1" t="s">
        <v>43</v>
      </c>
      <c r="H22" s="1" t="s">
        <v>156</v>
      </c>
      <c r="I22" s="1" t="s">
        <v>45</v>
      </c>
      <c r="K22" s="1" t="s">
        <v>37</v>
      </c>
      <c r="L22" s="1" t="s">
        <v>32</v>
      </c>
      <c r="M22" s="1" t="s">
        <v>32</v>
      </c>
      <c r="N22" s="1" t="s">
        <v>157</v>
      </c>
      <c r="O22" s="1" t="s">
        <v>32</v>
      </c>
      <c r="P22" s="1" t="s">
        <v>32</v>
      </c>
      <c r="Q22" s="1" t="s">
        <v>32</v>
      </c>
      <c r="R22" s="1" t="s">
        <v>32</v>
      </c>
      <c r="S22" s="1" t="s">
        <v>158</v>
      </c>
      <c r="T22" s="1" t="s">
        <v>32</v>
      </c>
      <c r="U22" s="1" t="s">
        <v>32</v>
      </c>
      <c r="V22" s="1" t="s">
        <v>39</v>
      </c>
      <c r="W22" s="1" t="s">
        <v>32</v>
      </c>
      <c r="X22" s="1" t="s">
        <v>37</v>
      </c>
      <c r="Y22" s="1" t="s">
        <v>37</v>
      </c>
      <c r="Z22" s="1" t="s">
        <v>32</v>
      </c>
      <c r="AA22" s="1" t="s">
        <v>32</v>
      </c>
      <c r="AB22" s="1" t="s">
        <v>48</v>
      </c>
    </row>
    <row r="23" spans="1:28" x14ac:dyDescent="0.15">
      <c r="A23" s="1" t="s">
        <v>159</v>
      </c>
      <c r="B23" s="1" t="s">
        <v>29</v>
      </c>
      <c r="C23" s="1" t="s">
        <v>68</v>
      </c>
      <c r="D23" s="1" t="s">
        <v>160</v>
      </c>
      <c r="E23" s="1" t="s">
        <v>32</v>
      </c>
      <c r="F23" s="1" t="s">
        <v>161</v>
      </c>
      <c r="G23" s="1" t="s">
        <v>34</v>
      </c>
      <c r="H23" s="1" t="s">
        <v>162</v>
      </c>
      <c r="I23" s="1" t="s">
        <v>36</v>
      </c>
      <c r="K23" s="1" t="s">
        <v>37</v>
      </c>
      <c r="L23" s="1" t="s">
        <v>32</v>
      </c>
      <c r="M23" s="1" t="s">
        <v>48</v>
      </c>
      <c r="N23" s="1" t="s">
        <v>32</v>
      </c>
      <c r="O23" s="1" t="s">
        <v>32</v>
      </c>
      <c r="P23" s="1" t="s">
        <v>32</v>
      </c>
      <c r="Q23" s="1" t="s">
        <v>32</v>
      </c>
      <c r="R23" s="1" t="s">
        <v>32</v>
      </c>
      <c r="S23" s="1" t="s">
        <v>163</v>
      </c>
      <c r="T23" s="1" t="s">
        <v>32</v>
      </c>
      <c r="U23" s="1" t="s">
        <v>32</v>
      </c>
      <c r="V23" s="1" t="s">
        <v>39</v>
      </c>
      <c r="W23" s="1" t="s">
        <v>32</v>
      </c>
      <c r="X23" s="1" t="s">
        <v>37</v>
      </c>
      <c r="Y23" s="1" t="s">
        <v>37</v>
      </c>
      <c r="Z23" s="1" t="s">
        <v>32</v>
      </c>
      <c r="AA23" s="1" t="s">
        <v>32</v>
      </c>
      <c r="AB23" s="1" t="s">
        <v>32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164</v>
      </c>
      <c r="B1" s="1"/>
    </row>
    <row r="2" spans="1:2" x14ac:dyDescent="0.15">
      <c r="A2" s="1" t="s">
        <v>325</v>
      </c>
    </row>
    <row r="3" spans="1:2" x14ac:dyDescent="0.15">
      <c r="A3" s="1" t="s">
        <v>48</v>
      </c>
    </row>
    <row r="4" spans="1:2" x14ac:dyDescent="0.15">
      <c r="A4" t="s">
        <v>165</v>
      </c>
    </row>
    <row r="5" spans="1:2" x14ac:dyDescent="0.15">
      <c r="A5">
        <v>129</v>
      </c>
    </row>
    <row r="6" spans="1:2" x14ac:dyDescent="0.15">
      <c r="A6">
        <v>1</v>
      </c>
    </row>
    <row r="7" spans="1:2" x14ac:dyDescent="0.15">
      <c r="A7">
        <v>1</v>
      </c>
    </row>
    <row r="8" spans="1:2" x14ac:dyDescent="0.15">
      <c r="A8">
        <v>10</v>
      </c>
    </row>
    <row r="9" spans="1:2" x14ac:dyDescent="0.15">
      <c r="A9" t="b">
        <v>0</v>
      </c>
    </row>
    <row r="10" spans="1:2" x14ac:dyDescent="0.15">
      <c r="A10" t="s">
        <v>166</v>
      </c>
    </row>
    <row r="11" spans="1:2" x14ac:dyDescent="0.15">
      <c r="A11" s="1" t="s">
        <v>167</v>
      </c>
    </row>
    <row r="12" spans="1:2" x14ac:dyDescent="0.15">
      <c r="A12" s="1" t="s">
        <v>48</v>
      </c>
    </row>
    <row r="13" spans="1:2" x14ac:dyDescent="0.15">
      <c r="A13" s="1" t="s">
        <v>168</v>
      </c>
    </row>
    <row r="14" spans="1:2" x14ac:dyDescent="0.15">
      <c r="A14" s="1" t="s">
        <v>56</v>
      </c>
    </row>
    <row r="15" spans="1:2" x14ac:dyDescent="0.15">
      <c r="A15" s="1" t="s">
        <v>48</v>
      </c>
    </row>
    <row r="16" spans="1:2" x14ac:dyDescent="0.15">
      <c r="A16" s="1" t="s">
        <v>55</v>
      </c>
    </row>
    <row r="17" spans="1:3" x14ac:dyDescent="0.15">
      <c r="A17" s="1" t="s">
        <v>55</v>
      </c>
    </row>
    <row r="18" spans="1:3" x14ac:dyDescent="0.15">
      <c r="A18" s="1" t="s">
        <v>48</v>
      </c>
    </row>
    <row r="19" spans="1:3" x14ac:dyDescent="0.15">
      <c r="A19" s="1" t="s">
        <v>169</v>
      </c>
    </row>
    <row r="20" spans="1:3" x14ac:dyDescent="0.15">
      <c r="A20" s="1" t="s">
        <v>170</v>
      </c>
    </row>
    <row r="31" spans="1:3" x14ac:dyDescent="0.15">
      <c r="A31" s="1" t="s">
        <v>32</v>
      </c>
      <c r="B31" s="1" t="s">
        <v>32</v>
      </c>
      <c r="C31" s="1" t="s">
        <v>55</v>
      </c>
    </row>
    <row r="32" spans="1:3" x14ac:dyDescent="0.15">
      <c r="A32" s="1" t="s">
        <v>32</v>
      </c>
      <c r="B32" s="1" t="s">
        <v>32</v>
      </c>
      <c r="C32" s="1" t="s">
        <v>55</v>
      </c>
    </row>
    <row r="33" spans="1:3" x14ac:dyDescent="0.15">
      <c r="A33" s="1" t="s">
        <v>32</v>
      </c>
      <c r="B33" s="1"/>
      <c r="C33" s="1"/>
    </row>
    <row r="34" spans="1:3" x14ac:dyDescent="0.15">
      <c r="A34" s="1" t="s">
        <v>32</v>
      </c>
      <c r="B34" s="1"/>
      <c r="C34" s="1"/>
    </row>
    <row r="35" spans="1:3" x14ac:dyDescent="0.15">
      <c r="A35" s="1" t="s">
        <v>32</v>
      </c>
      <c r="B35" s="1"/>
      <c r="C35" s="1"/>
    </row>
    <row r="36" spans="1:3" x14ac:dyDescent="0.15">
      <c r="A36" s="1" t="s">
        <v>55</v>
      </c>
      <c r="B36" s="1"/>
      <c r="C36" s="1"/>
    </row>
    <row r="37" spans="1:3" x14ac:dyDescent="0.15">
      <c r="A37" s="1" t="s">
        <v>55</v>
      </c>
      <c r="B37" s="1"/>
      <c r="C37" s="1"/>
    </row>
    <row r="38" spans="1:3" x14ac:dyDescent="0.15">
      <c r="A38" s="1" t="s">
        <v>32</v>
      </c>
      <c r="B38" s="1"/>
      <c r="C38" s="1"/>
    </row>
    <row r="51" spans="1:1" x14ac:dyDescent="0.15">
      <c r="A51" s="1" t="s">
        <v>32</v>
      </c>
    </row>
    <row r="52" spans="1:1" x14ac:dyDescent="0.15">
      <c r="A52" s="1" t="s">
        <v>32</v>
      </c>
    </row>
    <row r="53" spans="1:1" x14ac:dyDescent="0.15">
      <c r="A53" s="1" t="s">
        <v>32</v>
      </c>
    </row>
    <row r="54" spans="1:1" x14ac:dyDescent="0.15">
      <c r="A54" s="1" t="s">
        <v>32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/>
  </sheetViews>
  <sheetFormatPr defaultColWidth="9" defaultRowHeight="13.5" x14ac:dyDescent="0.15"/>
  <cols>
    <col min="1" max="4" width="9" style="11"/>
    <col min="5" max="5" width="200.75" style="11" customWidth="1"/>
    <col min="6" max="16384" width="9" style="11"/>
  </cols>
  <sheetData>
    <row r="1" spans="1:6" ht="108" x14ac:dyDescent="0.15">
      <c r="A1" s="11" t="s">
        <v>171</v>
      </c>
      <c r="B1" s="11" t="s">
        <v>172</v>
      </c>
      <c r="C1" s="11" t="s">
        <v>173</v>
      </c>
      <c r="E1" s="12" t="s">
        <v>174</v>
      </c>
      <c r="F1" s="11" t="s">
        <v>32</v>
      </c>
    </row>
    <row r="2" spans="1:6" x14ac:dyDescent="0.15">
      <c r="A2" s="11" t="s">
        <v>171</v>
      </c>
      <c r="B2" s="11" t="s">
        <v>175</v>
      </c>
      <c r="C2" s="11" t="s">
        <v>176</v>
      </c>
      <c r="E2" s="11" t="s">
        <v>177</v>
      </c>
      <c r="F2" s="11" t="s">
        <v>32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"/>
  <sheetViews>
    <sheetView workbookViewId="0"/>
  </sheetViews>
  <sheetFormatPr defaultColWidth="9" defaultRowHeight="13.5" x14ac:dyDescent="0.15"/>
  <cols>
    <col min="1" max="16384" width="9" style="11"/>
  </cols>
  <sheetData>
    <row r="1" spans="1:5" ht="27" x14ac:dyDescent="0.15">
      <c r="A1" s="11" t="s">
        <v>178</v>
      </c>
      <c r="B1" s="11" t="s">
        <v>179</v>
      </c>
      <c r="C1" s="11" t="s">
        <v>180</v>
      </c>
      <c r="D1" s="11" t="s">
        <v>32</v>
      </c>
      <c r="E1" s="12" t="s">
        <v>181</v>
      </c>
    </row>
    <row r="2" spans="1:5" ht="135" x14ac:dyDescent="0.15">
      <c r="A2" s="11" t="s">
        <v>178</v>
      </c>
      <c r="B2" s="11" t="s">
        <v>182</v>
      </c>
      <c r="C2" s="11" t="s">
        <v>173</v>
      </c>
      <c r="D2" s="11" t="s">
        <v>32</v>
      </c>
      <c r="E2" s="12" t="s">
        <v>183</v>
      </c>
    </row>
    <row r="3" spans="1:5" ht="202.5" x14ac:dyDescent="0.15">
      <c r="A3" s="11" t="s">
        <v>178</v>
      </c>
      <c r="B3" s="11" t="s">
        <v>182</v>
      </c>
      <c r="C3" s="11" t="s">
        <v>28</v>
      </c>
      <c r="D3" s="11" t="s">
        <v>38</v>
      </c>
      <c r="E3" s="12" t="s">
        <v>184</v>
      </c>
    </row>
    <row r="4" spans="1:5" ht="202.5" x14ac:dyDescent="0.15">
      <c r="A4" s="11" t="s">
        <v>178</v>
      </c>
      <c r="B4" s="11" t="s">
        <v>182</v>
      </c>
      <c r="C4" s="11" t="s">
        <v>40</v>
      </c>
      <c r="D4" s="11" t="s">
        <v>185</v>
      </c>
      <c r="E4" s="12" t="s">
        <v>186</v>
      </c>
    </row>
    <row r="5" spans="1:5" ht="175.5" x14ac:dyDescent="0.15">
      <c r="A5" s="11" t="s">
        <v>178</v>
      </c>
      <c r="B5" s="11" t="s">
        <v>182</v>
      </c>
      <c r="C5" s="11" t="s">
        <v>73</v>
      </c>
      <c r="D5" s="11" t="s">
        <v>80</v>
      </c>
      <c r="E5" s="12" t="s">
        <v>187</v>
      </c>
    </row>
    <row r="6" spans="1:5" ht="189" x14ac:dyDescent="0.15">
      <c r="A6" s="11" t="s">
        <v>178</v>
      </c>
      <c r="B6" s="11" t="s">
        <v>182</v>
      </c>
      <c r="C6" s="11" t="s">
        <v>82</v>
      </c>
      <c r="D6" s="11" t="s">
        <v>88</v>
      </c>
      <c r="E6" s="12" t="s">
        <v>188</v>
      </c>
    </row>
    <row r="7" spans="1:5" ht="189" x14ac:dyDescent="0.15">
      <c r="A7" s="11" t="s">
        <v>178</v>
      </c>
      <c r="B7" s="11" t="s">
        <v>182</v>
      </c>
      <c r="C7" s="11" t="s">
        <v>89</v>
      </c>
      <c r="D7" s="11" t="s">
        <v>93</v>
      </c>
      <c r="E7" s="12" t="s">
        <v>189</v>
      </c>
    </row>
    <row r="8" spans="1:5" ht="202.5" x14ac:dyDescent="0.15">
      <c r="A8" s="11" t="s">
        <v>178</v>
      </c>
      <c r="B8" s="11" t="s">
        <v>182</v>
      </c>
      <c r="C8" s="11" t="s">
        <v>94</v>
      </c>
      <c r="D8" s="11" t="s">
        <v>100</v>
      </c>
      <c r="E8" s="12" t="s">
        <v>190</v>
      </c>
    </row>
    <row r="9" spans="1:5" ht="202.5" x14ac:dyDescent="0.15">
      <c r="A9" s="11" t="s">
        <v>178</v>
      </c>
      <c r="B9" s="11" t="s">
        <v>182</v>
      </c>
      <c r="C9" s="11" t="s">
        <v>101</v>
      </c>
      <c r="D9" s="11" t="s">
        <v>105</v>
      </c>
      <c r="E9" s="12" t="s">
        <v>191</v>
      </c>
    </row>
    <row r="10" spans="1:5" ht="175.5" x14ac:dyDescent="0.15">
      <c r="A10" s="11" t="s">
        <v>178</v>
      </c>
      <c r="B10" s="11" t="s">
        <v>182</v>
      </c>
      <c r="C10" s="11" t="s">
        <v>106</v>
      </c>
      <c r="D10" s="11" t="s">
        <v>110</v>
      </c>
      <c r="E10" s="12" t="s">
        <v>192</v>
      </c>
    </row>
    <row r="11" spans="1:5" ht="162" x14ac:dyDescent="0.15">
      <c r="A11" s="11" t="s">
        <v>178</v>
      </c>
      <c r="B11" s="11" t="s">
        <v>182</v>
      </c>
      <c r="C11" s="11" t="s">
        <v>193</v>
      </c>
      <c r="D11" s="11" t="s">
        <v>194</v>
      </c>
      <c r="E11" s="12" t="s">
        <v>195</v>
      </c>
    </row>
    <row r="12" spans="1:5" ht="162" x14ac:dyDescent="0.15">
      <c r="A12" s="11" t="s">
        <v>178</v>
      </c>
      <c r="B12" s="11" t="s">
        <v>182</v>
      </c>
      <c r="C12" s="11" t="s">
        <v>120</v>
      </c>
      <c r="D12" s="11" t="s">
        <v>196</v>
      </c>
      <c r="E12" s="12" t="s">
        <v>197</v>
      </c>
    </row>
    <row r="13" spans="1:5" ht="162" x14ac:dyDescent="0.15">
      <c r="A13" s="11" t="s">
        <v>178</v>
      </c>
      <c r="B13" s="11" t="s">
        <v>182</v>
      </c>
      <c r="C13" s="11" t="s">
        <v>127</v>
      </c>
      <c r="D13" s="11" t="s">
        <v>198</v>
      </c>
      <c r="E13" s="12" t="s">
        <v>199</v>
      </c>
    </row>
    <row r="14" spans="1:5" ht="162" x14ac:dyDescent="0.15">
      <c r="A14" s="11" t="s">
        <v>178</v>
      </c>
      <c r="B14" s="11" t="s">
        <v>182</v>
      </c>
      <c r="C14" s="11" t="s">
        <v>134</v>
      </c>
      <c r="D14" s="11" t="s">
        <v>200</v>
      </c>
      <c r="E14" s="12" t="s">
        <v>201</v>
      </c>
    </row>
    <row r="15" spans="1:5" ht="189" x14ac:dyDescent="0.15">
      <c r="A15" s="11" t="s">
        <v>178</v>
      </c>
      <c r="B15" s="11" t="s">
        <v>182</v>
      </c>
      <c r="C15" s="11" t="s">
        <v>140</v>
      </c>
      <c r="D15" s="11" t="s">
        <v>202</v>
      </c>
      <c r="E15" s="12" t="s">
        <v>203</v>
      </c>
    </row>
    <row r="16" spans="1:5" ht="189" x14ac:dyDescent="0.15">
      <c r="A16" s="11" t="s">
        <v>178</v>
      </c>
      <c r="B16" s="11" t="s">
        <v>182</v>
      </c>
      <c r="C16" s="11" t="s">
        <v>145</v>
      </c>
      <c r="D16" s="11" t="s">
        <v>204</v>
      </c>
      <c r="E16" s="12" t="s">
        <v>205</v>
      </c>
    </row>
    <row r="17" spans="1:5" ht="27" x14ac:dyDescent="0.15">
      <c r="A17" s="11" t="s">
        <v>178</v>
      </c>
      <c r="B17" s="11" t="s">
        <v>182</v>
      </c>
      <c r="C17" s="11" t="s">
        <v>180</v>
      </c>
      <c r="D17" s="11" t="s">
        <v>32</v>
      </c>
      <c r="E17" s="12" t="s">
        <v>181</v>
      </c>
    </row>
    <row r="18" spans="1:5" ht="67.5" x14ac:dyDescent="0.15">
      <c r="A18" s="11" t="s">
        <v>178</v>
      </c>
      <c r="B18" s="11" t="s">
        <v>206</v>
      </c>
      <c r="C18" s="11" t="s">
        <v>207</v>
      </c>
      <c r="D18" s="11" t="s">
        <v>32</v>
      </c>
      <c r="E18" s="12" t="s">
        <v>208</v>
      </c>
    </row>
    <row r="19" spans="1:5" ht="189" x14ac:dyDescent="0.15">
      <c r="A19" s="11" t="s">
        <v>178</v>
      </c>
      <c r="B19" s="11" t="s">
        <v>209</v>
      </c>
      <c r="C19" s="11" t="s">
        <v>49</v>
      </c>
      <c r="D19" s="11" t="s">
        <v>57</v>
      </c>
      <c r="E19" s="12" t="s">
        <v>210</v>
      </c>
    </row>
    <row r="20" spans="1:5" ht="189" x14ac:dyDescent="0.15">
      <c r="A20" s="11" t="s">
        <v>178</v>
      </c>
      <c r="B20" s="11" t="s">
        <v>209</v>
      </c>
      <c r="C20" s="11" t="s">
        <v>58</v>
      </c>
      <c r="D20" s="11" t="s">
        <v>62</v>
      </c>
      <c r="E20" s="12" t="s">
        <v>211</v>
      </c>
    </row>
    <row r="21" spans="1:5" ht="189" x14ac:dyDescent="0.15">
      <c r="A21" s="11" t="s">
        <v>178</v>
      </c>
      <c r="B21" s="11" t="s">
        <v>209</v>
      </c>
      <c r="C21" s="11" t="s">
        <v>63</v>
      </c>
      <c r="D21" s="11" t="s">
        <v>212</v>
      </c>
      <c r="E21" s="12" t="s">
        <v>213</v>
      </c>
    </row>
    <row r="22" spans="1:5" ht="67.5" x14ac:dyDescent="0.15">
      <c r="A22" s="11" t="s">
        <v>178</v>
      </c>
      <c r="B22" s="11" t="s">
        <v>214</v>
      </c>
      <c r="C22" s="11" t="s">
        <v>193</v>
      </c>
      <c r="D22" s="11" t="s">
        <v>194</v>
      </c>
      <c r="E22" s="12" t="s">
        <v>215</v>
      </c>
    </row>
    <row r="23" spans="1:5" ht="67.5" x14ac:dyDescent="0.15">
      <c r="A23" s="11" t="s">
        <v>178</v>
      </c>
      <c r="B23" s="11" t="s">
        <v>214</v>
      </c>
      <c r="C23" s="11" t="s">
        <v>120</v>
      </c>
      <c r="D23" s="11" t="s">
        <v>196</v>
      </c>
      <c r="E23" s="12" t="s">
        <v>215</v>
      </c>
    </row>
    <row r="24" spans="1:5" ht="67.5" x14ac:dyDescent="0.15">
      <c r="A24" s="11" t="s">
        <v>178</v>
      </c>
      <c r="B24" s="11" t="s">
        <v>214</v>
      </c>
      <c r="C24" s="11" t="s">
        <v>127</v>
      </c>
      <c r="D24" s="11" t="s">
        <v>198</v>
      </c>
      <c r="E24" s="12" t="s">
        <v>215</v>
      </c>
    </row>
    <row r="25" spans="1:5" ht="67.5" x14ac:dyDescent="0.15">
      <c r="A25" s="11" t="s">
        <v>178</v>
      </c>
      <c r="B25" s="11" t="s">
        <v>214</v>
      </c>
      <c r="C25" s="11" t="s">
        <v>134</v>
      </c>
      <c r="D25" s="11" t="s">
        <v>200</v>
      </c>
      <c r="E25" s="12" t="s">
        <v>215</v>
      </c>
    </row>
    <row r="26" spans="1:5" ht="202.5" x14ac:dyDescent="0.15">
      <c r="A26" s="11" t="s">
        <v>178</v>
      </c>
      <c r="B26" s="11" t="s">
        <v>214</v>
      </c>
      <c r="C26" s="11" t="s">
        <v>216</v>
      </c>
      <c r="D26" s="11" t="s">
        <v>217</v>
      </c>
      <c r="E26" s="12" t="s">
        <v>218</v>
      </c>
    </row>
    <row r="27" spans="1:5" ht="202.5" x14ac:dyDescent="0.15">
      <c r="A27" s="11" t="s">
        <v>178</v>
      </c>
      <c r="B27" s="11" t="s">
        <v>219</v>
      </c>
      <c r="C27" s="11" t="s">
        <v>40</v>
      </c>
      <c r="D27" s="11" t="s">
        <v>220</v>
      </c>
      <c r="E27" s="12" t="s">
        <v>221</v>
      </c>
    </row>
    <row r="28" spans="1:5" ht="202.5" x14ac:dyDescent="0.15">
      <c r="A28" s="11" t="s">
        <v>178</v>
      </c>
      <c r="B28" s="11" t="s">
        <v>219</v>
      </c>
      <c r="C28" s="11" t="s">
        <v>216</v>
      </c>
      <c r="D28" s="11" t="s">
        <v>222</v>
      </c>
      <c r="E28" s="12" t="s">
        <v>223</v>
      </c>
    </row>
    <row r="29" spans="1:5" x14ac:dyDescent="0.15">
      <c r="A29" s="11" t="s">
        <v>178</v>
      </c>
      <c r="B29" s="11" t="s">
        <v>219</v>
      </c>
      <c r="C29" s="11" t="s">
        <v>40</v>
      </c>
      <c r="D29" s="11" t="s">
        <v>185</v>
      </c>
      <c r="E29" s="11" t="s">
        <v>224</v>
      </c>
    </row>
    <row r="30" spans="1:5" x14ac:dyDescent="0.15">
      <c r="A30" s="11" t="s">
        <v>178</v>
      </c>
      <c r="B30" s="11" t="s">
        <v>219</v>
      </c>
      <c r="C30" s="11" t="s">
        <v>216</v>
      </c>
      <c r="D30" s="11" t="s">
        <v>217</v>
      </c>
      <c r="E30" s="11" t="s">
        <v>224</v>
      </c>
    </row>
    <row r="31" spans="1:5" ht="175.5" x14ac:dyDescent="0.15">
      <c r="A31" s="11" t="s">
        <v>178</v>
      </c>
      <c r="B31" s="11" t="s">
        <v>225</v>
      </c>
      <c r="C31" s="11" t="s">
        <v>216</v>
      </c>
      <c r="D31" s="11" t="s">
        <v>222</v>
      </c>
      <c r="E31" s="12" t="s">
        <v>226</v>
      </c>
    </row>
    <row r="32" spans="1:5" ht="189" x14ac:dyDescent="0.15">
      <c r="A32" s="11" t="s">
        <v>178</v>
      </c>
      <c r="B32" s="11" t="s">
        <v>227</v>
      </c>
      <c r="C32" s="11" t="s">
        <v>67</v>
      </c>
      <c r="D32" s="11" t="s">
        <v>228</v>
      </c>
      <c r="E32" s="12" t="s">
        <v>229</v>
      </c>
    </row>
    <row r="33" spans="1:5" ht="108" x14ac:dyDescent="0.15">
      <c r="A33" s="11" t="s">
        <v>178</v>
      </c>
      <c r="B33" s="11" t="s">
        <v>227</v>
      </c>
      <c r="C33" s="11" t="s">
        <v>216</v>
      </c>
      <c r="D33" s="11" t="s">
        <v>222</v>
      </c>
      <c r="E33" s="12" t="s">
        <v>230</v>
      </c>
    </row>
    <row r="34" spans="1:5" ht="202.5" x14ac:dyDescent="0.15">
      <c r="A34" s="11" t="s">
        <v>178</v>
      </c>
      <c r="B34" s="11" t="s">
        <v>231</v>
      </c>
      <c r="C34" s="11" t="s">
        <v>40</v>
      </c>
      <c r="D34" s="11" t="s">
        <v>232</v>
      </c>
      <c r="E34" s="12" t="s">
        <v>233</v>
      </c>
    </row>
    <row r="35" spans="1:5" x14ac:dyDescent="0.15">
      <c r="A35" s="11" t="s">
        <v>178</v>
      </c>
      <c r="B35" s="11" t="s">
        <v>231</v>
      </c>
      <c r="C35" s="11" t="s">
        <v>40</v>
      </c>
      <c r="D35" s="11" t="s">
        <v>220</v>
      </c>
      <c r="E35" s="11" t="s">
        <v>224</v>
      </c>
    </row>
    <row r="36" spans="1:5" ht="67.5" x14ac:dyDescent="0.15">
      <c r="A36" s="11" t="s">
        <v>178</v>
      </c>
      <c r="B36" s="11" t="s">
        <v>234</v>
      </c>
      <c r="C36" s="11" t="s">
        <v>235</v>
      </c>
      <c r="D36" s="11" t="s">
        <v>194</v>
      </c>
      <c r="E36" s="12" t="s">
        <v>236</v>
      </c>
    </row>
    <row r="37" spans="1:5" ht="67.5" x14ac:dyDescent="0.15">
      <c r="A37" s="11" t="s">
        <v>178</v>
      </c>
      <c r="B37" s="11" t="s">
        <v>237</v>
      </c>
      <c r="C37" s="11" t="s">
        <v>111</v>
      </c>
      <c r="D37" s="11" t="s">
        <v>194</v>
      </c>
      <c r="E37" s="12" t="s">
        <v>215</v>
      </c>
    </row>
    <row r="38" spans="1:5" ht="202.5" x14ac:dyDescent="0.15">
      <c r="A38" s="11" t="s">
        <v>178</v>
      </c>
      <c r="B38" s="11" t="s">
        <v>238</v>
      </c>
      <c r="C38" s="11" t="s">
        <v>150</v>
      </c>
      <c r="D38" s="11" t="s">
        <v>239</v>
      </c>
      <c r="E38" s="12" t="s">
        <v>240</v>
      </c>
    </row>
    <row r="39" spans="1:5" ht="202.5" x14ac:dyDescent="0.15">
      <c r="A39" s="11" t="s">
        <v>178</v>
      </c>
      <c r="B39" s="11" t="s">
        <v>241</v>
      </c>
      <c r="C39" s="11" t="s">
        <v>150</v>
      </c>
      <c r="D39" s="11" t="s">
        <v>242</v>
      </c>
      <c r="E39" s="12" t="s">
        <v>243</v>
      </c>
    </row>
    <row r="40" spans="1:5" x14ac:dyDescent="0.15">
      <c r="A40" s="11" t="s">
        <v>178</v>
      </c>
      <c r="B40" s="11" t="s">
        <v>241</v>
      </c>
      <c r="C40" s="11" t="s">
        <v>150</v>
      </c>
      <c r="D40" s="11" t="s">
        <v>239</v>
      </c>
      <c r="E40" s="11" t="s">
        <v>224</v>
      </c>
    </row>
    <row r="41" spans="1:5" ht="108" x14ac:dyDescent="0.15">
      <c r="A41" s="11" t="s">
        <v>244</v>
      </c>
      <c r="B41" s="11" t="s">
        <v>245</v>
      </c>
      <c r="C41" s="11" t="s">
        <v>159</v>
      </c>
      <c r="D41" s="11" t="s">
        <v>222</v>
      </c>
      <c r="E41" s="12" t="s">
        <v>246</v>
      </c>
    </row>
    <row r="42" spans="1:5" ht="189" x14ac:dyDescent="0.15">
      <c r="A42" s="11" t="s">
        <v>244</v>
      </c>
      <c r="B42" s="11" t="s">
        <v>247</v>
      </c>
      <c r="C42" s="11" t="s">
        <v>159</v>
      </c>
      <c r="D42" s="11" t="s">
        <v>222</v>
      </c>
      <c r="E42" s="12" t="s">
        <v>248</v>
      </c>
    </row>
    <row r="43" spans="1:5" ht="202.5" x14ac:dyDescent="0.15">
      <c r="A43" s="11" t="s">
        <v>244</v>
      </c>
      <c r="B43" s="11" t="s">
        <v>249</v>
      </c>
      <c r="C43" s="11" t="s">
        <v>159</v>
      </c>
      <c r="D43" s="11" t="s">
        <v>250</v>
      </c>
      <c r="E43" s="12" t="s">
        <v>251</v>
      </c>
    </row>
    <row r="44" spans="1:5" x14ac:dyDescent="0.15">
      <c r="A44" s="11" t="s">
        <v>244</v>
      </c>
      <c r="B44" s="11" t="s">
        <v>249</v>
      </c>
      <c r="C44" s="11" t="s">
        <v>159</v>
      </c>
      <c r="D44" s="11" t="s">
        <v>222</v>
      </c>
      <c r="E44" s="11" t="s">
        <v>224</v>
      </c>
    </row>
    <row r="45" spans="1:5" ht="67.5" x14ac:dyDescent="0.15">
      <c r="A45" s="11" t="s">
        <v>244</v>
      </c>
      <c r="B45" s="11" t="s">
        <v>252</v>
      </c>
      <c r="C45" s="11" t="s">
        <v>111</v>
      </c>
      <c r="D45" s="11" t="s">
        <v>194</v>
      </c>
      <c r="E45" s="12" t="s">
        <v>236</v>
      </c>
    </row>
    <row r="46" spans="1:5" ht="67.5" x14ac:dyDescent="0.15">
      <c r="A46" s="11" t="s">
        <v>244</v>
      </c>
      <c r="B46" s="11" t="s">
        <v>253</v>
      </c>
      <c r="C46" s="11" t="s">
        <v>127</v>
      </c>
      <c r="D46" s="11" t="s">
        <v>198</v>
      </c>
      <c r="E46" s="12" t="s">
        <v>236</v>
      </c>
    </row>
    <row r="47" spans="1:5" ht="67.5" x14ac:dyDescent="0.15">
      <c r="A47" s="11" t="s">
        <v>244</v>
      </c>
      <c r="B47" s="11" t="s">
        <v>253</v>
      </c>
      <c r="C47" s="11" t="s">
        <v>134</v>
      </c>
      <c r="D47" s="11" t="s">
        <v>200</v>
      </c>
      <c r="E47" s="12" t="s">
        <v>236</v>
      </c>
    </row>
    <row r="48" spans="1:5" ht="81" x14ac:dyDescent="0.15">
      <c r="A48" s="11" t="s">
        <v>244</v>
      </c>
      <c r="B48" s="11" t="s">
        <v>254</v>
      </c>
      <c r="C48" s="11" t="s">
        <v>255</v>
      </c>
      <c r="D48" s="11" t="s">
        <v>194</v>
      </c>
      <c r="E48" s="12" t="s">
        <v>256</v>
      </c>
    </row>
    <row r="49" spans="1:5" ht="67.5" x14ac:dyDescent="0.15">
      <c r="A49" s="11" t="s">
        <v>244</v>
      </c>
      <c r="B49" s="11" t="s">
        <v>257</v>
      </c>
      <c r="C49" s="11" t="s">
        <v>111</v>
      </c>
      <c r="D49" s="11" t="s">
        <v>194</v>
      </c>
      <c r="E49" s="12" t="s">
        <v>258</v>
      </c>
    </row>
    <row r="50" spans="1:5" ht="67.5" x14ac:dyDescent="0.15">
      <c r="A50" s="11" t="s">
        <v>244</v>
      </c>
      <c r="B50" s="11" t="s">
        <v>259</v>
      </c>
      <c r="C50" s="11" t="s">
        <v>120</v>
      </c>
      <c r="D50" s="11" t="s">
        <v>196</v>
      </c>
      <c r="E50" s="12" t="s">
        <v>236</v>
      </c>
    </row>
    <row r="51" spans="1:5" ht="81" x14ac:dyDescent="0.15">
      <c r="A51" s="11" t="s">
        <v>244</v>
      </c>
      <c r="B51" s="11" t="s">
        <v>260</v>
      </c>
      <c r="C51" s="11" t="s">
        <v>261</v>
      </c>
      <c r="D51" s="11" t="s">
        <v>194</v>
      </c>
      <c r="E51" s="12" t="s">
        <v>256</v>
      </c>
    </row>
    <row r="52" spans="1:5" ht="67.5" x14ac:dyDescent="0.15">
      <c r="A52" s="11" t="s">
        <v>244</v>
      </c>
      <c r="B52" s="11" t="s">
        <v>262</v>
      </c>
      <c r="C52" s="11" t="s">
        <v>134</v>
      </c>
      <c r="D52" s="11" t="s">
        <v>200</v>
      </c>
      <c r="E52" s="12" t="s">
        <v>263</v>
      </c>
    </row>
    <row r="53" spans="1:5" ht="54" x14ac:dyDescent="0.15">
      <c r="A53" s="11" t="s">
        <v>244</v>
      </c>
      <c r="B53" s="11" t="s">
        <v>264</v>
      </c>
      <c r="C53" s="11" t="s">
        <v>173</v>
      </c>
      <c r="D53" s="11" t="s">
        <v>32</v>
      </c>
      <c r="E53" s="12" t="s">
        <v>265</v>
      </c>
    </row>
    <row r="54" spans="1:5" ht="202.5" x14ac:dyDescent="0.15">
      <c r="A54" s="11" t="s">
        <v>244</v>
      </c>
      <c r="B54" s="11" t="s">
        <v>266</v>
      </c>
      <c r="C54" s="11" t="s">
        <v>40</v>
      </c>
      <c r="D54" s="11" t="s">
        <v>267</v>
      </c>
      <c r="E54" s="12" t="s">
        <v>268</v>
      </c>
    </row>
    <row r="55" spans="1:5" ht="189" x14ac:dyDescent="0.15">
      <c r="A55" s="11" t="s">
        <v>244</v>
      </c>
      <c r="B55" s="11" t="s">
        <v>266</v>
      </c>
      <c r="C55" s="11" t="s">
        <v>63</v>
      </c>
      <c r="D55" s="11" t="s">
        <v>66</v>
      </c>
      <c r="E55" s="12" t="s">
        <v>211</v>
      </c>
    </row>
    <row r="56" spans="1:5" ht="189" x14ac:dyDescent="0.15">
      <c r="A56" s="11" t="s">
        <v>244</v>
      </c>
      <c r="B56" s="11" t="s">
        <v>266</v>
      </c>
      <c r="C56" s="11" t="s">
        <v>67</v>
      </c>
      <c r="D56" s="11" t="s">
        <v>269</v>
      </c>
      <c r="E56" s="12" t="s">
        <v>229</v>
      </c>
    </row>
    <row r="57" spans="1:5" ht="162" x14ac:dyDescent="0.15">
      <c r="A57" s="11" t="s">
        <v>244</v>
      </c>
      <c r="B57" s="11" t="s">
        <v>266</v>
      </c>
      <c r="C57" s="11" t="s">
        <v>111</v>
      </c>
      <c r="D57" s="11" t="s">
        <v>119</v>
      </c>
      <c r="E57" s="12" t="s">
        <v>195</v>
      </c>
    </row>
    <row r="58" spans="1:5" ht="162" x14ac:dyDescent="0.15">
      <c r="A58" s="11" t="s">
        <v>244</v>
      </c>
      <c r="B58" s="11" t="s">
        <v>266</v>
      </c>
      <c r="C58" s="11" t="s">
        <v>120</v>
      </c>
      <c r="D58" s="11" t="s">
        <v>270</v>
      </c>
      <c r="E58" s="12" t="s">
        <v>197</v>
      </c>
    </row>
    <row r="59" spans="1:5" ht="162" x14ac:dyDescent="0.15">
      <c r="A59" s="11" t="s">
        <v>244</v>
      </c>
      <c r="B59" s="11" t="s">
        <v>266</v>
      </c>
      <c r="C59" s="11" t="s">
        <v>127</v>
      </c>
      <c r="D59" s="11" t="s">
        <v>271</v>
      </c>
      <c r="E59" s="12" t="s">
        <v>199</v>
      </c>
    </row>
    <row r="60" spans="1:5" ht="189" x14ac:dyDescent="0.15">
      <c r="A60" s="11" t="s">
        <v>244</v>
      </c>
      <c r="B60" s="11" t="s">
        <v>266</v>
      </c>
      <c r="C60" s="11" t="s">
        <v>134</v>
      </c>
      <c r="D60" s="11" t="s">
        <v>272</v>
      </c>
      <c r="E60" s="12" t="s">
        <v>273</v>
      </c>
    </row>
    <row r="61" spans="1:5" ht="189" x14ac:dyDescent="0.15">
      <c r="A61" s="11" t="s">
        <v>244</v>
      </c>
      <c r="B61" s="11" t="s">
        <v>266</v>
      </c>
      <c r="C61" s="11" t="s">
        <v>140</v>
      </c>
      <c r="D61" s="11" t="s">
        <v>274</v>
      </c>
      <c r="E61" s="12" t="s">
        <v>203</v>
      </c>
    </row>
    <row r="62" spans="1:5" ht="189" x14ac:dyDescent="0.15">
      <c r="A62" s="11" t="s">
        <v>244</v>
      </c>
      <c r="B62" s="11" t="s">
        <v>266</v>
      </c>
      <c r="C62" s="11" t="s">
        <v>145</v>
      </c>
      <c r="D62" s="11" t="s">
        <v>275</v>
      </c>
      <c r="E62" s="12" t="s">
        <v>205</v>
      </c>
    </row>
    <row r="63" spans="1:5" ht="202.5" x14ac:dyDescent="0.15">
      <c r="A63" s="11" t="s">
        <v>244</v>
      </c>
      <c r="B63" s="11" t="s">
        <v>266</v>
      </c>
      <c r="C63" s="11" t="s">
        <v>150</v>
      </c>
      <c r="D63" s="11" t="s">
        <v>276</v>
      </c>
      <c r="E63" s="12" t="s">
        <v>277</v>
      </c>
    </row>
    <row r="64" spans="1:5" ht="202.5" x14ac:dyDescent="0.15">
      <c r="A64" s="11" t="s">
        <v>244</v>
      </c>
      <c r="B64" s="11" t="s">
        <v>266</v>
      </c>
      <c r="C64" s="11" t="s">
        <v>159</v>
      </c>
      <c r="D64" s="11" t="s">
        <v>278</v>
      </c>
      <c r="E64" s="12" t="s">
        <v>279</v>
      </c>
    </row>
    <row r="65" spans="1:5" x14ac:dyDescent="0.15">
      <c r="A65" s="11" t="s">
        <v>244</v>
      </c>
      <c r="B65" s="11" t="s">
        <v>266</v>
      </c>
      <c r="C65" s="11" t="s">
        <v>40</v>
      </c>
      <c r="D65" s="11" t="s">
        <v>232</v>
      </c>
      <c r="E65" s="11" t="s">
        <v>224</v>
      </c>
    </row>
    <row r="66" spans="1:5" x14ac:dyDescent="0.15">
      <c r="A66" s="11" t="s">
        <v>244</v>
      </c>
      <c r="B66" s="11" t="s">
        <v>266</v>
      </c>
      <c r="C66" s="11" t="s">
        <v>63</v>
      </c>
      <c r="D66" s="11" t="s">
        <v>212</v>
      </c>
      <c r="E66" s="11" t="s">
        <v>224</v>
      </c>
    </row>
    <row r="67" spans="1:5" x14ac:dyDescent="0.15">
      <c r="A67" s="11" t="s">
        <v>244</v>
      </c>
      <c r="B67" s="11" t="s">
        <v>266</v>
      </c>
      <c r="C67" s="11" t="s">
        <v>67</v>
      </c>
      <c r="D67" s="11" t="s">
        <v>228</v>
      </c>
      <c r="E67" s="11" t="s">
        <v>224</v>
      </c>
    </row>
    <row r="68" spans="1:5" x14ac:dyDescent="0.15">
      <c r="A68" s="11" t="s">
        <v>244</v>
      </c>
      <c r="B68" s="11" t="s">
        <v>266</v>
      </c>
      <c r="C68" s="11" t="s">
        <v>261</v>
      </c>
      <c r="D68" s="11" t="s">
        <v>194</v>
      </c>
      <c r="E68" s="11" t="s">
        <v>224</v>
      </c>
    </row>
    <row r="69" spans="1:5" x14ac:dyDescent="0.15">
      <c r="A69" s="11" t="s">
        <v>244</v>
      </c>
      <c r="B69" s="11" t="s">
        <v>266</v>
      </c>
      <c r="C69" s="11" t="s">
        <v>120</v>
      </c>
      <c r="D69" s="11" t="s">
        <v>196</v>
      </c>
      <c r="E69" s="11" t="s">
        <v>224</v>
      </c>
    </row>
    <row r="70" spans="1:5" x14ac:dyDescent="0.15">
      <c r="A70" s="11" t="s">
        <v>244</v>
      </c>
      <c r="B70" s="11" t="s">
        <v>266</v>
      </c>
      <c r="C70" s="11" t="s">
        <v>127</v>
      </c>
      <c r="D70" s="11" t="s">
        <v>198</v>
      </c>
      <c r="E70" s="11" t="s">
        <v>224</v>
      </c>
    </row>
    <row r="71" spans="1:5" x14ac:dyDescent="0.15">
      <c r="A71" s="11" t="s">
        <v>244</v>
      </c>
      <c r="B71" s="11" t="s">
        <v>266</v>
      </c>
      <c r="C71" s="11" t="s">
        <v>134</v>
      </c>
      <c r="D71" s="11" t="s">
        <v>200</v>
      </c>
      <c r="E71" s="11" t="s">
        <v>224</v>
      </c>
    </row>
    <row r="72" spans="1:5" x14ac:dyDescent="0.15">
      <c r="A72" s="11" t="s">
        <v>244</v>
      </c>
      <c r="B72" s="11" t="s">
        <v>266</v>
      </c>
      <c r="C72" s="11" t="s">
        <v>140</v>
      </c>
      <c r="D72" s="11" t="s">
        <v>202</v>
      </c>
      <c r="E72" s="11" t="s">
        <v>224</v>
      </c>
    </row>
    <row r="73" spans="1:5" x14ac:dyDescent="0.15">
      <c r="A73" s="11" t="s">
        <v>244</v>
      </c>
      <c r="B73" s="11" t="s">
        <v>266</v>
      </c>
      <c r="C73" s="11" t="s">
        <v>145</v>
      </c>
      <c r="D73" s="11" t="s">
        <v>204</v>
      </c>
      <c r="E73" s="11" t="s">
        <v>224</v>
      </c>
    </row>
    <row r="74" spans="1:5" x14ac:dyDescent="0.15">
      <c r="A74" s="11" t="s">
        <v>244</v>
      </c>
      <c r="B74" s="11" t="s">
        <v>266</v>
      </c>
      <c r="C74" s="11" t="s">
        <v>150</v>
      </c>
      <c r="D74" s="11" t="s">
        <v>242</v>
      </c>
      <c r="E74" s="11" t="s">
        <v>224</v>
      </c>
    </row>
    <row r="75" spans="1:5" x14ac:dyDescent="0.15">
      <c r="A75" s="11" t="s">
        <v>244</v>
      </c>
      <c r="B75" s="11" t="s">
        <v>266</v>
      </c>
      <c r="C75" s="11" t="s">
        <v>159</v>
      </c>
      <c r="D75" s="11" t="s">
        <v>250</v>
      </c>
      <c r="E75" s="11" t="s">
        <v>224</v>
      </c>
    </row>
    <row r="76" spans="1:5" ht="108" x14ac:dyDescent="0.15">
      <c r="A76" s="11" t="s">
        <v>244</v>
      </c>
      <c r="B76" s="11" t="s">
        <v>280</v>
      </c>
      <c r="C76" s="11" t="s">
        <v>101</v>
      </c>
      <c r="D76" s="11" t="s">
        <v>105</v>
      </c>
      <c r="E76" s="12" t="s">
        <v>281</v>
      </c>
    </row>
    <row r="77" spans="1:5" ht="81" x14ac:dyDescent="0.15">
      <c r="A77" s="11" t="s">
        <v>244</v>
      </c>
      <c r="B77" s="11" t="s">
        <v>282</v>
      </c>
      <c r="C77" s="11" t="s">
        <v>106</v>
      </c>
      <c r="D77" s="11" t="s">
        <v>110</v>
      </c>
      <c r="E77" s="12" t="s">
        <v>283</v>
      </c>
    </row>
    <row r="78" spans="1:5" ht="108" x14ac:dyDescent="0.15">
      <c r="A78" s="11" t="s">
        <v>244</v>
      </c>
      <c r="B78" s="11" t="s">
        <v>284</v>
      </c>
      <c r="C78" s="11" t="s">
        <v>94</v>
      </c>
      <c r="D78" s="11" t="s">
        <v>100</v>
      </c>
      <c r="E78" s="12" t="s">
        <v>285</v>
      </c>
    </row>
    <row r="79" spans="1:5" ht="54" x14ac:dyDescent="0.15">
      <c r="A79" s="11" t="s">
        <v>244</v>
      </c>
      <c r="B79" s="11" t="s">
        <v>286</v>
      </c>
      <c r="C79" s="11" t="s">
        <v>173</v>
      </c>
      <c r="D79" s="11" t="s">
        <v>32</v>
      </c>
      <c r="E79" s="12" t="s">
        <v>287</v>
      </c>
    </row>
    <row r="80" spans="1:5" ht="202.5" x14ac:dyDescent="0.15">
      <c r="A80" s="11" t="s">
        <v>244</v>
      </c>
      <c r="B80" s="11" t="s">
        <v>286</v>
      </c>
      <c r="C80" s="11" t="s">
        <v>40</v>
      </c>
      <c r="D80" s="11" t="s">
        <v>47</v>
      </c>
      <c r="E80" s="12" t="s">
        <v>268</v>
      </c>
    </row>
    <row r="81" spans="1:5" ht="189" x14ac:dyDescent="0.15">
      <c r="A81" s="11" t="s">
        <v>244</v>
      </c>
      <c r="B81" s="11" t="s">
        <v>286</v>
      </c>
      <c r="C81" s="11" t="s">
        <v>67</v>
      </c>
      <c r="D81" s="11" t="s">
        <v>72</v>
      </c>
      <c r="E81" s="12" t="s">
        <v>229</v>
      </c>
    </row>
    <row r="82" spans="1:5" ht="162" x14ac:dyDescent="0.15">
      <c r="A82" s="11" t="s">
        <v>244</v>
      </c>
      <c r="B82" s="11" t="s">
        <v>286</v>
      </c>
      <c r="C82" s="11" t="s">
        <v>120</v>
      </c>
      <c r="D82" s="11" t="s">
        <v>126</v>
      </c>
      <c r="E82" s="12" t="s">
        <v>197</v>
      </c>
    </row>
    <row r="83" spans="1:5" ht="162" x14ac:dyDescent="0.15">
      <c r="A83" s="11" t="s">
        <v>244</v>
      </c>
      <c r="B83" s="11" t="s">
        <v>286</v>
      </c>
      <c r="C83" s="11" t="s">
        <v>127</v>
      </c>
      <c r="D83" s="11" t="s">
        <v>133</v>
      </c>
      <c r="E83" s="12" t="s">
        <v>199</v>
      </c>
    </row>
    <row r="84" spans="1:5" ht="189" x14ac:dyDescent="0.15">
      <c r="A84" s="11" t="s">
        <v>244</v>
      </c>
      <c r="B84" s="11" t="s">
        <v>286</v>
      </c>
      <c r="C84" s="11" t="s">
        <v>134</v>
      </c>
      <c r="D84" s="11" t="s">
        <v>139</v>
      </c>
      <c r="E84" s="12" t="s">
        <v>273</v>
      </c>
    </row>
    <row r="85" spans="1:5" ht="189" x14ac:dyDescent="0.15">
      <c r="A85" s="11" t="s">
        <v>244</v>
      </c>
      <c r="B85" s="11" t="s">
        <v>286</v>
      </c>
      <c r="C85" s="11" t="s">
        <v>140</v>
      </c>
      <c r="D85" s="11" t="s">
        <v>144</v>
      </c>
      <c r="E85" s="12" t="s">
        <v>203</v>
      </c>
    </row>
    <row r="86" spans="1:5" ht="189" x14ac:dyDescent="0.15">
      <c r="A86" s="11" t="s">
        <v>244</v>
      </c>
      <c r="B86" s="11" t="s">
        <v>286</v>
      </c>
      <c r="C86" s="11" t="s">
        <v>145</v>
      </c>
      <c r="D86" s="11" t="s">
        <v>149</v>
      </c>
      <c r="E86" s="12" t="s">
        <v>205</v>
      </c>
    </row>
    <row r="87" spans="1:5" ht="202.5" x14ac:dyDescent="0.15">
      <c r="A87" s="11" t="s">
        <v>244</v>
      </c>
      <c r="B87" s="11" t="s">
        <v>286</v>
      </c>
      <c r="C87" s="11" t="s">
        <v>150</v>
      </c>
      <c r="D87" s="11" t="s">
        <v>158</v>
      </c>
      <c r="E87" s="12" t="s">
        <v>288</v>
      </c>
    </row>
    <row r="88" spans="1:5" ht="202.5" x14ac:dyDescent="0.15">
      <c r="A88" s="11" t="s">
        <v>244</v>
      </c>
      <c r="B88" s="11" t="s">
        <v>286</v>
      </c>
      <c r="C88" s="11" t="s">
        <v>159</v>
      </c>
      <c r="D88" s="11" t="s">
        <v>163</v>
      </c>
      <c r="E88" s="12" t="s">
        <v>279</v>
      </c>
    </row>
    <row r="89" spans="1:5" x14ac:dyDescent="0.15">
      <c r="A89" s="11" t="s">
        <v>244</v>
      </c>
      <c r="B89" s="11" t="s">
        <v>286</v>
      </c>
      <c r="C89" s="11" t="s">
        <v>40</v>
      </c>
      <c r="D89" s="11" t="s">
        <v>267</v>
      </c>
      <c r="E89" s="11" t="s">
        <v>224</v>
      </c>
    </row>
    <row r="90" spans="1:5" x14ac:dyDescent="0.15">
      <c r="A90" s="11" t="s">
        <v>244</v>
      </c>
      <c r="B90" s="11" t="s">
        <v>286</v>
      </c>
      <c r="C90" s="11" t="s">
        <v>67</v>
      </c>
      <c r="D90" s="11" t="s">
        <v>269</v>
      </c>
      <c r="E90" s="11" t="s">
        <v>224</v>
      </c>
    </row>
    <row r="91" spans="1:5" x14ac:dyDescent="0.15">
      <c r="A91" s="11" t="s">
        <v>244</v>
      </c>
      <c r="B91" s="11" t="s">
        <v>286</v>
      </c>
      <c r="C91" s="11" t="s">
        <v>120</v>
      </c>
      <c r="D91" s="11" t="s">
        <v>270</v>
      </c>
      <c r="E91" s="11" t="s">
        <v>224</v>
      </c>
    </row>
    <row r="92" spans="1:5" x14ac:dyDescent="0.15">
      <c r="A92" s="11" t="s">
        <v>244</v>
      </c>
      <c r="B92" s="11" t="s">
        <v>286</v>
      </c>
      <c r="C92" s="11" t="s">
        <v>127</v>
      </c>
      <c r="D92" s="11" t="s">
        <v>271</v>
      </c>
      <c r="E92" s="11" t="s">
        <v>224</v>
      </c>
    </row>
    <row r="93" spans="1:5" x14ac:dyDescent="0.15">
      <c r="A93" s="11" t="s">
        <v>244</v>
      </c>
      <c r="B93" s="11" t="s">
        <v>286</v>
      </c>
      <c r="C93" s="11" t="s">
        <v>134</v>
      </c>
      <c r="D93" s="11" t="s">
        <v>272</v>
      </c>
      <c r="E93" s="11" t="s">
        <v>224</v>
      </c>
    </row>
    <row r="94" spans="1:5" x14ac:dyDescent="0.15">
      <c r="A94" s="11" t="s">
        <v>244</v>
      </c>
      <c r="B94" s="11" t="s">
        <v>286</v>
      </c>
      <c r="C94" s="11" t="s">
        <v>140</v>
      </c>
      <c r="D94" s="11" t="s">
        <v>274</v>
      </c>
      <c r="E94" s="11" t="s">
        <v>224</v>
      </c>
    </row>
    <row r="95" spans="1:5" x14ac:dyDescent="0.15">
      <c r="A95" s="11" t="s">
        <v>244</v>
      </c>
      <c r="B95" s="11" t="s">
        <v>286</v>
      </c>
      <c r="C95" s="11" t="s">
        <v>145</v>
      </c>
      <c r="D95" s="11" t="s">
        <v>275</v>
      </c>
      <c r="E95" s="11" t="s">
        <v>224</v>
      </c>
    </row>
    <row r="96" spans="1:5" x14ac:dyDescent="0.15">
      <c r="A96" s="11" t="s">
        <v>244</v>
      </c>
      <c r="B96" s="11" t="s">
        <v>286</v>
      </c>
      <c r="C96" s="11" t="s">
        <v>150</v>
      </c>
      <c r="D96" s="11" t="s">
        <v>276</v>
      </c>
      <c r="E96" s="11" t="s">
        <v>224</v>
      </c>
    </row>
    <row r="97" spans="1:5" x14ac:dyDescent="0.15">
      <c r="A97" s="11" t="s">
        <v>244</v>
      </c>
      <c r="B97" s="11" t="s">
        <v>286</v>
      </c>
      <c r="C97" s="11" t="s">
        <v>159</v>
      </c>
      <c r="D97" s="11" t="s">
        <v>278</v>
      </c>
      <c r="E97" s="11" t="s">
        <v>224</v>
      </c>
    </row>
    <row r="98" spans="1:5" ht="148.5" x14ac:dyDescent="0.15">
      <c r="A98" s="11" t="s">
        <v>178</v>
      </c>
      <c r="B98" s="11" t="s">
        <v>321</v>
      </c>
      <c r="C98" s="11" t="s">
        <v>318</v>
      </c>
      <c r="D98" s="11" t="s">
        <v>270</v>
      </c>
      <c r="E98" s="12" t="s">
        <v>322</v>
      </c>
    </row>
    <row r="99" spans="1:5" ht="148.5" x14ac:dyDescent="0.15">
      <c r="A99" s="11" t="s">
        <v>178</v>
      </c>
      <c r="B99" s="11" t="s">
        <v>321</v>
      </c>
      <c r="C99" s="11" t="s">
        <v>319</v>
      </c>
      <c r="D99" s="11" t="s">
        <v>320</v>
      </c>
      <c r="E99" s="12" t="s">
        <v>322</v>
      </c>
    </row>
    <row r="100" spans="1:5" ht="121.5" x14ac:dyDescent="0.15">
      <c r="A100" s="11" t="s">
        <v>178</v>
      </c>
      <c r="B100" s="11" t="s">
        <v>323</v>
      </c>
      <c r="C100" s="11" t="s">
        <v>207</v>
      </c>
      <c r="D100" s="11" t="s">
        <v>32</v>
      </c>
      <c r="E100" s="12" t="s">
        <v>324</v>
      </c>
    </row>
  </sheetData>
  <phoneticPr fontId="1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H19"/>
  <sheetViews>
    <sheetView tabSelected="1" view="pageBreakPreview" zoomScaleNormal="100" zoomScaleSheetLayoutView="100" workbookViewId="0">
      <selection activeCell="CN7" sqref="CN7:CU7"/>
    </sheetView>
  </sheetViews>
  <sheetFormatPr defaultColWidth="1" defaultRowHeight="15" customHeight="1" x14ac:dyDescent="0.15"/>
  <cols>
    <col min="1" max="31" width="1" style="2" customWidth="1"/>
    <col min="32" max="72" width="0.875" style="2" customWidth="1"/>
    <col min="73" max="73" width="4" style="2" hidden="1" customWidth="1"/>
    <col min="74" max="81" width="0.875" style="2" customWidth="1"/>
    <col min="82" max="82" width="3.25" style="2" hidden="1" customWidth="1"/>
    <col min="83" max="90" width="0.875" style="2" customWidth="1"/>
    <col min="91" max="91" width="3.375" style="2" hidden="1" customWidth="1"/>
    <col min="92" max="107" width="0.875" style="2" customWidth="1"/>
    <col min="108" max="108" width="3.75" style="2" hidden="1" customWidth="1"/>
    <col min="109" max="116" width="0.875" style="2" customWidth="1"/>
    <col min="117" max="117" width="1.375" style="2" customWidth="1"/>
    <col min="118" max="118" width="1" style="2" customWidth="1"/>
    <col min="119" max="119" width="2" style="2" customWidth="1"/>
    <col min="120" max="125" width="1" style="2" customWidth="1"/>
    <col min="126" max="126" width="1.875" style="2" customWidth="1"/>
    <col min="127" max="127" width="1.375" style="2" customWidth="1"/>
    <col min="128" max="133" width="1" style="2" customWidth="1"/>
    <col min="134" max="134" width="14.75" style="2" customWidth="1"/>
    <col min="135" max="135" width="15.375" style="2" customWidth="1"/>
    <col min="136" max="146" width="0" style="2" hidden="1" customWidth="1"/>
    <col min="147" max="16384" width="1" style="2"/>
  </cols>
  <sheetData>
    <row r="1" spans="2:135" ht="12" customHeight="1" x14ac:dyDescent="0.15"/>
    <row r="2" spans="2:135" ht="21.75" customHeight="1" x14ac:dyDescent="0.15">
      <c r="B2" s="3" t="s">
        <v>289</v>
      </c>
      <c r="Z2" s="31" t="s">
        <v>28</v>
      </c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20"/>
      <c r="DE2" s="4"/>
      <c r="DF2" s="4"/>
      <c r="DG2" s="4"/>
      <c r="DH2" s="33" t="s">
        <v>290</v>
      </c>
      <c r="DI2" s="33"/>
      <c r="DJ2" s="33"/>
      <c r="DK2" s="33"/>
      <c r="DL2" s="33"/>
      <c r="DM2" s="33"/>
      <c r="DN2" s="33"/>
      <c r="DO2" s="33"/>
      <c r="DP2" s="33"/>
      <c r="DQ2" s="37" t="s">
        <v>40</v>
      </c>
      <c r="DR2" s="37"/>
      <c r="DS2" s="37"/>
      <c r="DT2" s="37"/>
      <c r="DU2" s="37"/>
      <c r="DV2" s="37"/>
      <c r="DW2" s="37"/>
      <c r="DX2" s="37"/>
      <c r="DY2" s="37"/>
      <c r="DZ2" s="37"/>
      <c r="EA2" s="37"/>
      <c r="EB2" s="37"/>
      <c r="EC2" s="37"/>
      <c r="ED2" s="37"/>
      <c r="EE2" s="37"/>
    </row>
    <row r="3" spans="2:135" ht="6" customHeight="1" x14ac:dyDescent="0.15"/>
    <row r="4" spans="2:135" s="4" customFormat="1" ht="18.75" customHeight="1" x14ac:dyDescent="0.2">
      <c r="C4" s="34" t="s">
        <v>291</v>
      </c>
      <c r="D4" s="34"/>
      <c r="E4" s="34"/>
      <c r="F4" s="34"/>
      <c r="G4" s="34"/>
      <c r="H4" s="34"/>
      <c r="I4" s="34"/>
      <c r="J4" s="35" t="s">
        <v>49</v>
      </c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6" t="s">
        <v>292</v>
      </c>
      <c r="W4" s="36"/>
      <c r="X4" s="36"/>
      <c r="Y4" s="36"/>
      <c r="AA4" s="5"/>
      <c r="AB4" s="34" t="s">
        <v>293</v>
      </c>
      <c r="AC4" s="34"/>
      <c r="AD4" s="34"/>
      <c r="AE4" s="34"/>
      <c r="AF4" s="34"/>
      <c r="AG4" s="34"/>
      <c r="AH4" s="34"/>
      <c r="AI4" s="35" t="s">
        <v>58</v>
      </c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6" t="s">
        <v>292</v>
      </c>
      <c r="AV4" s="36"/>
      <c r="AW4" s="36"/>
      <c r="AX4" s="36"/>
      <c r="AY4" s="5"/>
      <c r="AZ4" s="5"/>
      <c r="BA4" s="34" t="s">
        <v>294</v>
      </c>
      <c r="BB4" s="34"/>
      <c r="BC4" s="34"/>
      <c r="BD4" s="34"/>
      <c r="BE4" s="34"/>
      <c r="BF4" s="34"/>
      <c r="BG4" s="35" t="s">
        <v>63</v>
      </c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16"/>
      <c r="BV4" s="36" t="s">
        <v>292</v>
      </c>
      <c r="BW4" s="36"/>
      <c r="BX4" s="36"/>
      <c r="BY4" s="36"/>
      <c r="EE4" s="13" t="s">
        <v>67</v>
      </c>
    </row>
    <row r="5" spans="2:135" ht="6" customHeight="1" x14ac:dyDescent="0.15"/>
    <row r="6" spans="2:135" s="6" customFormat="1" ht="35.1" customHeight="1" x14ac:dyDescent="0.15">
      <c r="B6" s="24" t="s">
        <v>295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 t="s">
        <v>296</v>
      </c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 t="s">
        <v>297</v>
      </c>
      <c r="AG6" s="24"/>
      <c r="AH6" s="24"/>
      <c r="AI6" s="24"/>
      <c r="AJ6" s="24"/>
      <c r="AK6" s="24"/>
      <c r="AL6" s="24"/>
      <c r="AM6" s="24"/>
      <c r="AN6" s="25" t="s">
        <v>298</v>
      </c>
      <c r="AO6" s="26"/>
      <c r="AP6" s="26"/>
      <c r="AQ6" s="26"/>
      <c r="AR6" s="26"/>
      <c r="AS6" s="26"/>
      <c r="AT6" s="26"/>
      <c r="AU6" s="27"/>
      <c r="AV6" s="25" t="s">
        <v>299</v>
      </c>
      <c r="AW6" s="26"/>
      <c r="AX6" s="26"/>
      <c r="AY6" s="26"/>
      <c r="AZ6" s="26"/>
      <c r="BA6" s="26"/>
      <c r="BB6" s="26"/>
      <c r="BC6" s="27"/>
      <c r="BD6" s="28" t="s">
        <v>300</v>
      </c>
      <c r="BE6" s="29"/>
      <c r="BF6" s="29"/>
      <c r="BG6" s="29"/>
      <c r="BH6" s="29"/>
      <c r="BI6" s="29"/>
      <c r="BJ6" s="29"/>
      <c r="BK6" s="30"/>
      <c r="BL6" s="28" t="s">
        <v>301</v>
      </c>
      <c r="BM6" s="29"/>
      <c r="BN6" s="29"/>
      <c r="BO6" s="29"/>
      <c r="BP6" s="29"/>
      <c r="BQ6" s="29"/>
      <c r="BR6" s="29"/>
      <c r="BS6" s="29"/>
      <c r="BT6" s="30"/>
      <c r="BU6" s="15"/>
      <c r="BV6" s="25" t="s">
        <v>302</v>
      </c>
      <c r="BW6" s="26"/>
      <c r="BX6" s="26"/>
      <c r="BY6" s="26"/>
      <c r="BZ6" s="26"/>
      <c r="CA6" s="26"/>
      <c r="CB6" s="26"/>
      <c r="CC6" s="27"/>
      <c r="CD6" s="19"/>
      <c r="CE6" s="28" t="s">
        <v>303</v>
      </c>
      <c r="CF6" s="29"/>
      <c r="CG6" s="29"/>
      <c r="CH6" s="29"/>
      <c r="CI6" s="29"/>
      <c r="CJ6" s="29"/>
      <c r="CK6" s="29"/>
      <c r="CL6" s="30"/>
      <c r="CM6" s="15"/>
      <c r="CN6" s="28" t="s">
        <v>304</v>
      </c>
      <c r="CO6" s="29"/>
      <c r="CP6" s="29"/>
      <c r="CQ6" s="29"/>
      <c r="CR6" s="29"/>
      <c r="CS6" s="29"/>
      <c r="CT6" s="29"/>
      <c r="CU6" s="30"/>
      <c r="CV6" s="28" t="s">
        <v>305</v>
      </c>
      <c r="CW6" s="29"/>
      <c r="CX6" s="29"/>
      <c r="CY6" s="29"/>
      <c r="CZ6" s="29"/>
      <c r="DA6" s="29"/>
      <c r="DB6" s="29"/>
      <c r="DC6" s="30"/>
      <c r="DD6" s="15"/>
      <c r="DE6" s="28" t="s">
        <v>306</v>
      </c>
      <c r="DF6" s="29"/>
      <c r="DG6" s="29"/>
      <c r="DH6" s="29"/>
      <c r="DI6" s="29"/>
      <c r="DJ6" s="29"/>
      <c r="DK6" s="29"/>
      <c r="DL6" s="30"/>
      <c r="DM6" s="24" t="s">
        <v>307</v>
      </c>
      <c r="DN6" s="24"/>
      <c r="DO6" s="24"/>
      <c r="DP6" s="24"/>
      <c r="DQ6" s="24"/>
      <c r="DR6" s="24"/>
      <c r="DS6" s="24"/>
      <c r="DT6" s="24"/>
      <c r="DU6" s="24"/>
      <c r="DV6" s="24"/>
      <c r="DW6" s="24" t="s">
        <v>308</v>
      </c>
      <c r="DX6" s="24"/>
      <c r="DY6" s="24"/>
      <c r="DZ6" s="24"/>
      <c r="EA6" s="24"/>
      <c r="EB6" s="24"/>
      <c r="EC6" s="24"/>
      <c r="ED6" s="24"/>
      <c r="EE6" s="7" t="s">
        <v>309</v>
      </c>
    </row>
    <row r="7" spans="2:135" s="8" customFormat="1" ht="47.45" customHeight="1" x14ac:dyDescent="0.15">
      <c r="B7" s="62" t="s">
        <v>73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63" t="s">
        <v>82</v>
      </c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2" t="s">
        <v>89</v>
      </c>
      <c r="AG7" s="24"/>
      <c r="AH7" s="24"/>
      <c r="AI7" s="24"/>
      <c r="AJ7" s="24"/>
      <c r="AK7" s="24"/>
      <c r="AL7" s="24"/>
      <c r="AM7" s="65"/>
      <c r="AN7" s="47" t="s">
        <v>94</v>
      </c>
      <c r="AO7" s="48"/>
      <c r="AP7" s="48"/>
      <c r="AQ7" s="48"/>
      <c r="AR7" s="48"/>
      <c r="AS7" s="48"/>
      <c r="AT7" s="48"/>
      <c r="AU7" s="49"/>
      <c r="AV7" s="47" t="s">
        <v>310</v>
      </c>
      <c r="AW7" s="48"/>
      <c r="AX7" s="48"/>
      <c r="AY7" s="48"/>
      <c r="AZ7" s="48"/>
      <c r="BA7" s="48"/>
      <c r="BB7" s="48"/>
      <c r="BC7" s="49"/>
      <c r="BD7" s="47" t="s">
        <v>311</v>
      </c>
      <c r="BE7" s="66"/>
      <c r="BF7" s="66"/>
      <c r="BG7" s="66"/>
      <c r="BH7" s="66"/>
      <c r="BI7" s="66"/>
      <c r="BJ7" s="66"/>
      <c r="BK7" s="67"/>
      <c r="BL7" s="68" t="str">
        <f>IF(BU7="", "", TEXT(BU7,"0.00")&amp;"Kg")</f>
        <v>##実績.透析条件.DWKg</v>
      </c>
      <c r="BM7" s="69"/>
      <c r="BN7" s="69"/>
      <c r="BO7" s="69"/>
      <c r="BP7" s="69"/>
      <c r="BQ7" s="69"/>
      <c r="BR7" s="69"/>
      <c r="BS7" s="69"/>
      <c r="BT7" s="70"/>
      <c r="BU7" s="22" t="s">
        <v>111</v>
      </c>
      <c r="BV7" s="54" t="str">
        <f>IF(CD7="", "", TEXT(CD7,"0.00")&amp;"Kg")</f>
        <v>##実績.体重情報（過去実績）.後体重(前回)Kg</v>
      </c>
      <c r="BW7" s="55"/>
      <c r="BX7" s="55"/>
      <c r="BY7" s="55"/>
      <c r="BZ7" s="55"/>
      <c r="CA7" s="55"/>
      <c r="CB7" s="55"/>
      <c r="CC7" s="56"/>
      <c r="CD7" s="21" t="s">
        <v>312</v>
      </c>
      <c r="CE7" s="54" t="str">
        <f>IF(CM7="", "", TEXT(CM7,"0.00")&amp;"Kg")</f>
        <v>##実績.体重情報.前体重Kg</v>
      </c>
      <c r="CF7" s="57"/>
      <c r="CG7" s="57"/>
      <c r="CH7" s="57"/>
      <c r="CI7" s="57"/>
      <c r="CJ7" s="57"/>
      <c r="CK7" s="57"/>
      <c r="CL7" s="58"/>
      <c r="CM7" s="22" t="s">
        <v>313</v>
      </c>
      <c r="CN7" s="54" t="str">
        <f>IF(AND(CM7="",CD7=""),"",IFERROR(TEXT(CM7-CD7,"0.00")&amp;"Kg",""))</f>
        <v/>
      </c>
      <c r="CO7" s="57"/>
      <c r="CP7" s="57"/>
      <c r="CQ7" s="57"/>
      <c r="CR7" s="57"/>
      <c r="CS7" s="57"/>
      <c r="CT7" s="57"/>
      <c r="CU7" s="58"/>
      <c r="CV7" s="59" t="str">
        <f>IF(DD7="", "", TEXT(DD7,"0.00")&amp;"Kg")</f>
        <v>##実績.体重情報.後体重Kg</v>
      </c>
      <c r="CW7" s="60"/>
      <c r="CX7" s="60"/>
      <c r="CY7" s="60"/>
      <c r="CZ7" s="60"/>
      <c r="DA7" s="60"/>
      <c r="DB7" s="60"/>
      <c r="DC7" s="61"/>
      <c r="DD7" s="23" t="s">
        <v>314</v>
      </c>
      <c r="DE7" s="50" t="str">
        <f>IF(AND(DD7="",CM7=""),"",IFERROR(TEXT(CM7-DD7,"0.00")&amp;"Kg",""))</f>
        <v/>
      </c>
      <c r="DF7" s="51"/>
      <c r="DG7" s="51"/>
      <c r="DH7" s="51"/>
      <c r="DI7" s="51"/>
      <c r="DJ7" s="51"/>
      <c r="DK7" s="51"/>
      <c r="DL7" s="52"/>
      <c r="DM7" s="38" t="s">
        <v>140</v>
      </c>
      <c r="DN7" s="39"/>
      <c r="DO7" s="39"/>
      <c r="DP7" s="39"/>
      <c r="DQ7" s="39"/>
      <c r="DR7" s="39"/>
      <c r="DS7" s="39"/>
      <c r="DT7" s="39"/>
      <c r="DU7" s="39"/>
      <c r="DV7" s="39"/>
      <c r="DW7" s="38" t="s">
        <v>145</v>
      </c>
      <c r="DX7" s="39"/>
      <c r="DY7" s="39"/>
      <c r="DZ7" s="39"/>
      <c r="EA7" s="39"/>
      <c r="EB7" s="39"/>
      <c r="EC7" s="39"/>
      <c r="ED7" s="39"/>
      <c r="EE7" s="9"/>
    </row>
    <row r="8" spans="2:135" s="10" customFormat="1" ht="47.45" customHeight="1" x14ac:dyDescent="0.15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2"/>
      <c r="AG8" s="42"/>
      <c r="AH8" s="42"/>
      <c r="AI8" s="42"/>
      <c r="AJ8" s="42"/>
      <c r="AK8" s="42"/>
      <c r="AL8" s="42"/>
      <c r="AM8" s="43"/>
      <c r="AN8" s="44"/>
      <c r="AO8" s="45"/>
      <c r="AP8" s="45"/>
      <c r="AQ8" s="45"/>
      <c r="AR8" s="45"/>
      <c r="AS8" s="45"/>
      <c r="AT8" s="45"/>
      <c r="AU8" s="46"/>
      <c r="AV8" s="47"/>
      <c r="AW8" s="48"/>
      <c r="AX8" s="48"/>
      <c r="AY8" s="48"/>
      <c r="AZ8" s="48"/>
      <c r="BA8" s="48"/>
      <c r="BB8" s="48"/>
      <c r="BC8" s="49"/>
      <c r="BD8" s="47"/>
      <c r="BE8" s="66"/>
      <c r="BF8" s="66"/>
      <c r="BG8" s="66"/>
      <c r="BH8" s="66"/>
      <c r="BI8" s="66"/>
      <c r="BJ8" s="66"/>
      <c r="BK8" s="67"/>
      <c r="BL8" s="68" t="str">
        <f t="shared" ref="BL8:BL16" si="0">IF(BU8="", "", TEXT(BU8,"0.00")&amp;"Kg")</f>
        <v/>
      </c>
      <c r="BM8" s="69"/>
      <c r="BN8" s="69"/>
      <c r="BO8" s="69"/>
      <c r="BP8" s="69"/>
      <c r="BQ8" s="69"/>
      <c r="BR8" s="69"/>
      <c r="BS8" s="69"/>
      <c r="BT8" s="70"/>
      <c r="BU8" s="17"/>
      <c r="BV8" s="54" t="str">
        <f t="shared" ref="BV8:BV16" si="1">IF(CD8="", "", TEXT(CD8,"0.00")&amp;"Kg")</f>
        <v/>
      </c>
      <c r="BW8" s="55"/>
      <c r="BX8" s="55"/>
      <c r="BY8" s="55"/>
      <c r="BZ8" s="55"/>
      <c r="CA8" s="55"/>
      <c r="CB8" s="55"/>
      <c r="CC8" s="56"/>
      <c r="CD8" s="18"/>
      <c r="CE8" s="54" t="str">
        <f t="shared" ref="CE8:CE16" si="2">IF(CM8="", "", TEXT(CM8,"0.00")&amp;"Kg")</f>
        <v/>
      </c>
      <c r="CF8" s="57"/>
      <c r="CG8" s="57"/>
      <c r="CH8" s="57"/>
      <c r="CI8" s="57"/>
      <c r="CJ8" s="57"/>
      <c r="CK8" s="57"/>
      <c r="CL8" s="58"/>
      <c r="CM8" s="17"/>
      <c r="CN8" s="54" t="str">
        <f t="shared" ref="CN8:CN16" si="3">IF(AND(CM8="",CD8=""),"",IFERROR(TEXT(CM8-CD8,"0.00")&amp;"Kg",""))</f>
        <v/>
      </c>
      <c r="CO8" s="57"/>
      <c r="CP8" s="57"/>
      <c r="CQ8" s="57"/>
      <c r="CR8" s="57"/>
      <c r="CS8" s="57"/>
      <c r="CT8" s="57"/>
      <c r="CU8" s="58"/>
      <c r="CV8" s="59" t="str">
        <f t="shared" ref="CV8:CV16" si="4">IF(DD8="", "", TEXT(DD8,"0.00")&amp;"Kg")</f>
        <v/>
      </c>
      <c r="CW8" s="60"/>
      <c r="CX8" s="60"/>
      <c r="CY8" s="60"/>
      <c r="CZ8" s="60"/>
      <c r="DA8" s="60"/>
      <c r="DB8" s="60"/>
      <c r="DC8" s="61"/>
      <c r="DD8" s="17"/>
      <c r="DE8" s="50" t="str">
        <f t="shared" ref="DE8:DE16" si="5">IF(AND(DD8="",CM8=""),"",IFERROR(TEXT(CM8-DD8,"0.00")&amp;"Kg",""))</f>
        <v/>
      </c>
      <c r="DF8" s="51"/>
      <c r="DG8" s="51"/>
      <c r="DH8" s="51"/>
      <c r="DI8" s="51"/>
      <c r="DJ8" s="51"/>
      <c r="DK8" s="51"/>
      <c r="DL8" s="52"/>
      <c r="DM8" s="53"/>
      <c r="DN8" s="53"/>
      <c r="DO8" s="53"/>
      <c r="DP8" s="53"/>
      <c r="DQ8" s="53"/>
      <c r="DR8" s="53"/>
      <c r="DS8" s="53"/>
      <c r="DT8" s="53"/>
      <c r="DU8" s="53"/>
      <c r="DV8" s="53"/>
      <c r="DW8" s="53"/>
      <c r="DX8" s="53"/>
      <c r="DY8" s="53"/>
      <c r="DZ8" s="53"/>
      <c r="EA8" s="53"/>
      <c r="EB8" s="53"/>
      <c r="EC8" s="53"/>
      <c r="ED8" s="53"/>
      <c r="EE8" s="9"/>
    </row>
    <row r="9" spans="2:135" s="10" customFormat="1" ht="47.45" customHeight="1" x14ac:dyDescent="0.15"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2"/>
      <c r="AG9" s="42"/>
      <c r="AH9" s="42"/>
      <c r="AI9" s="42"/>
      <c r="AJ9" s="42"/>
      <c r="AK9" s="42"/>
      <c r="AL9" s="42"/>
      <c r="AM9" s="43"/>
      <c r="AN9" s="44"/>
      <c r="AO9" s="45"/>
      <c r="AP9" s="45"/>
      <c r="AQ9" s="45"/>
      <c r="AR9" s="45"/>
      <c r="AS9" s="45"/>
      <c r="AT9" s="45"/>
      <c r="AU9" s="46"/>
      <c r="AV9" s="47"/>
      <c r="AW9" s="48"/>
      <c r="AX9" s="48"/>
      <c r="AY9" s="48"/>
      <c r="AZ9" s="48"/>
      <c r="BA9" s="48"/>
      <c r="BB9" s="48"/>
      <c r="BC9" s="49"/>
      <c r="BD9" s="47"/>
      <c r="BE9" s="66"/>
      <c r="BF9" s="66"/>
      <c r="BG9" s="66"/>
      <c r="BH9" s="66"/>
      <c r="BI9" s="66"/>
      <c r="BJ9" s="66"/>
      <c r="BK9" s="67"/>
      <c r="BL9" s="68" t="str">
        <f t="shared" si="0"/>
        <v/>
      </c>
      <c r="BM9" s="69"/>
      <c r="BN9" s="69"/>
      <c r="BO9" s="69"/>
      <c r="BP9" s="69"/>
      <c r="BQ9" s="69"/>
      <c r="BR9" s="69"/>
      <c r="BS9" s="69"/>
      <c r="BT9" s="70"/>
      <c r="BU9" s="17"/>
      <c r="BV9" s="54" t="str">
        <f t="shared" si="1"/>
        <v/>
      </c>
      <c r="BW9" s="55"/>
      <c r="BX9" s="55"/>
      <c r="BY9" s="55"/>
      <c r="BZ9" s="55"/>
      <c r="CA9" s="55"/>
      <c r="CB9" s="55"/>
      <c r="CC9" s="56"/>
      <c r="CD9" s="18"/>
      <c r="CE9" s="54" t="str">
        <f t="shared" si="2"/>
        <v/>
      </c>
      <c r="CF9" s="57"/>
      <c r="CG9" s="57"/>
      <c r="CH9" s="57"/>
      <c r="CI9" s="57"/>
      <c r="CJ9" s="57"/>
      <c r="CK9" s="57"/>
      <c r="CL9" s="58"/>
      <c r="CM9" s="17"/>
      <c r="CN9" s="54" t="str">
        <f t="shared" si="3"/>
        <v/>
      </c>
      <c r="CO9" s="57"/>
      <c r="CP9" s="57"/>
      <c r="CQ9" s="57"/>
      <c r="CR9" s="57"/>
      <c r="CS9" s="57"/>
      <c r="CT9" s="57"/>
      <c r="CU9" s="58"/>
      <c r="CV9" s="59" t="str">
        <f t="shared" si="4"/>
        <v/>
      </c>
      <c r="CW9" s="60"/>
      <c r="CX9" s="60"/>
      <c r="CY9" s="60"/>
      <c r="CZ9" s="60"/>
      <c r="DA9" s="60"/>
      <c r="DB9" s="60"/>
      <c r="DC9" s="61"/>
      <c r="DD9" s="17"/>
      <c r="DE9" s="50" t="str">
        <f t="shared" si="5"/>
        <v/>
      </c>
      <c r="DF9" s="51"/>
      <c r="DG9" s="51"/>
      <c r="DH9" s="51"/>
      <c r="DI9" s="51"/>
      <c r="DJ9" s="51"/>
      <c r="DK9" s="51"/>
      <c r="DL9" s="5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9"/>
    </row>
    <row r="10" spans="2:135" s="10" customFormat="1" ht="47.45" customHeight="1" x14ac:dyDescent="0.15"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2"/>
      <c r="AG10" s="42"/>
      <c r="AH10" s="42"/>
      <c r="AI10" s="42"/>
      <c r="AJ10" s="42"/>
      <c r="AK10" s="42"/>
      <c r="AL10" s="42"/>
      <c r="AM10" s="43"/>
      <c r="AN10" s="44"/>
      <c r="AO10" s="45"/>
      <c r="AP10" s="45"/>
      <c r="AQ10" s="45"/>
      <c r="AR10" s="45"/>
      <c r="AS10" s="45"/>
      <c r="AT10" s="45"/>
      <c r="AU10" s="46"/>
      <c r="AV10" s="47"/>
      <c r="AW10" s="48"/>
      <c r="AX10" s="48"/>
      <c r="AY10" s="48"/>
      <c r="AZ10" s="48"/>
      <c r="BA10" s="48"/>
      <c r="BB10" s="48"/>
      <c r="BC10" s="49"/>
      <c r="BD10" s="47"/>
      <c r="BE10" s="66"/>
      <c r="BF10" s="66"/>
      <c r="BG10" s="66"/>
      <c r="BH10" s="66"/>
      <c r="BI10" s="66"/>
      <c r="BJ10" s="66"/>
      <c r="BK10" s="67"/>
      <c r="BL10" s="68" t="str">
        <f t="shared" si="0"/>
        <v/>
      </c>
      <c r="BM10" s="69"/>
      <c r="BN10" s="69"/>
      <c r="BO10" s="69"/>
      <c r="BP10" s="69"/>
      <c r="BQ10" s="69"/>
      <c r="BR10" s="69"/>
      <c r="BS10" s="69"/>
      <c r="BT10" s="70"/>
      <c r="BU10" s="17"/>
      <c r="BV10" s="54" t="str">
        <f t="shared" si="1"/>
        <v/>
      </c>
      <c r="BW10" s="55"/>
      <c r="BX10" s="55"/>
      <c r="BY10" s="55"/>
      <c r="BZ10" s="55"/>
      <c r="CA10" s="55"/>
      <c r="CB10" s="55"/>
      <c r="CC10" s="56"/>
      <c r="CD10" s="18"/>
      <c r="CE10" s="54" t="str">
        <f t="shared" si="2"/>
        <v/>
      </c>
      <c r="CF10" s="57"/>
      <c r="CG10" s="57"/>
      <c r="CH10" s="57"/>
      <c r="CI10" s="57"/>
      <c r="CJ10" s="57"/>
      <c r="CK10" s="57"/>
      <c r="CL10" s="58"/>
      <c r="CM10" s="17"/>
      <c r="CN10" s="54" t="str">
        <f t="shared" si="3"/>
        <v/>
      </c>
      <c r="CO10" s="57"/>
      <c r="CP10" s="57"/>
      <c r="CQ10" s="57"/>
      <c r="CR10" s="57"/>
      <c r="CS10" s="57"/>
      <c r="CT10" s="57"/>
      <c r="CU10" s="58"/>
      <c r="CV10" s="59" t="str">
        <f t="shared" si="4"/>
        <v/>
      </c>
      <c r="CW10" s="60"/>
      <c r="CX10" s="60"/>
      <c r="CY10" s="60"/>
      <c r="CZ10" s="60"/>
      <c r="DA10" s="60"/>
      <c r="DB10" s="60"/>
      <c r="DC10" s="61"/>
      <c r="DD10" s="17"/>
      <c r="DE10" s="50" t="str">
        <f t="shared" si="5"/>
        <v/>
      </c>
      <c r="DF10" s="51"/>
      <c r="DG10" s="51"/>
      <c r="DH10" s="51"/>
      <c r="DI10" s="51"/>
      <c r="DJ10" s="51"/>
      <c r="DK10" s="51"/>
      <c r="DL10" s="52"/>
      <c r="DM10" s="42"/>
      <c r="DN10" s="42"/>
      <c r="DO10" s="42"/>
      <c r="DP10" s="42"/>
      <c r="DQ10" s="42"/>
      <c r="DR10" s="42"/>
      <c r="DS10" s="42"/>
      <c r="DT10" s="42"/>
      <c r="DU10" s="42"/>
      <c r="DV10" s="42"/>
      <c r="DW10" s="42"/>
      <c r="DX10" s="42"/>
      <c r="DY10" s="42"/>
      <c r="DZ10" s="42"/>
      <c r="EA10" s="42"/>
      <c r="EB10" s="42"/>
      <c r="EC10" s="42"/>
      <c r="ED10" s="42"/>
      <c r="EE10" s="9"/>
    </row>
    <row r="11" spans="2:135" s="10" customFormat="1" ht="47.45" customHeight="1" x14ac:dyDescent="0.15"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2"/>
      <c r="AG11" s="42"/>
      <c r="AH11" s="42"/>
      <c r="AI11" s="42"/>
      <c r="AJ11" s="42"/>
      <c r="AK11" s="42"/>
      <c r="AL11" s="42"/>
      <c r="AM11" s="43"/>
      <c r="AN11" s="44"/>
      <c r="AO11" s="45"/>
      <c r="AP11" s="45"/>
      <c r="AQ11" s="45"/>
      <c r="AR11" s="45"/>
      <c r="AS11" s="45"/>
      <c r="AT11" s="45"/>
      <c r="AU11" s="46"/>
      <c r="AV11" s="47"/>
      <c r="AW11" s="48"/>
      <c r="AX11" s="48"/>
      <c r="AY11" s="48"/>
      <c r="AZ11" s="48"/>
      <c r="BA11" s="48"/>
      <c r="BB11" s="48"/>
      <c r="BC11" s="49"/>
      <c r="BD11" s="47"/>
      <c r="BE11" s="66"/>
      <c r="BF11" s="66"/>
      <c r="BG11" s="66"/>
      <c r="BH11" s="66"/>
      <c r="BI11" s="66"/>
      <c r="BJ11" s="66"/>
      <c r="BK11" s="67"/>
      <c r="BL11" s="68" t="str">
        <f t="shared" si="0"/>
        <v/>
      </c>
      <c r="BM11" s="69"/>
      <c r="BN11" s="69"/>
      <c r="BO11" s="69"/>
      <c r="BP11" s="69"/>
      <c r="BQ11" s="69"/>
      <c r="BR11" s="69"/>
      <c r="BS11" s="69"/>
      <c r="BT11" s="70"/>
      <c r="BU11" s="17"/>
      <c r="BV11" s="54" t="str">
        <f t="shared" si="1"/>
        <v/>
      </c>
      <c r="BW11" s="55"/>
      <c r="BX11" s="55"/>
      <c r="BY11" s="55"/>
      <c r="BZ11" s="55"/>
      <c r="CA11" s="55"/>
      <c r="CB11" s="55"/>
      <c r="CC11" s="56"/>
      <c r="CD11" s="18"/>
      <c r="CE11" s="54" t="str">
        <f t="shared" si="2"/>
        <v/>
      </c>
      <c r="CF11" s="57"/>
      <c r="CG11" s="57"/>
      <c r="CH11" s="57"/>
      <c r="CI11" s="57"/>
      <c r="CJ11" s="57"/>
      <c r="CK11" s="57"/>
      <c r="CL11" s="58"/>
      <c r="CM11" s="17"/>
      <c r="CN11" s="54" t="str">
        <f t="shared" si="3"/>
        <v/>
      </c>
      <c r="CO11" s="57"/>
      <c r="CP11" s="57"/>
      <c r="CQ11" s="57"/>
      <c r="CR11" s="57"/>
      <c r="CS11" s="57"/>
      <c r="CT11" s="57"/>
      <c r="CU11" s="58"/>
      <c r="CV11" s="59" t="str">
        <f t="shared" si="4"/>
        <v/>
      </c>
      <c r="CW11" s="60"/>
      <c r="CX11" s="60"/>
      <c r="CY11" s="60"/>
      <c r="CZ11" s="60"/>
      <c r="DA11" s="60"/>
      <c r="DB11" s="60"/>
      <c r="DC11" s="61"/>
      <c r="DD11" s="17"/>
      <c r="DE11" s="50" t="str">
        <f t="shared" si="5"/>
        <v/>
      </c>
      <c r="DF11" s="51"/>
      <c r="DG11" s="51"/>
      <c r="DH11" s="51"/>
      <c r="DI11" s="51"/>
      <c r="DJ11" s="51"/>
      <c r="DK11" s="51"/>
      <c r="DL11" s="5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/>
      <c r="DZ11" s="42"/>
      <c r="EA11" s="42"/>
      <c r="EB11" s="42"/>
      <c r="EC11" s="42"/>
      <c r="ED11" s="42"/>
      <c r="EE11" s="9"/>
    </row>
    <row r="12" spans="2:135" s="10" customFormat="1" ht="47.45" customHeight="1" x14ac:dyDescent="0.15"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2"/>
      <c r="AG12" s="42"/>
      <c r="AH12" s="42"/>
      <c r="AI12" s="42"/>
      <c r="AJ12" s="42"/>
      <c r="AK12" s="42"/>
      <c r="AL12" s="42"/>
      <c r="AM12" s="43"/>
      <c r="AN12" s="44"/>
      <c r="AO12" s="45"/>
      <c r="AP12" s="45"/>
      <c r="AQ12" s="45"/>
      <c r="AR12" s="45"/>
      <c r="AS12" s="45"/>
      <c r="AT12" s="45"/>
      <c r="AU12" s="46"/>
      <c r="AV12" s="47"/>
      <c r="AW12" s="48"/>
      <c r="AX12" s="48"/>
      <c r="AY12" s="48"/>
      <c r="AZ12" s="48"/>
      <c r="BA12" s="48"/>
      <c r="BB12" s="48"/>
      <c r="BC12" s="49"/>
      <c r="BD12" s="47"/>
      <c r="BE12" s="66"/>
      <c r="BF12" s="66"/>
      <c r="BG12" s="66"/>
      <c r="BH12" s="66"/>
      <c r="BI12" s="66"/>
      <c r="BJ12" s="66"/>
      <c r="BK12" s="67"/>
      <c r="BL12" s="68" t="str">
        <f t="shared" si="0"/>
        <v/>
      </c>
      <c r="BM12" s="69"/>
      <c r="BN12" s="69"/>
      <c r="BO12" s="69"/>
      <c r="BP12" s="69"/>
      <c r="BQ12" s="69"/>
      <c r="BR12" s="69"/>
      <c r="BS12" s="69"/>
      <c r="BT12" s="70"/>
      <c r="BU12" s="17"/>
      <c r="BV12" s="54" t="str">
        <f t="shared" si="1"/>
        <v/>
      </c>
      <c r="BW12" s="55"/>
      <c r="BX12" s="55"/>
      <c r="BY12" s="55"/>
      <c r="BZ12" s="55"/>
      <c r="CA12" s="55"/>
      <c r="CB12" s="55"/>
      <c r="CC12" s="56"/>
      <c r="CD12" s="18"/>
      <c r="CE12" s="54" t="str">
        <f t="shared" si="2"/>
        <v/>
      </c>
      <c r="CF12" s="57"/>
      <c r="CG12" s="57"/>
      <c r="CH12" s="57"/>
      <c r="CI12" s="57"/>
      <c r="CJ12" s="57"/>
      <c r="CK12" s="57"/>
      <c r="CL12" s="58"/>
      <c r="CM12" s="17"/>
      <c r="CN12" s="54" t="str">
        <f t="shared" si="3"/>
        <v/>
      </c>
      <c r="CO12" s="57"/>
      <c r="CP12" s="57"/>
      <c r="CQ12" s="57"/>
      <c r="CR12" s="57"/>
      <c r="CS12" s="57"/>
      <c r="CT12" s="57"/>
      <c r="CU12" s="58"/>
      <c r="CV12" s="59" t="str">
        <f t="shared" si="4"/>
        <v/>
      </c>
      <c r="CW12" s="60"/>
      <c r="CX12" s="60"/>
      <c r="CY12" s="60"/>
      <c r="CZ12" s="60"/>
      <c r="DA12" s="60"/>
      <c r="DB12" s="60"/>
      <c r="DC12" s="61"/>
      <c r="DD12" s="17"/>
      <c r="DE12" s="50" t="str">
        <f t="shared" si="5"/>
        <v/>
      </c>
      <c r="DF12" s="51"/>
      <c r="DG12" s="51"/>
      <c r="DH12" s="51"/>
      <c r="DI12" s="51"/>
      <c r="DJ12" s="51"/>
      <c r="DK12" s="51"/>
      <c r="DL12" s="5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42"/>
      <c r="DX12" s="42"/>
      <c r="DY12" s="42"/>
      <c r="DZ12" s="42"/>
      <c r="EA12" s="42"/>
      <c r="EB12" s="42"/>
      <c r="EC12" s="42"/>
      <c r="ED12" s="42"/>
      <c r="EE12" s="9"/>
    </row>
    <row r="13" spans="2:135" s="10" customFormat="1" ht="47.45" customHeight="1" x14ac:dyDescent="0.1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2"/>
      <c r="AG13" s="42"/>
      <c r="AH13" s="42"/>
      <c r="AI13" s="42"/>
      <c r="AJ13" s="42"/>
      <c r="AK13" s="42"/>
      <c r="AL13" s="42"/>
      <c r="AM13" s="43"/>
      <c r="AN13" s="44"/>
      <c r="AO13" s="45"/>
      <c r="AP13" s="45"/>
      <c r="AQ13" s="45"/>
      <c r="AR13" s="45"/>
      <c r="AS13" s="45"/>
      <c r="AT13" s="45"/>
      <c r="AU13" s="46"/>
      <c r="AV13" s="47"/>
      <c r="AW13" s="48"/>
      <c r="AX13" s="48"/>
      <c r="AY13" s="48"/>
      <c r="AZ13" s="48"/>
      <c r="BA13" s="48"/>
      <c r="BB13" s="48"/>
      <c r="BC13" s="49"/>
      <c r="BD13" s="47"/>
      <c r="BE13" s="66"/>
      <c r="BF13" s="66"/>
      <c r="BG13" s="66"/>
      <c r="BH13" s="66"/>
      <c r="BI13" s="66"/>
      <c r="BJ13" s="66"/>
      <c r="BK13" s="67"/>
      <c r="BL13" s="68" t="str">
        <f t="shared" si="0"/>
        <v/>
      </c>
      <c r="BM13" s="69"/>
      <c r="BN13" s="69"/>
      <c r="BO13" s="69"/>
      <c r="BP13" s="69"/>
      <c r="BQ13" s="69"/>
      <c r="BR13" s="69"/>
      <c r="BS13" s="69"/>
      <c r="BT13" s="70"/>
      <c r="BU13" s="17"/>
      <c r="BV13" s="54" t="str">
        <f t="shared" si="1"/>
        <v/>
      </c>
      <c r="BW13" s="55"/>
      <c r="BX13" s="55"/>
      <c r="BY13" s="55"/>
      <c r="BZ13" s="55"/>
      <c r="CA13" s="55"/>
      <c r="CB13" s="55"/>
      <c r="CC13" s="56"/>
      <c r="CD13" s="18"/>
      <c r="CE13" s="54" t="str">
        <f t="shared" si="2"/>
        <v/>
      </c>
      <c r="CF13" s="57"/>
      <c r="CG13" s="57"/>
      <c r="CH13" s="57"/>
      <c r="CI13" s="57"/>
      <c r="CJ13" s="57"/>
      <c r="CK13" s="57"/>
      <c r="CL13" s="58"/>
      <c r="CM13" s="17"/>
      <c r="CN13" s="54" t="str">
        <f t="shared" si="3"/>
        <v/>
      </c>
      <c r="CO13" s="57"/>
      <c r="CP13" s="57"/>
      <c r="CQ13" s="57"/>
      <c r="CR13" s="57"/>
      <c r="CS13" s="57"/>
      <c r="CT13" s="57"/>
      <c r="CU13" s="58"/>
      <c r="CV13" s="59" t="str">
        <f t="shared" si="4"/>
        <v/>
      </c>
      <c r="CW13" s="60"/>
      <c r="CX13" s="60"/>
      <c r="CY13" s="60"/>
      <c r="CZ13" s="60"/>
      <c r="DA13" s="60"/>
      <c r="DB13" s="60"/>
      <c r="DC13" s="61"/>
      <c r="DD13" s="17"/>
      <c r="DE13" s="50" t="str">
        <f t="shared" si="5"/>
        <v/>
      </c>
      <c r="DF13" s="51"/>
      <c r="DG13" s="51"/>
      <c r="DH13" s="51"/>
      <c r="DI13" s="51"/>
      <c r="DJ13" s="51"/>
      <c r="DK13" s="51"/>
      <c r="DL13" s="52"/>
      <c r="DM13" s="42"/>
      <c r="DN13" s="42"/>
      <c r="DO13" s="42"/>
      <c r="DP13" s="42"/>
      <c r="DQ13" s="42"/>
      <c r="DR13" s="42"/>
      <c r="DS13" s="42"/>
      <c r="DT13" s="42"/>
      <c r="DU13" s="42"/>
      <c r="DV13" s="42"/>
      <c r="DW13" s="42"/>
      <c r="DX13" s="42"/>
      <c r="DY13" s="42"/>
      <c r="DZ13" s="42"/>
      <c r="EA13" s="42"/>
      <c r="EB13" s="42"/>
      <c r="EC13" s="42"/>
      <c r="ED13" s="42"/>
      <c r="EE13" s="9"/>
    </row>
    <row r="14" spans="2:135" s="10" customFormat="1" ht="47.45" customHeight="1" x14ac:dyDescent="0.15"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2"/>
      <c r="AG14" s="42"/>
      <c r="AH14" s="42"/>
      <c r="AI14" s="42"/>
      <c r="AJ14" s="42"/>
      <c r="AK14" s="42"/>
      <c r="AL14" s="42"/>
      <c r="AM14" s="43"/>
      <c r="AN14" s="44"/>
      <c r="AO14" s="45"/>
      <c r="AP14" s="45"/>
      <c r="AQ14" s="45"/>
      <c r="AR14" s="45"/>
      <c r="AS14" s="45"/>
      <c r="AT14" s="45"/>
      <c r="AU14" s="46"/>
      <c r="AV14" s="47"/>
      <c r="AW14" s="48"/>
      <c r="AX14" s="48"/>
      <c r="AY14" s="48"/>
      <c r="AZ14" s="48"/>
      <c r="BA14" s="48"/>
      <c r="BB14" s="48"/>
      <c r="BC14" s="49"/>
      <c r="BD14" s="47"/>
      <c r="BE14" s="66"/>
      <c r="BF14" s="66"/>
      <c r="BG14" s="66"/>
      <c r="BH14" s="66"/>
      <c r="BI14" s="66"/>
      <c r="BJ14" s="66"/>
      <c r="BK14" s="67"/>
      <c r="BL14" s="68" t="str">
        <f t="shared" si="0"/>
        <v/>
      </c>
      <c r="BM14" s="69"/>
      <c r="BN14" s="69"/>
      <c r="BO14" s="69"/>
      <c r="BP14" s="69"/>
      <c r="BQ14" s="69"/>
      <c r="BR14" s="69"/>
      <c r="BS14" s="69"/>
      <c r="BT14" s="70"/>
      <c r="BU14" s="17"/>
      <c r="BV14" s="54" t="str">
        <f t="shared" si="1"/>
        <v/>
      </c>
      <c r="BW14" s="55"/>
      <c r="BX14" s="55"/>
      <c r="BY14" s="55"/>
      <c r="BZ14" s="55"/>
      <c r="CA14" s="55"/>
      <c r="CB14" s="55"/>
      <c r="CC14" s="56"/>
      <c r="CD14" s="18"/>
      <c r="CE14" s="54" t="str">
        <f t="shared" si="2"/>
        <v/>
      </c>
      <c r="CF14" s="57"/>
      <c r="CG14" s="57"/>
      <c r="CH14" s="57"/>
      <c r="CI14" s="57"/>
      <c r="CJ14" s="57"/>
      <c r="CK14" s="57"/>
      <c r="CL14" s="58"/>
      <c r="CM14" s="17"/>
      <c r="CN14" s="54" t="str">
        <f t="shared" si="3"/>
        <v/>
      </c>
      <c r="CO14" s="57"/>
      <c r="CP14" s="57"/>
      <c r="CQ14" s="57"/>
      <c r="CR14" s="57"/>
      <c r="CS14" s="57"/>
      <c r="CT14" s="57"/>
      <c r="CU14" s="58"/>
      <c r="CV14" s="59" t="str">
        <f t="shared" si="4"/>
        <v/>
      </c>
      <c r="CW14" s="60"/>
      <c r="CX14" s="60"/>
      <c r="CY14" s="60"/>
      <c r="CZ14" s="60"/>
      <c r="DA14" s="60"/>
      <c r="DB14" s="60"/>
      <c r="DC14" s="61"/>
      <c r="DD14" s="17"/>
      <c r="DE14" s="50" t="str">
        <f t="shared" si="5"/>
        <v/>
      </c>
      <c r="DF14" s="51"/>
      <c r="DG14" s="51"/>
      <c r="DH14" s="51"/>
      <c r="DI14" s="51"/>
      <c r="DJ14" s="51"/>
      <c r="DK14" s="51"/>
      <c r="DL14" s="52"/>
      <c r="DM14" s="42"/>
      <c r="DN14" s="42"/>
      <c r="DO14" s="42"/>
      <c r="DP14" s="42"/>
      <c r="DQ14" s="42"/>
      <c r="DR14" s="42"/>
      <c r="DS14" s="42"/>
      <c r="DT14" s="42"/>
      <c r="DU14" s="42"/>
      <c r="DV14" s="42"/>
      <c r="DW14" s="42"/>
      <c r="DX14" s="42"/>
      <c r="DY14" s="42"/>
      <c r="DZ14" s="42"/>
      <c r="EA14" s="42"/>
      <c r="EB14" s="42"/>
      <c r="EC14" s="42"/>
      <c r="ED14" s="42"/>
      <c r="EE14" s="9"/>
    </row>
    <row r="15" spans="2:135" s="10" customFormat="1" ht="47.45" customHeight="1" x14ac:dyDescent="0.15"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2"/>
      <c r="AG15" s="42"/>
      <c r="AH15" s="42"/>
      <c r="AI15" s="42"/>
      <c r="AJ15" s="42"/>
      <c r="AK15" s="42"/>
      <c r="AL15" s="42"/>
      <c r="AM15" s="43"/>
      <c r="AN15" s="44"/>
      <c r="AO15" s="45"/>
      <c r="AP15" s="45"/>
      <c r="AQ15" s="45"/>
      <c r="AR15" s="45"/>
      <c r="AS15" s="45"/>
      <c r="AT15" s="45"/>
      <c r="AU15" s="46"/>
      <c r="AV15" s="47"/>
      <c r="AW15" s="48"/>
      <c r="AX15" s="48"/>
      <c r="AY15" s="48"/>
      <c r="AZ15" s="48"/>
      <c r="BA15" s="48"/>
      <c r="BB15" s="48"/>
      <c r="BC15" s="49"/>
      <c r="BD15" s="47"/>
      <c r="BE15" s="66"/>
      <c r="BF15" s="66"/>
      <c r="BG15" s="66"/>
      <c r="BH15" s="66"/>
      <c r="BI15" s="66"/>
      <c r="BJ15" s="66"/>
      <c r="BK15" s="67"/>
      <c r="BL15" s="68" t="str">
        <f t="shared" si="0"/>
        <v/>
      </c>
      <c r="BM15" s="69"/>
      <c r="BN15" s="69"/>
      <c r="BO15" s="69"/>
      <c r="BP15" s="69"/>
      <c r="BQ15" s="69"/>
      <c r="BR15" s="69"/>
      <c r="BS15" s="69"/>
      <c r="BT15" s="70"/>
      <c r="BU15" s="17"/>
      <c r="BV15" s="54" t="str">
        <f t="shared" si="1"/>
        <v/>
      </c>
      <c r="BW15" s="55"/>
      <c r="BX15" s="55"/>
      <c r="BY15" s="55"/>
      <c r="BZ15" s="55"/>
      <c r="CA15" s="55"/>
      <c r="CB15" s="55"/>
      <c r="CC15" s="56"/>
      <c r="CD15" s="18"/>
      <c r="CE15" s="54" t="str">
        <f t="shared" si="2"/>
        <v/>
      </c>
      <c r="CF15" s="57"/>
      <c r="CG15" s="57"/>
      <c r="CH15" s="57"/>
      <c r="CI15" s="57"/>
      <c r="CJ15" s="57"/>
      <c r="CK15" s="57"/>
      <c r="CL15" s="58"/>
      <c r="CM15" s="17"/>
      <c r="CN15" s="54" t="str">
        <f t="shared" si="3"/>
        <v/>
      </c>
      <c r="CO15" s="57"/>
      <c r="CP15" s="57"/>
      <c r="CQ15" s="57"/>
      <c r="CR15" s="57"/>
      <c r="CS15" s="57"/>
      <c r="CT15" s="57"/>
      <c r="CU15" s="58"/>
      <c r="CV15" s="59" t="str">
        <f t="shared" si="4"/>
        <v/>
      </c>
      <c r="CW15" s="60"/>
      <c r="CX15" s="60"/>
      <c r="CY15" s="60"/>
      <c r="CZ15" s="60"/>
      <c r="DA15" s="60"/>
      <c r="DB15" s="60"/>
      <c r="DC15" s="61"/>
      <c r="DD15" s="17"/>
      <c r="DE15" s="50" t="str">
        <f t="shared" si="5"/>
        <v/>
      </c>
      <c r="DF15" s="51"/>
      <c r="DG15" s="51"/>
      <c r="DH15" s="51"/>
      <c r="DI15" s="51"/>
      <c r="DJ15" s="51"/>
      <c r="DK15" s="51"/>
      <c r="DL15" s="52"/>
      <c r="DM15" s="42"/>
      <c r="DN15" s="42"/>
      <c r="DO15" s="42"/>
      <c r="DP15" s="42"/>
      <c r="DQ15" s="42"/>
      <c r="DR15" s="42"/>
      <c r="DS15" s="42"/>
      <c r="DT15" s="42"/>
      <c r="DU15" s="42"/>
      <c r="DV15" s="42"/>
      <c r="DW15" s="42"/>
      <c r="DX15" s="42"/>
      <c r="DY15" s="42"/>
      <c r="DZ15" s="42"/>
      <c r="EA15" s="42"/>
      <c r="EB15" s="42"/>
      <c r="EC15" s="42"/>
      <c r="ED15" s="42"/>
      <c r="EE15" s="9"/>
    </row>
    <row r="16" spans="2:135" s="10" customFormat="1" ht="47.45" customHeight="1" x14ac:dyDescent="0.1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2"/>
      <c r="AG16" s="42"/>
      <c r="AH16" s="42"/>
      <c r="AI16" s="42"/>
      <c r="AJ16" s="42"/>
      <c r="AK16" s="42"/>
      <c r="AL16" s="42"/>
      <c r="AM16" s="43"/>
      <c r="AN16" s="44"/>
      <c r="AO16" s="45"/>
      <c r="AP16" s="45"/>
      <c r="AQ16" s="45"/>
      <c r="AR16" s="45"/>
      <c r="AS16" s="45"/>
      <c r="AT16" s="45"/>
      <c r="AU16" s="46"/>
      <c r="AV16" s="47"/>
      <c r="AW16" s="48"/>
      <c r="AX16" s="48"/>
      <c r="AY16" s="48"/>
      <c r="AZ16" s="48"/>
      <c r="BA16" s="48"/>
      <c r="BB16" s="48"/>
      <c r="BC16" s="49"/>
      <c r="BD16" s="47"/>
      <c r="BE16" s="66"/>
      <c r="BF16" s="66"/>
      <c r="BG16" s="66"/>
      <c r="BH16" s="66"/>
      <c r="BI16" s="66"/>
      <c r="BJ16" s="66"/>
      <c r="BK16" s="67"/>
      <c r="BL16" s="68" t="str">
        <f t="shared" si="0"/>
        <v/>
      </c>
      <c r="BM16" s="69"/>
      <c r="BN16" s="69"/>
      <c r="BO16" s="69"/>
      <c r="BP16" s="69"/>
      <c r="BQ16" s="69"/>
      <c r="BR16" s="69"/>
      <c r="BS16" s="69"/>
      <c r="BT16" s="70"/>
      <c r="BU16" s="17"/>
      <c r="BV16" s="54" t="str">
        <f t="shared" si="1"/>
        <v/>
      </c>
      <c r="BW16" s="55"/>
      <c r="BX16" s="55"/>
      <c r="BY16" s="55"/>
      <c r="BZ16" s="55"/>
      <c r="CA16" s="55"/>
      <c r="CB16" s="55"/>
      <c r="CC16" s="56"/>
      <c r="CD16" s="18"/>
      <c r="CE16" s="54" t="str">
        <f t="shared" si="2"/>
        <v/>
      </c>
      <c r="CF16" s="57"/>
      <c r="CG16" s="57"/>
      <c r="CH16" s="57"/>
      <c r="CI16" s="57"/>
      <c r="CJ16" s="57"/>
      <c r="CK16" s="57"/>
      <c r="CL16" s="58"/>
      <c r="CM16" s="17"/>
      <c r="CN16" s="54" t="str">
        <f t="shared" si="3"/>
        <v/>
      </c>
      <c r="CO16" s="57"/>
      <c r="CP16" s="57"/>
      <c r="CQ16" s="57"/>
      <c r="CR16" s="57"/>
      <c r="CS16" s="57"/>
      <c r="CT16" s="57"/>
      <c r="CU16" s="58"/>
      <c r="CV16" s="59" t="str">
        <f t="shared" si="4"/>
        <v/>
      </c>
      <c r="CW16" s="60"/>
      <c r="CX16" s="60"/>
      <c r="CY16" s="60"/>
      <c r="CZ16" s="60"/>
      <c r="DA16" s="60"/>
      <c r="DB16" s="60"/>
      <c r="DC16" s="61"/>
      <c r="DD16" s="17"/>
      <c r="DE16" s="50" t="str">
        <f t="shared" si="5"/>
        <v/>
      </c>
      <c r="DF16" s="51"/>
      <c r="DG16" s="51"/>
      <c r="DH16" s="51"/>
      <c r="DI16" s="51"/>
      <c r="DJ16" s="51"/>
      <c r="DK16" s="51"/>
      <c r="DL16" s="52"/>
      <c r="DM16" s="42"/>
      <c r="DN16" s="42"/>
      <c r="DO16" s="42"/>
      <c r="DP16" s="42"/>
      <c r="DQ16" s="42"/>
      <c r="DR16" s="42"/>
      <c r="DS16" s="42"/>
      <c r="DT16" s="42"/>
      <c r="DU16" s="42"/>
      <c r="DV16" s="42"/>
      <c r="DW16" s="42"/>
      <c r="DX16" s="42"/>
      <c r="DY16" s="42"/>
      <c r="DZ16" s="42"/>
      <c r="EA16" s="42"/>
      <c r="EB16" s="42"/>
      <c r="EC16" s="42"/>
      <c r="ED16" s="42"/>
      <c r="EE16" s="9"/>
    </row>
    <row r="17" spans="2:138" ht="48" customHeight="1" x14ac:dyDescent="0.15"/>
    <row r="18" spans="2:138" ht="19.5" customHeight="1" x14ac:dyDescent="0.2">
      <c r="B18" s="35" t="s">
        <v>315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Y18" s="71" t="str">
        <f>EH18&amp;"/"&amp;EH19</f>
        <v>##印刷情報.共通情報.印刷日時/##印刷情報.共通情報.印刷日時</v>
      </c>
      <c r="DZ18" s="71"/>
      <c r="EA18" s="71"/>
      <c r="EB18" s="71"/>
      <c r="EC18" s="71"/>
      <c r="ED18" s="71"/>
      <c r="EG18" s="14" t="s">
        <v>159</v>
      </c>
      <c r="EH18" s="2" t="str">
        <f>TEXT(EG18,"yy/mm/dd")</f>
        <v>##印刷情報.共通情報.印刷日時</v>
      </c>
    </row>
    <row r="19" spans="2:138" ht="15" customHeight="1" x14ac:dyDescent="0.15">
      <c r="EH19" s="2" t="str">
        <f>TEXT(EG18,"[$-409]ddd")</f>
        <v>##印刷情報.共通情報.印刷日時</v>
      </c>
    </row>
  </sheetData>
  <mergeCells count="169">
    <mergeCell ref="DW13:ED13"/>
    <mergeCell ref="DE14:DL14"/>
    <mergeCell ref="DM14:DV14"/>
    <mergeCell ref="DW14:ED14"/>
    <mergeCell ref="DY18:ED18"/>
    <mergeCell ref="CN16:CU16"/>
    <mergeCell ref="CV16:DC16"/>
    <mergeCell ref="DE16:DL16"/>
    <mergeCell ref="DM16:DV16"/>
    <mergeCell ref="DW16:ED16"/>
    <mergeCell ref="DW15:ED15"/>
    <mergeCell ref="DM15:DV15"/>
    <mergeCell ref="B18:DL18"/>
    <mergeCell ref="B16:M16"/>
    <mergeCell ref="N16:AE16"/>
    <mergeCell ref="AF16:AM16"/>
    <mergeCell ref="AN16:AU16"/>
    <mergeCell ref="AV16:BC16"/>
    <mergeCell ref="BD16:BK16"/>
    <mergeCell ref="BL16:BT16"/>
    <mergeCell ref="BV16:CC16"/>
    <mergeCell ref="CE16:CL16"/>
    <mergeCell ref="B15:M15"/>
    <mergeCell ref="N15:AE15"/>
    <mergeCell ref="AF15:AM15"/>
    <mergeCell ref="AN15:AU15"/>
    <mergeCell ref="AV15:BC15"/>
    <mergeCell ref="BD15:BK15"/>
    <mergeCell ref="BL15:BT15"/>
    <mergeCell ref="AN14:AU14"/>
    <mergeCell ref="AV14:BC14"/>
    <mergeCell ref="CN12:CU12"/>
    <mergeCell ref="CV12:DC12"/>
    <mergeCell ref="BV15:CC15"/>
    <mergeCell ref="CE15:CL15"/>
    <mergeCell ref="CN15:CU15"/>
    <mergeCell ref="CV15:DC15"/>
    <mergeCell ref="AF14:AM14"/>
    <mergeCell ref="DE15:DL15"/>
    <mergeCell ref="DE12:DL12"/>
    <mergeCell ref="DM12:DV12"/>
    <mergeCell ref="BV14:CC14"/>
    <mergeCell ref="CE14:CL14"/>
    <mergeCell ref="CN14:CU14"/>
    <mergeCell ref="CV14:DC14"/>
    <mergeCell ref="B13:M13"/>
    <mergeCell ref="N13:AE13"/>
    <mergeCell ref="AF13:AM13"/>
    <mergeCell ref="AN13:AU13"/>
    <mergeCell ref="AV13:BC13"/>
    <mergeCell ref="BD13:BK13"/>
    <mergeCell ref="BL13:BT13"/>
    <mergeCell ref="BV13:CC13"/>
    <mergeCell ref="CN13:CU13"/>
    <mergeCell ref="CE13:CL13"/>
    <mergeCell ref="CV13:DC13"/>
    <mergeCell ref="DE13:DL13"/>
    <mergeCell ref="DM13:DV13"/>
    <mergeCell ref="BD14:BK14"/>
    <mergeCell ref="BL14:BT14"/>
    <mergeCell ref="B14:M14"/>
    <mergeCell ref="N14:AE14"/>
    <mergeCell ref="B11:M11"/>
    <mergeCell ref="N11:AE11"/>
    <mergeCell ref="AF11:AM11"/>
    <mergeCell ref="AN11:AU11"/>
    <mergeCell ref="AV11:BC11"/>
    <mergeCell ref="DE11:DL11"/>
    <mergeCell ref="DM11:DV11"/>
    <mergeCell ref="DW11:ED11"/>
    <mergeCell ref="B12:M12"/>
    <mergeCell ref="N12:AE12"/>
    <mergeCell ref="AF12:AM12"/>
    <mergeCell ref="AN12:AU12"/>
    <mergeCell ref="AV12:BC12"/>
    <mergeCell ref="BD12:BK12"/>
    <mergeCell ref="BL12:BT12"/>
    <mergeCell ref="BD11:BK11"/>
    <mergeCell ref="BL11:BT11"/>
    <mergeCell ref="BV11:CC11"/>
    <mergeCell ref="CE11:CL11"/>
    <mergeCell ref="CN11:CU11"/>
    <mergeCell ref="CV11:DC11"/>
    <mergeCell ref="DW12:ED12"/>
    <mergeCell ref="BV12:CC12"/>
    <mergeCell ref="CE12:CL12"/>
    <mergeCell ref="DW9:ED9"/>
    <mergeCell ref="B10:M10"/>
    <mergeCell ref="N10:AE10"/>
    <mergeCell ref="AF10:AM10"/>
    <mergeCell ref="AN10:AU10"/>
    <mergeCell ref="AV10:BC10"/>
    <mergeCell ref="BD10:BK10"/>
    <mergeCell ref="BL10:BT10"/>
    <mergeCell ref="BV10:CC10"/>
    <mergeCell ref="CE10:CL10"/>
    <mergeCell ref="BV9:CC9"/>
    <mergeCell ref="CE9:CL9"/>
    <mergeCell ref="CN9:CU9"/>
    <mergeCell ref="CV9:DC9"/>
    <mergeCell ref="DE9:DL9"/>
    <mergeCell ref="DM9:DV9"/>
    <mergeCell ref="CN10:CU10"/>
    <mergeCell ref="CV10:DC10"/>
    <mergeCell ref="DE10:DL10"/>
    <mergeCell ref="DM10:DV10"/>
    <mergeCell ref="DW10:ED10"/>
    <mergeCell ref="B9:M9"/>
    <mergeCell ref="N9:AE9"/>
    <mergeCell ref="AF9:AM9"/>
    <mergeCell ref="AN9:AU9"/>
    <mergeCell ref="AV9:BC9"/>
    <mergeCell ref="BD9:BK9"/>
    <mergeCell ref="BL9:BT9"/>
    <mergeCell ref="BD8:BK8"/>
    <mergeCell ref="BL8:BT8"/>
    <mergeCell ref="CV7:DC7"/>
    <mergeCell ref="DE7:DL7"/>
    <mergeCell ref="DM7:DV7"/>
    <mergeCell ref="CN7:CU7"/>
    <mergeCell ref="DW7:ED7"/>
    <mergeCell ref="B8:M8"/>
    <mergeCell ref="N8:AE8"/>
    <mergeCell ref="AF8:AM8"/>
    <mergeCell ref="AN8:AU8"/>
    <mergeCell ref="AV8:BC8"/>
    <mergeCell ref="DE8:DL8"/>
    <mergeCell ref="DM8:DV8"/>
    <mergeCell ref="DW8:ED8"/>
    <mergeCell ref="BV8:CC8"/>
    <mergeCell ref="CE8:CL8"/>
    <mergeCell ref="CN8:CU8"/>
    <mergeCell ref="CV8:DC8"/>
    <mergeCell ref="B7:M7"/>
    <mergeCell ref="N7:AE7"/>
    <mergeCell ref="AF7:AM7"/>
    <mergeCell ref="AN7:AU7"/>
    <mergeCell ref="AV7:BC7"/>
    <mergeCell ref="BD7:BK7"/>
    <mergeCell ref="BL7:BT7"/>
    <mergeCell ref="BV7:CC7"/>
    <mergeCell ref="CE7:CL7"/>
    <mergeCell ref="B6:M6"/>
    <mergeCell ref="N6:AE6"/>
    <mergeCell ref="AF6:AM6"/>
    <mergeCell ref="AN6:AU6"/>
    <mergeCell ref="AV6:BC6"/>
    <mergeCell ref="BD6:BK6"/>
    <mergeCell ref="BL6:BT6"/>
    <mergeCell ref="J4:U4"/>
    <mergeCell ref="V4:Y4"/>
    <mergeCell ref="AI4:AT4"/>
    <mergeCell ref="AU4:AX4"/>
    <mergeCell ref="C4:I4"/>
    <mergeCell ref="AB4:AH4"/>
    <mergeCell ref="DW6:ED6"/>
    <mergeCell ref="BV6:CC6"/>
    <mergeCell ref="CE6:CL6"/>
    <mergeCell ref="CN6:CU6"/>
    <mergeCell ref="CV6:DC6"/>
    <mergeCell ref="DE6:DL6"/>
    <mergeCell ref="DM6:DV6"/>
    <mergeCell ref="Z2:BP2"/>
    <mergeCell ref="BR2:DC2"/>
    <mergeCell ref="DH2:DP2"/>
    <mergeCell ref="BA4:BF4"/>
    <mergeCell ref="BG4:BT4"/>
    <mergeCell ref="BV4:BY4"/>
    <mergeCell ref="DQ2:EE2"/>
  </mergeCells>
  <phoneticPr fontId="1"/>
  <printOptions horizontalCentered="1"/>
  <pageMargins left="0" right="0" top="0" bottom="0" header="0" footer="0"/>
  <pageSetup paperSize="9" scale="9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Props1.xml><?xml version="1.0" encoding="utf-8"?>
<ds:datastoreItem xmlns:ds="http://schemas.openxmlformats.org/officeDocument/2006/customXml" ds:itemID="{9BEEB4D3-5447-49B3-AD1F-04E12BDE0F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bd1c32-15f9-417b-a931-9141d9ec92c0"/>
    <ds:schemaRef ds:uri="c150e9fd-535a-4b9a-a5f4-a818706e33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2E84B7-4172-47CC-9634-FF4779FAD2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EB8359-9FDF-47F1-AE02-6D3A5E6DF571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090204</dc:creator>
  <cp:keywords/>
  <dc:description/>
  <cp:lastModifiedBy>堀内 英史</cp:lastModifiedBy>
  <cp:revision/>
  <dcterms:created xsi:type="dcterms:W3CDTF">2011-09-14T10:31:38Z</dcterms:created>
  <dcterms:modified xsi:type="dcterms:W3CDTF">2026-06-09T04:37:59Z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