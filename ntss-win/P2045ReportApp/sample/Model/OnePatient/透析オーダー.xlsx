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EA2BCE62-D10E-43C7-9C41-BE282C9333F0}" xr6:coauthVersionLast="47" xr6:coauthVersionMax="47" xr10:uidLastSave="{00000000-0000-0000-0000-000000000000}"/>
  <bookViews>
    <workbookView xWindow="4485" yWindow="1170" windowWidth="19845" windowHeight="1611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レイアウト!$A$1:$AB$33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" i="4" l="1"/>
  <c r="U30" i="4"/>
  <c r="U27" i="4"/>
  <c r="U24" i="4"/>
  <c r="U21" i="4"/>
  <c r="U18" i="4"/>
  <c r="U15" i="4"/>
  <c r="U12" i="4"/>
  <c r="U9" i="4"/>
  <c r="O33" i="4"/>
  <c r="O30" i="4"/>
  <c r="O27" i="4"/>
  <c r="O24" i="4"/>
  <c r="O21" i="4"/>
  <c r="O18" i="4"/>
  <c r="O15" i="4"/>
  <c r="O12" i="4"/>
  <c r="O9" i="4"/>
</calcChain>
</file>

<file path=xl/sharedStrings.xml><?xml version="1.0" encoding="utf-8"?>
<sst xmlns="http://schemas.openxmlformats.org/spreadsheetml/2006/main" count="1112" uniqueCount="294">
  <si>
    <t>透析オーダ</t>
    <rPh sb="0" eb="2">
      <t>トウセキ</t>
    </rPh>
    <phoneticPr fontId="3"/>
  </si>
  <si>
    <t>ID</t>
    <phoneticPr fontId="3"/>
  </si>
  <si>
    <t>氏名</t>
    <rPh sb="0" eb="2">
      <t>シメイ</t>
    </rPh>
    <phoneticPr fontId="3"/>
  </si>
  <si>
    <t>日付</t>
    <rPh sb="0" eb="2">
      <t>ヒヅケ</t>
    </rPh>
    <phoneticPr fontId="3"/>
  </si>
  <si>
    <t>治療名称</t>
    <rPh sb="0" eb="2">
      <t>チリョウ</t>
    </rPh>
    <rPh sb="2" eb="4">
      <t>メイショウ</t>
    </rPh>
    <phoneticPr fontId="3"/>
  </si>
  <si>
    <t>時間</t>
    <rPh sb="0" eb="2">
      <t>ジカン</t>
    </rPh>
    <phoneticPr fontId="3"/>
  </si>
  <si>
    <t>補液</t>
    <rPh sb="0" eb="1">
      <t>オギナ</t>
    </rPh>
    <rPh sb="1" eb="2">
      <t>エキ</t>
    </rPh>
    <phoneticPr fontId="3"/>
  </si>
  <si>
    <t>VA
血流量</t>
    <rPh sb="4" eb="6">
      <t>ケツリュウ</t>
    </rPh>
    <rPh sb="6" eb="7">
      <t>リョウ</t>
    </rPh>
    <phoneticPr fontId="3"/>
  </si>
  <si>
    <t>Dr</t>
    <phoneticPr fontId="3"/>
  </si>
  <si>
    <t>Ns</t>
    <phoneticPr fontId="3"/>
  </si>
  <si>
    <t>グループ</t>
  </si>
  <si>
    <t/>
  </si>
  <si>
    <t>ダイアライザ
吸着カラム</t>
    <rPh sb="8" eb="10">
      <t>キュウチャク</t>
    </rPh>
    <phoneticPr fontId="3"/>
  </si>
  <si>
    <t>抗凝固剤</t>
    <rPh sb="0" eb="1">
      <t>コウ</t>
    </rPh>
    <rPh sb="1" eb="3">
      <t>ギョウコ</t>
    </rPh>
    <rPh sb="3" eb="4">
      <t>ザイ</t>
    </rPh>
    <phoneticPr fontId="3"/>
  </si>
  <si>
    <t>ワンショット量</t>
    <rPh sb="6" eb="7">
      <t>リョウ</t>
    </rPh>
    <phoneticPr fontId="1"/>
  </si>
  <si>
    <t>総量</t>
    <rPh sb="0" eb="2">
      <t>ソウリョウ</t>
    </rPh>
    <phoneticPr fontId="1"/>
  </si>
  <si>
    <t>IPワンショット</t>
    <phoneticPr fontId="1"/>
  </si>
  <si>
    <t>IP速度</t>
    <rPh sb="2" eb="4">
      <t>ソクド</t>
    </rPh>
    <phoneticPr fontId="1"/>
  </si>
  <si>
    <t>IP自動切り時間</t>
    <rPh sb="2" eb="4">
      <t>ジドウ</t>
    </rPh>
    <rPh sb="4" eb="5">
      <t>キ</t>
    </rPh>
    <rPh sb="6" eb="8">
      <t>ジカン</t>
    </rPh>
    <phoneticPr fontId="1"/>
  </si>
  <si>
    <t>##患者情報.基本情報.患者ID</t>
  </si>
  <si>
    <t>##患者情報.基本情報.氏名</t>
  </si>
  <si>
    <t>##指示.透析予定.透析日</t>
  </si>
  <si>
    <t>##指示.透析条件.治療方法</t>
  </si>
  <si>
    <t>##指示.透析予定.透析時間</t>
  </si>
  <si>
    <t>##指示.透析条件.ダイアライザ</t>
  </si>
  <si>
    <t>##指示.透析条件.吸着カラム</t>
  </si>
  <si>
    <t>##指示.透析条件.補液</t>
  </si>
  <si>
    <t>##指示.透析条件.補液量</t>
  </si>
  <si>
    <t>##指示.透析条件.補液単位</t>
  </si>
  <si>
    <t>##指示.透析条件.VA</t>
  </si>
  <si>
    <t>##指示.透析条件.血流量</t>
  </si>
  <si>
    <t>##指示.透析条件.抗凝固剤</t>
  </si>
  <si>
    <t>##指示.透析条件.抗凝固剤ワンショット量</t>
  </si>
  <si>
    <t>##指示.透析条件.抗凝固剤単位</t>
  </si>
  <si>
    <t>##指示.透析条件.抗凝固剤総量</t>
  </si>
  <si>
    <t>持続量</t>
    <rPh sb="0" eb="2">
      <t>ジゾク</t>
    </rPh>
    <rPh sb="2" eb="3">
      <t>リョウ</t>
    </rPh>
    <phoneticPr fontId="1"/>
  </si>
  <si>
    <t>##指示.透析条件.抗凝固剤持続速度</t>
  </si>
  <si>
    <t>##指示.透析条件.抗凝固剤持続速度</t>
    <phoneticPr fontId="1"/>
  </si>
  <si>
    <t>##指示.透析条件.抗凝固剤持続速度単位</t>
  </si>
  <si>
    <t>##指示.透析条件.抗凝固剤持続速度単位</t>
    <phoneticPr fontId="1"/>
  </si>
  <si>
    <t>##指示.透析条件.IPワンショット量</t>
  </si>
  <si>
    <t>##指示.透析条件.IPワンショット量単位</t>
  </si>
  <si>
    <t>##指示.透析条件.IP速度</t>
  </si>
  <si>
    <t>##指示.透析条件.IP速度単位</t>
  </si>
  <si>
    <t>##指示.透析条件.IP電源自動切り時間</t>
  </si>
  <si>
    <t>##指示.投薬.薬剤名</t>
  </si>
  <si>
    <t>医師1</t>
  </si>
  <si>
    <t>2018/08/10 16:56:42</t>
  </si>
  <si>
    <t>テンプレート設定</t>
  </si>
  <si>
    <t xml:space="preserve">設定：無効 ⇒ 有効_x000D_
範囲：未設定 ⇒ B7:AB9_x000D_
右移動量：0 ⇒ 27_x000D_
右移動回数：0 ⇒ 1_x000D_
下移動量：0 ⇒ 3_x000D_
下移動回数：0 ⇒ 9_x000D_
改ページ：しない ⇒ する_x000D_
繰り返し方向：未設定 ⇒ N型_x000D_
</t>
  </si>
  <si>
    <t>2018/08/10 16:56:53</t>
  </si>
  <si>
    <t>C3:E3</t>
  </si>
  <si>
    <t xml:space="preserve">新規追加_x000D_
改ページ:改ページしない_x000D_
プレビューデータ:123456789012_x000D_
書式:G/標準_x000D_
表示行数:0行_x000D_
縮小設定:縮小表示する_x000D_
</t>
  </si>
  <si>
    <t>G3:L3</t>
  </si>
  <si>
    <t xml:space="preserve">新規追加_x000D_
改ページ:改ページしない_x000D_
プレビューデータ:日機装　太郎_x000D_
書式:G/標準_x000D_
表示行数:0行_x000D_
縮小設定:縮小表示する_x000D_
</t>
  </si>
  <si>
    <t>B7:C9</t>
  </si>
  <si>
    <t xml:space="preserve">新規追加_x000D_
改ページ:改ページしない_x000D_
プレビューデータ:2011/05/20_x000D_
書式:yyyy/mm/dd_x000D_
表示行数:0行_x000D_
縮小設定:縮小表示する_x000D_
テンプレート内外:内_x000D_
</t>
  </si>
  <si>
    <t>D7:E9</t>
  </si>
  <si>
    <t xml:space="preserve">新規追加_x000D_
改ページ:改ページしない_x000D_
プレビューデータ:HDF_x000D_
書式:G/標準_x000D_
表示行数:0行_x000D_
縮小設定:縮小表示する_x000D_
テンプレート内外:内_x000D_
</t>
  </si>
  <si>
    <t>F7:G9</t>
  </si>
  <si>
    <t xml:space="preserve">新規追加_x000D_
改ページ:改ページしない_x000D_
プレビューデータ:240_x000D_
書式:[h]:mm_x000D_
表示行数:0行_x000D_
縮小設定:縮小表示する_x000D_
テンプレート内外:内_x000D_
</t>
  </si>
  <si>
    <t>H7:J7</t>
  </si>
  <si>
    <t xml:space="preserve">新規追加_x000D_
改ページ:改ページしない_x000D_
プレビューデータ:FDX-120GW_x000D_
書式:G/標準_x000D_
表示行数:0行_x000D_
縮小設定:縮小表示する_x000D_
テンプレート内外:内_x000D_
</t>
  </si>
  <si>
    <t>K7:M7</t>
  </si>
  <si>
    <t xml:space="preserve">新規追加_x000D_
改ページ:改ページしない_x000D_
プレビューデータ:テスト補液_x000D_
書式:G/標準_x000D_
表示行数:0行_x000D_
縮小設定:縮小表示する_x000D_
テンプレート内外:内_x000D_
</t>
  </si>
  <si>
    <t>N7:O7</t>
  </si>
  <si>
    <t xml:space="preserve">新規追加_x000D_
改ページ:改ページしない_x000D_
プレビューデータ:左手前腕内シャント化静脈_x000D_
書式:G/標準_x000D_
表示行数:0行_x000D_
縮小設定:縮小表示する_x000D_
テンプレート内外:内_x000D_
</t>
  </si>
  <si>
    <t>P7:U7</t>
  </si>
  <si>
    <t xml:space="preserve">新規追加_x000D_
改ページ:改ページしない_x000D_
プレビューデータ:テスト抗凝固剤_x000D_
書式:G/標準_x000D_
表示行数:0行_x000D_
縮小設定:縮小表示する_x000D_
テンプレート内外:内_x000D_
</t>
  </si>
  <si>
    <t>V7:X7</t>
  </si>
  <si>
    <t xml:space="preserve">新規追加_x000D_
改ページ:改ページしない_x000D_
繰り返し場所:V7:X7,V8:X8,V9:X9_x000D_
グループ名:指示.投薬_x000D_
プレビューデータ:テスト薬剤１_x000D_
書式:G/標準_x000D_
表示行数:0行_x000D_
縮小設定:縮小表示する_x000D_
テンプレート内外:内_x000D_
</t>
  </si>
  <si>
    <t>K8:M8</t>
  </si>
  <si>
    <t xml:space="preserve">新規追加_x000D_
改ページ:改ページしない_x000D_
プレビューデータ:8.0_x000D_
書式:0.0_x000D_
表示行数:0行_x000D_
縮小設定:縮小表示する_x000D_
テンプレート内外:内_x000D_
</t>
  </si>
  <si>
    <t>P8</t>
  </si>
  <si>
    <t xml:space="preserve">新規追加_x000D_
改ページ:改ページしない_x000D_
プレビューデータ:1000_x000D_
書式:0_x000D_
表示行数:0行_x000D_
縮小設定:縮小表示する_x000D_
テンプレート内外:内_x000D_
</t>
  </si>
  <si>
    <t>Q8</t>
  </si>
  <si>
    <t xml:space="preserve">新規追加_x000D_
改ページ:改ページしない_x000D_
プレビューデータ:U_x000D_
書式:G/標準_x000D_
表示行数:0行_x000D_
縮小設定:縮小表示する_x000D_
テンプレート内外:内_x000D_
</t>
  </si>
  <si>
    <t>R8</t>
  </si>
  <si>
    <t xml:space="preserve">新規追加_x000D_
改ページ:改ページしない_x000D_
プレビューデータ:500_x000D_
書式:0_x000D_
表示行数:0行_x000D_
縮小設定:縮小表示する_x000D_
テンプレート内外:内_x000D_
</t>
  </si>
  <si>
    <t>S8</t>
  </si>
  <si>
    <t xml:space="preserve">新規追加_x000D_
改ページ:改ページしない_x000D_
プレビューデータ:U/h_x000D_
書式:G/標準_x000D_
表示行数:0行_x000D_
縮小設定:縮小表示する_x000D_
テンプレート内外:内_x000D_
</t>
  </si>
  <si>
    <t>T8</t>
  </si>
  <si>
    <t xml:space="preserve">新規追加_x000D_
改ページ:改ページしない_x000D_
プレビューデータ:3000_x000D_
書式:0_x000D_
表示行数:0行_x000D_
縮小設定:縮小表示する_x000D_
テンプレート内外:内_x000D_
</t>
  </si>
  <si>
    <t>U8</t>
  </si>
  <si>
    <t>H9:J9</t>
  </si>
  <si>
    <t xml:space="preserve">新規追加_x000D_
改ページ:改ページしない_x000D_
プレビューデータ:リクセルS-15_x000D_
書式:G/標準_x000D_
表示行数:0行_x000D_
縮小設定:縮小表示する_x000D_
テンプレート内外:内_x000D_
</t>
  </si>
  <si>
    <t>K9:M9</t>
  </si>
  <si>
    <t xml:space="preserve">新規追加_x000D_
改ページ:改ページしない_x000D_
プレビューデータ:L_x000D_
書式:G/標準_x000D_
表示行数:0行_x000D_
縮小設定:縮小表示する_x000D_
テンプレート内外:内_x000D_
</t>
  </si>
  <si>
    <t>N9</t>
  </si>
  <si>
    <t xml:space="preserve">新規追加_x000D_
改ページ:改ページしない_x000D_
プレビューデータ:180_x000D_
書式:0_x000D_
表示行数:0行_x000D_
縮小設定:縮小表示する_x000D_
テンプレート内外:内_x000D_
</t>
  </si>
  <si>
    <t>P9</t>
  </si>
  <si>
    <t xml:space="preserve">新規追加_x000D_
改ページ:改ページしない_x000D_
プレビューデータ:0_x000D_
書式:0.0_x000D_
表示行数:0行_x000D_
縮小設定:縮小表示する_x000D_
テンプレート内外:内_x000D_
</t>
  </si>
  <si>
    <t>Q9</t>
  </si>
  <si>
    <t xml:space="preserve">新規追加_x000D_
改ページ:改ページしない_x000D_
プレビューデータ:mL_x000D_
書式:G/標準_x000D_
表示行数:0行_x000D_
縮小設定:縮小表示する_x000D_
テンプレート内外:内_x000D_
</t>
  </si>
  <si>
    <t>R9</t>
  </si>
  <si>
    <t xml:space="preserve">新規追加_x000D_
改ページ:改ページしない_x000D_
プレビューデータ:1.2_x000D_
書式:0.0_x000D_
表示行数:0行_x000D_
縮小設定:縮小表示する_x000D_
テンプレート内外:内_x000D_
</t>
  </si>
  <si>
    <t>S9</t>
  </si>
  <si>
    <t xml:space="preserve">新規追加_x000D_
改ページ:改ページしない_x000D_
プレビューデータ:mL/h_x000D_
書式:G/標準_x000D_
表示行数:0行_x000D_
縮小設定:縮小表示する_x000D_
テンプレート内外:内_x000D_
</t>
  </si>
  <si>
    <t>T9</t>
  </si>
  <si>
    <t xml:space="preserve">新規追加_x000D_
改ページ:改ページしない_x000D_
プレビューデータ:0_x000D_
書式:0_x000D_
表示行数:0行_x000D_
縮小設定:縮小表示する_x000D_
テンプレート内外:内_x000D_
</t>
  </si>
  <si>
    <t>2018/08/10 16:57:02</t>
  </si>
  <si>
    <t>指示.投薬.指示.投薬(テンプレート内)</t>
  </si>
  <si>
    <t xml:space="preserve">改ページ:改ページする_x000D_
抽出条件:SET_FLG = '0' and ((CLS_CD = '001'))_x000D_
</t>
  </si>
  <si>
    <t>2018/08/10 16:57:03</t>
  </si>
  <si>
    <t>帳票モード</t>
  </si>
  <si>
    <t>モード：単純モード ⇒ 透析日モード</t>
  </si>
  <si>
    <t>2018/08/10 17:05:15</t>
  </si>
  <si>
    <t xml:space="preserve">範囲：B7:AB9 ⇒ B7:Y9_x000D_
右移動量：27 ⇒ 24_x000D_
</t>
  </si>
  <si>
    <t>2018/08/10 17:05:17</t>
  </si>
  <si>
    <t>削除</t>
  </si>
  <si>
    <t>2018/08/10 17:05:18</t>
  </si>
  <si>
    <t>ESA製剤</t>
    <rPh sb="3" eb="5">
      <t>セイザイ</t>
    </rPh>
    <phoneticPr fontId="3"/>
  </si>
  <si>
    <t>B7:AB9</t>
    <phoneticPr fontId="1"/>
  </si>
  <si>
    <t>N</t>
    <phoneticPr fontId="1"/>
  </si>
  <si>
    <t>2018/08/10 17:08:13</t>
  </si>
  <si>
    <t xml:space="preserve">範囲：B7:Y9 ⇒ B7:AB9_x000D_
右移動量：24 ⇒ 27_x000D_
繰り返し方向：Z型 ⇒ N型_x000D_
</t>
  </si>
  <si>
    <t>2018/08/10 17:08:22</t>
  </si>
  <si>
    <t>指示</t>
  </si>
  <si>
    <t>投薬</t>
  </si>
  <si>
    <t>指示.投薬</t>
  </si>
  <si>
    <t>Medicine</t>
  </si>
  <si>
    <t>2018/08/10 17:08:32</t>
  </si>
  <si>
    <t>018_004</t>
    <phoneticPr fontId="1"/>
  </si>
  <si>
    <t>OnePatient</t>
  </si>
  <si>
    <t>0</t>
  </si>
  <si>
    <t>120386</t>
  </si>
  <si>
    <t>2026/03/05 17:59:47</t>
  </si>
  <si>
    <t>帳票設定</t>
  </si>
  <si>
    <t xml:space="preserve">有り_x000D_
</t>
  </si>
  <si>
    <t>##患者情報.本人情報.患者ID</t>
  </si>
  <si>
    <t>##患者情報.本人情報.患者ID</t>
    <phoneticPr fontId="1"/>
  </si>
  <si>
    <t>##患者情報.本人情報.患者名</t>
  </si>
  <si>
    <t>##患者情報.本人情報.患者名</t>
    <phoneticPr fontId="1"/>
  </si>
  <si>
    <t>##指示.透析予定.透析日</t>
    <phoneticPr fontId="1"/>
  </si>
  <si>
    <t>##指示.透析条件.治療方法</t>
    <phoneticPr fontId="1"/>
  </si>
  <si>
    <t>##指示.透析予定.透析時間</t>
    <phoneticPr fontId="1"/>
  </si>
  <si>
    <t>##指示.透析条件.ダイアライザ</t>
    <phoneticPr fontId="1"/>
  </si>
  <si>
    <t>##指示.透析条件.補液</t>
    <phoneticPr fontId="1"/>
  </si>
  <si>
    <t>##指示.透析条件.VA</t>
    <phoneticPr fontId="1"/>
  </si>
  <si>
    <t>##指示.透析条件.抗凝固剤</t>
    <phoneticPr fontId="1"/>
  </si>
  <si>
    <t>##指示.投薬.薬剤名</t>
    <phoneticPr fontId="1"/>
  </si>
  <si>
    <t>##指示.透析条件.補液量</t>
    <phoneticPr fontId="1"/>
  </si>
  <si>
    <t>##指示.透析条件.抗凝固剤ワンショット量</t>
    <phoneticPr fontId="1"/>
  </si>
  <si>
    <t>##指示.透析条件.抗凝固剤単位</t>
    <phoneticPr fontId="1"/>
  </si>
  <si>
    <t>##指示.透析条件.抗凝固剤総量</t>
    <phoneticPr fontId="1"/>
  </si>
  <si>
    <t>##指示.透析条件.吸着カラム</t>
    <phoneticPr fontId="1"/>
  </si>
  <si>
    <t>##指示.透析条件.補液単位</t>
    <phoneticPr fontId="1"/>
  </si>
  <si>
    <t>##指示.透析条件.血流量</t>
    <phoneticPr fontId="1"/>
  </si>
  <si>
    <t>##指示.透析条件.IPワンショット量</t>
    <phoneticPr fontId="1"/>
  </si>
  <si>
    <t>##指示.透析条件.IPワンショット量単位</t>
    <phoneticPr fontId="1"/>
  </si>
  <si>
    <t>##指示.透析条件.IP速度</t>
    <phoneticPr fontId="1"/>
  </si>
  <si>
    <t>##指示.透析条件.IP速度単位</t>
    <phoneticPr fontId="1"/>
  </si>
  <si>
    <t>##指示.透析条件.IP電源自動切り時間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</si>
  <si>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</si>
  <si>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</si>
  <si>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</si>
  <si>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</si>
  <si>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</si>
  <si>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</si>
  <si>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</si>
  <si>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</si>
  <si>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</si>
  <si>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</si>
  <si>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</si>
  <si>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</si>
  <si>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</si>
  <si>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</si>
  <si>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</si>
  <si>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</si>
  <si>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</si>
  <si>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</si>
  <si>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</si>
  <si>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</si>
  <si>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</si>
  <si>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</si>
  <si>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</si>
  <si>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</si>
  <si>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CanBarCode</t>
  </si>
  <si>
    <t>BarCode</t>
  </si>
  <si>
    <t>IsImage</t>
  </si>
  <si>
    <t>RowCount</t>
  </si>
  <si>
    <t>患者情報</t>
  </si>
  <si>
    <t>本人情報</t>
  </si>
  <si>
    <t>患者ID</t>
  </si>
  <si>
    <t>1</t>
  </si>
  <si>
    <t>hosp_pat_id</t>
  </si>
  <si>
    <t>string</t>
  </si>
  <si>
    <t>123456789012</t>
  </si>
  <si>
    <t>False</t>
  </si>
  <si>
    <t>外</t>
  </si>
  <si>
    <t>患者名</t>
  </si>
  <si>
    <t>pat_name</t>
  </si>
  <si>
    <t>日機装　太郎</t>
  </si>
  <si>
    <t>透析予定</t>
  </si>
  <si>
    <t>透析日</t>
  </si>
  <si>
    <t>45</t>
  </si>
  <si>
    <t>treat_date</t>
  </si>
  <si>
    <t>DateTime</t>
  </si>
  <si>
    <t>2011/05/20</t>
  </si>
  <si>
    <t>yyyy/mm/dd</t>
  </si>
  <si>
    <t>内</t>
  </si>
  <si>
    <t>透析条件</t>
  </si>
  <si>
    <t>治療方法</t>
  </si>
  <si>
    <t>treatment_name</t>
  </si>
  <si>
    <t>HDF</t>
  </si>
  <si>
    <t>透析時間</t>
  </si>
  <si>
    <t>treatment_time</t>
  </si>
  <si>
    <t>ダイアライザ</t>
  </si>
  <si>
    <t>FDX-120GW</t>
  </si>
  <si>
    <t>補液</t>
  </si>
  <si>
    <t>fluid_replacement_name</t>
  </si>
  <si>
    <t>テスト補液</t>
  </si>
  <si>
    <t>VA</t>
  </si>
  <si>
    <t>va_name</t>
  </si>
  <si>
    <t>左手前腕内シャント化静脈</t>
  </si>
  <si>
    <t>抗凝固剤</t>
  </si>
  <si>
    <t>anti_coagulant_name</t>
  </si>
  <si>
    <t>1234567</t>
  </si>
  <si>
    <t>薬剤名</t>
  </si>
  <si>
    <t>4</t>
  </si>
  <si>
    <t>medi_name</t>
  </si>
  <si>
    <t>テスト薬剤１</t>
  </si>
  <si>
    <t>True</t>
  </si>
  <si>
    <t>V7:X7,V8:X8,V9:X9</t>
  </si>
  <si>
    <t>補液量</t>
  </si>
  <si>
    <t>fluid_replacement_amount</t>
  </si>
  <si>
    <t>decimal</t>
  </si>
  <si>
    <t>8.0</t>
  </si>
  <si>
    <t>0.0</t>
  </si>
  <si>
    <t>抗凝固剤ワンショット量</t>
  </si>
  <si>
    <t>anti_coagulant_one_shot_amount</t>
  </si>
  <si>
    <t>1000</t>
  </si>
  <si>
    <t>抗凝固剤単位</t>
  </si>
  <si>
    <t>U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</si>
  <si>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</si>
  <si>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</si>
  <si>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</si>
  <si>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</si>
  <si>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</si>
  <si>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</si>
  <si>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抗凝固剤総量</t>
  </si>
  <si>
    <t>anti_coagulant_total_amount</t>
  </si>
  <si>
    <t>3000</t>
  </si>
  <si>
    <t>吸着カラム</t>
  </si>
  <si>
    <t>adsorption_column_name</t>
  </si>
  <si>
    <t>リクセルS-15</t>
  </si>
  <si>
    <t>補液単位</t>
  </si>
  <si>
    <t>fluid_replacement_unit</t>
  </si>
  <si>
    <t>L</t>
  </si>
  <si>
    <t>血流量</t>
  </si>
  <si>
    <t>blood_flow</t>
  </si>
  <si>
    <t>180</t>
  </si>
  <si>
    <t>IPワンショット量</t>
  </si>
  <si>
    <t>ip_one_shot_amount</t>
  </si>
  <si>
    <t>IPワンショット量単位</t>
  </si>
  <si>
    <t>ip_one_shot_amount_unit</t>
  </si>
  <si>
    <t>mL</t>
  </si>
  <si>
    <t>IP速度</t>
  </si>
  <si>
    <t>ip_speed</t>
  </si>
  <si>
    <t>1.2</t>
  </si>
  <si>
    <t>IP速度単位</t>
  </si>
  <si>
    <t>ip_speed_unit</t>
  </si>
  <si>
    <t>mL/h</t>
  </si>
  <si>
    <t>IP電源自動切り時間</t>
  </si>
  <si>
    <t>ip_auto_off_time</t>
  </si>
  <si>
    <t>GroupPath</t>
  </si>
  <si>
    <t>RepeatCount</t>
  </si>
  <si>
    <t>指示.投薬.指示.投薬.内.V7:X7</t>
  </si>
  <si>
    <t>&lt;SelectSetting&gt;&lt;Item tag="Medicine" checkState="Checked" /&gt;&lt;/SelectSetting&gt;</t>
  </si>
  <si>
    <t>3</t>
  </si>
  <si>
    <t>2026/03/05 17:59:54</t>
  </si>
  <si>
    <t>B7:AB9</t>
  </si>
  <si>
    <t>27</t>
  </si>
  <si>
    <t>9</t>
  </si>
  <si>
    <t>N</t>
  </si>
  <si>
    <t>Dialysis</t>
  </si>
  <si>
    <t>2026/03/05 18:00:15</t>
  </si>
  <si>
    <t xml:space="preserve">設定:無効 ⇒ 有効_x000D_
範囲:未設定 ⇒ B7:AB9_x000D_
縦回数:1 ⇒ 9_x000D_
改頁しない_x000D_
</t>
  </si>
  <si>
    <t>2026/03/05 18:00:16</t>
  </si>
  <si>
    <t xml:space="preserve">設定変更_x000D_
抽出条件:&lt;SelectSetting&gt;&lt;Item tag="Medicine" checkState="Checked" /&gt;&lt;/SelectSetting&gt; ⇒ _x000D_
</t>
  </si>
  <si>
    <t>集計設定</t>
  </si>
  <si>
    <t xml:space="preserve">出力値のない列は省略する設定: ⇒ 0_x000D_
出力値のない行は省略する設定: ⇒ 0_x000D_
縦の合計: ⇒ 0_x000D_
横の合計: ⇒ 0_x000D_
</t>
  </si>
  <si>
    <t>G/標準</t>
  </si>
  <si>
    <t>1106082:04</t>
  </si>
  <si>
    <t>[h]:mm</t>
  </si>
  <si>
    <t>2026/03/05 18:04:52</t>
  </si>
  <si>
    <t xml:space="preserve">設定変更_x000D_
書式: ⇒ G/標準_x000D_
</t>
  </si>
  <si>
    <t xml:space="preserve">設定変更_x000D_
プレビューデータ:10:10 ⇒ 1106082:04_x000D_
書式:hh:mm ⇒ [h]:mm_x000D_
</t>
  </si>
  <si>
    <t xml:space="preserve">設定変更_x000D_
書式: ⇒ G/標準_x000D_
抽出条件:&lt;SelectSetting&gt;&lt;Item tag="Medicine" checkState="Checked" /&gt;&lt;/SelectSetting&gt; ⇒ _x000D_
</t>
  </si>
  <si>
    <t xml:space="preserve">設定変更_x000D_
書式:0 ⇒ 0.0_x000D_
</t>
  </si>
  <si>
    <t>33300</t>
  </si>
  <si>
    <t>2026/03/05 18:19:02</t>
  </si>
  <si>
    <t>dialyzer_name</t>
  </si>
  <si>
    <t>anti_coagulant_unit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</si>
</sst>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0.0"/>
    <numFmt numFmtId="178" formatCode="yyyy/mm/dd"/>
  </numFmts>
  <fonts count="1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5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9" fillId="0" borderId="0" xfId="1" applyFont="1">
      <alignment vertical="center"/>
    </xf>
    <xf numFmtId="0" fontId="9" fillId="0" borderId="0" xfId="1" applyFont="1" applyAlignment="1">
      <alignment vertical="center" shrinkToFit="1"/>
    </xf>
    <xf numFmtId="0" fontId="9" fillId="0" borderId="0" xfId="1" applyFont="1" applyAlignment="1">
      <alignment horizontal="right" vertical="center" shrinkToFit="1"/>
    </xf>
    <xf numFmtId="0" fontId="9" fillId="0" borderId="1" xfId="1" applyFont="1" applyFill="1" applyBorder="1" applyAlignment="1">
      <alignment shrinkToFit="1"/>
    </xf>
    <xf numFmtId="1" fontId="9" fillId="0" borderId="2" xfId="1" applyNumberFormat="1" applyFont="1" applyFill="1" applyBorder="1" applyAlignment="1">
      <alignment shrinkToFit="1"/>
    </xf>
    <xf numFmtId="1" fontId="9" fillId="0" borderId="3" xfId="1" applyNumberFormat="1" applyFont="1" applyFill="1" applyBorder="1" applyAlignment="1">
      <alignment vertical="top" shrinkToFit="1"/>
    </xf>
    <xf numFmtId="0" fontId="9" fillId="0" borderId="0" xfId="1" applyNumberFormat="1" applyFont="1" applyFill="1" applyBorder="1" applyAlignment="1">
      <alignment vertical="top" shrinkToFit="1"/>
    </xf>
    <xf numFmtId="1" fontId="9" fillId="0" borderId="0" xfId="1" applyNumberFormat="1" applyFont="1" applyFill="1" applyBorder="1" applyAlignment="1">
      <alignment vertical="top" shrinkToFit="1"/>
    </xf>
    <xf numFmtId="0" fontId="9" fillId="0" borderId="4" xfId="1" applyNumberFormat="1" applyFont="1" applyFill="1" applyBorder="1" applyAlignment="1">
      <alignment vertical="top" shrinkToFit="1"/>
    </xf>
    <xf numFmtId="177" fontId="9" fillId="0" borderId="2" xfId="1" applyNumberFormat="1" applyFont="1" applyFill="1" applyBorder="1" applyAlignment="1">
      <alignment shrinkToFit="1"/>
    </xf>
    <xf numFmtId="0" fontId="9" fillId="0" borderId="5" xfId="1" applyNumberFormat="1" applyFont="1" applyFill="1" applyBorder="1" applyAlignment="1">
      <alignment shrinkToFit="1"/>
    </xf>
    <xf numFmtId="177" fontId="9" fillId="0" borderId="5" xfId="1" applyNumberFormat="1" applyFont="1" applyFill="1" applyBorder="1" applyAlignment="1">
      <alignment shrinkToFit="1"/>
    </xf>
    <xf numFmtId="1" fontId="9" fillId="0" borderId="5" xfId="1" applyNumberFormat="1" applyFont="1" applyFill="1" applyBorder="1" applyAlignment="1">
      <alignment shrinkToFit="1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9" fillId="0" borderId="2" xfId="1" applyFont="1" applyFill="1" applyBorder="1" applyAlignment="1">
      <alignment shrinkToFit="1"/>
    </xf>
    <xf numFmtId="0" fontId="10" fillId="0" borderId="5" xfId="1" applyFont="1" applyFill="1" applyBorder="1" applyAlignment="1">
      <alignment shrinkToFit="1"/>
    </xf>
    <xf numFmtId="0" fontId="10" fillId="0" borderId="0" xfId="1" applyFont="1" applyFill="1" applyBorder="1" applyAlignment="1">
      <alignment vertical="top" shrinkToFit="1"/>
    </xf>
    <xf numFmtId="0" fontId="10" fillId="0" borderId="4" xfId="1" applyFont="1" applyFill="1" applyBorder="1" applyAlignment="1">
      <alignment vertical="top" shrinkToFit="1"/>
    </xf>
    <xf numFmtId="0" fontId="10" fillId="0" borderId="3" xfId="1" applyFont="1" applyFill="1" applyBorder="1" applyAlignment="1">
      <alignment vertical="top" shrinkToFit="1"/>
    </xf>
    <xf numFmtId="0" fontId="10" fillId="0" borderId="2" xfId="1" applyFont="1" applyFill="1" applyBorder="1" applyAlignment="1">
      <alignment shrinkToFit="1"/>
    </xf>
    <xf numFmtId="0" fontId="9" fillId="0" borderId="8" xfId="1" applyFont="1" applyFill="1" applyBorder="1" applyAlignment="1">
      <alignment horizontal="center" vertical="center" shrinkToFit="1"/>
    </xf>
    <xf numFmtId="0" fontId="9" fillId="0" borderId="9" xfId="1" applyFont="1" applyFill="1" applyBorder="1" applyAlignment="1">
      <alignment horizontal="center" vertical="center" shrinkToFit="1"/>
    </xf>
    <xf numFmtId="0" fontId="9" fillId="0" borderId="3" xfId="1" applyFont="1" applyFill="1" applyBorder="1" applyAlignment="1">
      <alignment horizontal="center" vertical="center" shrinkToFit="1"/>
    </xf>
    <xf numFmtId="0" fontId="9" fillId="0" borderId="4" xfId="1" applyFont="1" applyFill="1" applyBorder="1" applyAlignment="1">
      <alignment horizontal="center" vertical="center" shrinkToFit="1"/>
    </xf>
    <xf numFmtId="0" fontId="9" fillId="0" borderId="2" xfId="1" applyFont="1" applyFill="1" applyBorder="1" applyAlignment="1">
      <alignment horizontal="center" vertical="center" shrinkToFit="1"/>
    </xf>
    <xf numFmtId="0" fontId="9" fillId="0" borderId="1" xfId="1" applyFont="1" applyFill="1" applyBorder="1" applyAlignment="1">
      <alignment horizontal="center" vertical="center" shrinkToFit="1"/>
    </xf>
    <xf numFmtId="176" fontId="9" fillId="0" borderId="8" xfId="1" applyNumberFormat="1" applyFont="1" applyFill="1" applyBorder="1" applyAlignment="1">
      <alignment horizontal="center" vertical="center" shrinkToFit="1"/>
    </xf>
    <xf numFmtId="176" fontId="9" fillId="0" borderId="9" xfId="1" applyNumberFormat="1" applyFont="1" applyFill="1" applyBorder="1" applyAlignment="1">
      <alignment horizontal="center" vertical="center" shrinkToFit="1"/>
    </xf>
    <xf numFmtId="176" fontId="9" fillId="0" borderId="3" xfId="1" applyNumberFormat="1" applyFont="1" applyFill="1" applyBorder="1" applyAlignment="1">
      <alignment horizontal="center" vertical="center" shrinkToFit="1"/>
    </xf>
    <xf numFmtId="176" fontId="9" fillId="0" borderId="4" xfId="1" applyNumberFormat="1" applyFont="1" applyFill="1" applyBorder="1" applyAlignment="1">
      <alignment horizontal="center" vertical="center" shrinkToFit="1"/>
    </xf>
    <xf numFmtId="176" fontId="9" fillId="0" borderId="2" xfId="1" applyNumberFormat="1" applyFont="1" applyFill="1" applyBorder="1" applyAlignment="1">
      <alignment horizontal="center" vertical="center" shrinkToFit="1"/>
    </xf>
    <xf numFmtId="176" fontId="9" fillId="0" borderId="1" xfId="1" applyNumberFormat="1" applyFont="1" applyFill="1" applyBorder="1" applyAlignment="1">
      <alignment horizontal="center" vertical="center" shrinkToFit="1"/>
    </xf>
    <xf numFmtId="0" fontId="9" fillId="2" borderId="8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0" borderId="7" xfId="1" applyNumberFormat="1" applyFont="1" applyFill="1" applyBorder="1" applyAlignment="1">
      <alignment horizontal="left" vertical="top" shrinkToFit="1"/>
    </xf>
    <xf numFmtId="0" fontId="9" fillId="0" borderId="3" xfId="1" applyNumberFormat="1" applyFont="1" applyFill="1" applyBorder="1" applyAlignment="1">
      <alignment horizontal="center" vertical="top" shrinkToFit="1"/>
    </xf>
    <xf numFmtId="0" fontId="9" fillId="0" borderId="0" xfId="1" applyNumberFormat="1" applyFont="1" applyFill="1" applyBorder="1" applyAlignment="1">
      <alignment horizontal="center" vertical="top" shrinkToFit="1"/>
    </xf>
    <xf numFmtId="0" fontId="9" fillId="0" borderId="4" xfId="1" applyNumberFormat="1" applyFont="1" applyFill="1" applyBorder="1" applyAlignment="1">
      <alignment horizontal="center" vertical="top" shrinkToFit="1"/>
    </xf>
    <xf numFmtId="0" fontId="9" fillId="0" borderId="6" xfId="1" applyNumberFormat="1" applyFont="1" applyFill="1" applyBorder="1" applyAlignment="1">
      <alignment horizontal="right" vertical="top" shrinkToFit="1"/>
    </xf>
    <xf numFmtId="0" fontId="9" fillId="0" borderId="7" xfId="1" applyFont="1" applyFill="1" applyBorder="1" applyAlignment="1">
      <alignment horizontal="left" vertical="top" shrinkToFit="1"/>
    </xf>
    <xf numFmtId="0" fontId="9" fillId="0" borderId="3" xfId="1" applyFont="1" applyFill="1" applyBorder="1" applyAlignment="1">
      <alignment horizontal="center" vertical="top" shrinkToFit="1"/>
    </xf>
    <xf numFmtId="0" fontId="9" fillId="0" borderId="0" xfId="1" applyFont="1" applyFill="1" applyBorder="1" applyAlignment="1">
      <alignment horizontal="center" vertical="top" shrinkToFit="1"/>
    </xf>
    <xf numFmtId="0" fontId="9" fillId="0" borderId="4" xfId="1" applyFont="1" applyFill="1" applyBorder="1" applyAlignment="1">
      <alignment horizontal="center" vertical="top" shrinkToFit="1"/>
    </xf>
    <xf numFmtId="0" fontId="9" fillId="0" borderId="6" xfId="1" applyFont="1" applyFill="1" applyBorder="1" applyAlignment="1">
      <alignment horizontal="left" vertical="top" shrinkToFit="1"/>
    </xf>
    <xf numFmtId="0" fontId="6" fillId="2" borderId="2" xfId="1" applyFont="1" applyFill="1" applyBorder="1" applyAlignment="1">
      <alignment horizontal="left" vertical="center" shrinkToFit="1"/>
    </xf>
    <xf numFmtId="0" fontId="6" fillId="2" borderId="5" xfId="1" applyFont="1" applyFill="1" applyBorder="1" applyAlignment="1">
      <alignment horizontal="left" vertical="center" shrinkToFit="1"/>
    </xf>
    <xf numFmtId="0" fontId="6" fillId="2" borderId="0" xfId="1" applyFont="1" applyFill="1" applyBorder="1" applyAlignment="1">
      <alignment horizontal="left" vertical="center" shrinkToFit="1"/>
    </xf>
    <xf numFmtId="0" fontId="6" fillId="2" borderId="4" xfId="1" applyFont="1" applyFill="1" applyBorder="1" applyAlignment="1">
      <alignment horizontal="left" vertical="center" shrinkToFit="1"/>
    </xf>
    <xf numFmtId="0" fontId="6" fillId="2" borderId="1" xfId="1" applyFont="1" applyFill="1" applyBorder="1" applyAlignment="1">
      <alignment horizontal="left" vertical="center" shrinkToFi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9" fillId="2" borderId="9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left" vertical="center" shrinkToFit="1"/>
    </xf>
    <xf numFmtId="0" fontId="9" fillId="0" borderId="8" xfId="1" applyFont="1" applyBorder="1" applyAlignment="1">
      <alignment horizontal="center" vertical="center" shrinkToFit="1"/>
    </xf>
    <xf numFmtId="0" fontId="9" fillId="0" borderId="9" xfId="1" applyFont="1" applyBorder="1" applyAlignment="1">
      <alignment horizontal="center" vertical="center" shrinkToFit="1"/>
    </xf>
    <xf numFmtId="0" fontId="9" fillId="0" borderId="3" xfId="1" applyFont="1" applyBorder="1" applyAlignment="1">
      <alignment horizontal="center" vertical="center" shrinkToFit="1"/>
    </xf>
    <xf numFmtId="0" fontId="9" fillId="0" borderId="4" xfId="1" applyFont="1" applyBorder="1" applyAlignment="1">
      <alignment horizontal="center" vertical="center" shrinkToFit="1"/>
    </xf>
    <xf numFmtId="0" fontId="9" fillId="0" borderId="2" xfId="1" applyFont="1" applyBorder="1" applyAlignment="1">
      <alignment horizontal="center" vertical="center" shrinkToFit="1"/>
    </xf>
    <xf numFmtId="0" fontId="9" fillId="0" borderId="1" xfId="1" applyFont="1" applyBorder="1" applyAlignment="1">
      <alignment horizontal="center" vertical="center" shrinkToFit="1"/>
    </xf>
    <xf numFmtId="0" fontId="9" fillId="0" borderId="8" xfId="1" applyFont="1" applyFill="1" applyBorder="1" applyAlignment="1">
      <alignment horizontal="left" vertical="top" shrinkToFit="1"/>
    </xf>
    <xf numFmtId="0" fontId="9" fillId="0" borderId="9" xfId="1" applyFont="1" applyFill="1" applyBorder="1" applyAlignment="1">
      <alignment horizontal="left" vertical="top" shrinkToFit="1"/>
    </xf>
    <xf numFmtId="0" fontId="10" fillId="0" borderId="8" xfId="1" applyFont="1" applyFill="1" applyBorder="1" applyAlignment="1">
      <alignment horizontal="left" vertical="top" shrinkToFit="1"/>
    </xf>
    <xf numFmtId="0" fontId="10" fillId="0" borderId="10" xfId="1" applyFont="1" applyFill="1" applyBorder="1" applyAlignment="1">
      <alignment horizontal="left" vertical="top" shrinkToFit="1"/>
    </xf>
    <xf numFmtId="0" fontId="10" fillId="0" borderId="9" xfId="1" applyFont="1" applyFill="1" applyBorder="1" applyAlignment="1">
      <alignment horizontal="left" vertical="top" shrinkToFit="1"/>
    </xf>
    <xf numFmtId="0" fontId="2" fillId="0" borderId="0" xfId="1" applyFont="1" applyAlignment="1">
      <alignment horizontal="center" vertical="center"/>
    </xf>
    <xf numFmtId="0" fontId="9" fillId="0" borderId="0" xfId="1" applyNumberFormat="1" applyFont="1" applyFill="1" applyBorder="1" applyAlignment="1">
      <alignment horizontal="left" vertical="center" shrinkToFit="1"/>
    </xf>
    <xf numFmtId="0" fontId="4" fillId="0" borderId="5" xfId="1" applyNumberFormat="1" applyFont="1" applyFill="1" applyBorder="1" applyAlignment="1">
      <alignment horizontal="center" vertical="center" shrinkToFit="1"/>
    </xf>
    <xf numFmtId="0" fontId="5" fillId="2" borderId="8" xfId="1" applyFont="1" applyFill="1" applyBorder="1" applyAlignment="1">
      <alignment horizontal="left" vertical="center" wrapText="1"/>
    </xf>
    <xf numFmtId="0" fontId="0" fillId="0" borderId="10" xfId="0" applyBorder="1">
      <alignment vertical="center"/>
    </xf>
    <xf numFmtId="0" fontId="0" fillId="0" borderId="9" xfId="0" applyBorder="1">
      <alignment vertical="center"/>
    </xf>
    <xf numFmtId="178" fontId="9" fillId="0" borderId="8" xfId="1" applyNumberFormat="1" applyFont="1" applyFill="1" applyBorder="1" applyAlignment="1">
      <alignment horizontal="center" vertical="center" shrinkToFit="1"/>
    </xf>
    <xf numFmtId="178" fontId="9" fillId="0" borderId="9" xfId="1" applyNumberFormat="1" applyFont="1" applyFill="1" applyBorder="1" applyAlignment="1">
      <alignment horizontal="center" vertical="center" shrinkToFit="1"/>
    </xf>
    <xf numFmtId="178" fontId="9" fillId="0" borderId="3" xfId="1" applyNumberFormat="1" applyFont="1" applyFill="1" applyBorder="1" applyAlignment="1">
      <alignment horizontal="center" vertical="center" shrinkToFit="1"/>
    </xf>
    <xf numFmtId="178" fontId="9" fillId="0" borderId="4" xfId="1" applyNumberFormat="1" applyFont="1" applyFill="1" applyBorder="1" applyAlignment="1">
      <alignment horizontal="center" vertical="center" shrinkToFit="1"/>
    </xf>
    <xf numFmtId="178" fontId="9" fillId="0" borderId="2" xfId="1" applyNumberFormat="1" applyFont="1" applyFill="1" applyBorder="1" applyAlignment="1">
      <alignment horizontal="center" vertical="center" shrinkToFit="1"/>
    </xf>
    <xf numFmtId="178" fontId="9" fillId="0" borderId="1" xfId="1" applyNumberFormat="1" applyFont="1" applyFill="1" applyBorder="1" applyAlignment="1">
      <alignment horizontal="center" vertical="center" shrinkToFit="1"/>
    </xf>
    <xf numFmtId="0" fontId="9" fillId="0" borderId="6" xfId="1" applyNumberFormat="1" applyFont="1" applyFill="1" applyBorder="1" applyAlignment="1">
      <alignment horizontal="left" vertical="top" shrinkToFit="1"/>
    </xf>
    <xf numFmtId="0" fontId="9" fillId="0" borderId="8" xfId="1" applyNumberFormat="1" applyFont="1" applyFill="1" applyBorder="1" applyAlignment="1">
      <alignment horizontal="center" vertical="center" shrinkToFit="1"/>
    </xf>
    <xf numFmtId="0" fontId="9" fillId="0" borderId="9" xfId="1" applyNumberFormat="1" applyFont="1" applyFill="1" applyBorder="1" applyAlignment="1">
      <alignment horizontal="center" vertical="center" shrinkToFit="1"/>
    </xf>
    <xf numFmtId="0" fontId="9" fillId="0" borderId="3" xfId="1" applyNumberFormat="1" applyFont="1" applyFill="1" applyBorder="1" applyAlignment="1">
      <alignment horizontal="center" vertical="center" shrinkToFit="1"/>
    </xf>
    <xf numFmtId="0" fontId="9" fillId="0" borderId="4" xfId="1" applyNumberFormat="1" applyFont="1" applyFill="1" applyBorder="1" applyAlignment="1">
      <alignment horizontal="center" vertical="center" shrinkToFit="1"/>
    </xf>
    <xf numFmtId="0" fontId="9" fillId="0" borderId="2" xfId="1" applyNumberFormat="1" applyFont="1" applyFill="1" applyBorder="1" applyAlignment="1">
      <alignment horizontal="center" vertical="center" shrinkToFit="1"/>
    </xf>
    <xf numFmtId="0" fontId="9" fillId="0" borderId="1" xfId="1" applyNumberFormat="1" applyFont="1" applyFill="1" applyBorder="1" applyAlignment="1">
      <alignment horizontal="center" vertical="center" shrinkToFit="1"/>
    </xf>
    <xf numFmtId="0" fontId="9" fillId="0" borderId="8" xfId="1" applyNumberFormat="1" applyFont="1" applyFill="1" applyBorder="1" applyAlignment="1">
      <alignment horizontal="left" vertical="top" shrinkToFit="1"/>
    </xf>
    <xf numFmtId="0" fontId="9" fillId="0" borderId="9" xfId="1" applyNumberFormat="1" applyFont="1" applyFill="1" applyBorder="1" applyAlignment="1">
      <alignment horizontal="left" vertical="top" shrinkToFit="1"/>
    </xf>
    <xf numFmtId="0" fontId="9" fillId="0" borderId="10" xfId="1" applyNumberFormat="1" applyFont="1" applyFill="1" applyBorder="1" applyAlignment="1">
      <alignment horizontal="left" vertical="top" shrinkToFit="1"/>
    </xf>
    <xf numFmtId="177" fontId="9" fillId="0" borderId="3" xfId="1" applyNumberFormat="1" applyFont="1" applyFill="1" applyBorder="1" applyAlignment="1">
      <alignment horizontal="center" vertical="top" shrinkToFit="1"/>
    </xf>
    <xf numFmtId="177" fontId="9" fillId="0" borderId="0" xfId="1" applyNumberFormat="1" applyFont="1" applyFill="1" applyBorder="1" applyAlignment="1">
      <alignment horizontal="center" vertical="top" shrinkToFit="1"/>
    </xf>
    <xf numFmtId="177" fontId="9" fillId="0" borderId="4" xfId="1" applyNumberFormat="1" applyFont="1" applyFill="1" applyBorder="1" applyAlignment="1">
      <alignment horizontal="center" vertical="top"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265</v>
      </c>
      <c r="B1" s="1" t="s">
        <v>154</v>
      </c>
      <c r="C1" s="1" t="s">
        <v>155</v>
      </c>
      <c r="D1" s="1" t="s">
        <v>172</v>
      </c>
      <c r="E1" s="1" t="s">
        <v>169</v>
      </c>
      <c r="F1" s="1" t="s">
        <v>167</v>
      </c>
      <c r="G1" s="1" t="s">
        <v>168</v>
      </c>
      <c r="H1" s="1" t="s">
        <v>266</v>
      </c>
      <c r="I1" s="1" t="s">
        <v>174</v>
      </c>
    </row>
    <row r="2" spans="1:9" x14ac:dyDescent="0.15">
      <c r="A2" s="1" t="s">
        <v>267</v>
      </c>
      <c r="B2" s="1" t="s">
        <v>117</v>
      </c>
      <c r="C2" s="1" t="s">
        <v>118</v>
      </c>
      <c r="D2" s="1" t="s">
        <v>119</v>
      </c>
      <c r="E2" s="1" t="s">
        <v>184</v>
      </c>
      <c r="F2" s="1" t="s">
        <v>268</v>
      </c>
      <c r="G2" s="1" t="s">
        <v>120</v>
      </c>
      <c r="H2" s="1" t="s">
        <v>269</v>
      </c>
      <c r="I2" s="1" t="s">
        <v>200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6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</row>
    <row r="2" spans="1:28" x14ac:dyDescent="0.15">
      <c r="A2" s="1" t="s">
        <v>129</v>
      </c>
      <c r="B2" s="1" t="s">
        <v>181</v>
      </c>
      <c r="C2" s="1" t="s">
        <v>182</v>
      </c>
      <c r="D2" s="1" t="s">
        <v>183</v>
      </c>
      <c r="E2" s="1" t="s">
        <v>184</v>
      </c>
      <c r="F2" s="1" t="s">
        <v>185</v>
      </c>
      <c r="G2" s="1" t="s">
        <v>186</v>
      </c>
      <c r="H2" s="1" t="s">
        <v>187</v>
      </c>
      <c r="I2" s="1" t="s">
        <v>282</v>
      </c>
      <c r="K2" s="1" t="s">
        <v>188</v>
      </c>
      <c r="L2" s="1" t="s">
        <v>11</v>
      </c>
      <c r="M2" s="1" t="s">
        <v>184</v>
      </c>
      <c r="N2" s="1" t="s">
        <v>11</v>
      </c>
      <c r="O2" s="1" t="s">
        <v>11</v>
      </c>
      <c r="P2" s="1" t="s">
        <v>11</v>
      </c>
      <c r="Q2" s="1" t="s">
        <v>11</v>
      </c>
      <c r="R2" s="1" t="s">
        <v>11</v>
      </c>
      <c r="S2" s="1" t="s">
        <v>51</v>
      </c>
      <c r="T2" s="1" t="s">
        <v>11</v>
      </c>
      <c r="U2" s="1" t="s">
        <v>11</v>
      </c>
      <c r="V2" s="1" t="s">
        <v>189</v>
      </c>
      <c r="W2" s="1" t="s">
        <v>11</v>
      </c>
      <c r="X2" s="1" t="s">
        <v>188</v>
      </c>
      <c r="Y2" s="1" t="s">
        <v>188</v>
      </c>
      <c r="Z2" s="1" t="s">
        <v>11</v>
      </c>
      <c r="AA2" s="1" t="s">
        <v>11</v>
      </c>
      <c r="AB2" s="1" t="s">
        <v>11</v>
      </c>
    </row>
    <row r="3" spans="1:28" x14ac:dyDescent="0.15">
      <c r="A3" s="1" t="s">
        <v>131</v>
      </c>
      <c r="B3" s="1" t="s">
        <v>181</v>
      </c>
      <c r="C3" s="1" t="s">
        <v>182</v>
      </c>
      <c r="D3" s="1" t="s">
        <v>190</v>
      </c>
      <c r="E3" s="1" t="s">
        <v>184</v>
      </c>
      <c r="F3" s="1" t="s">
        <v>191</v>
      </c>
      <c r="G3" s="1" t="s">
        <v>186</v>
      </c>
      <c r="H3" s="1" t="s">
        <v>192</v>
      </c>
      <c r="I3" s="1" t="s">
        <v>282</v>
      </c>
      <c r="K3" s="1" t="s">
        <v>188</v>
      </c>
      <c r="L3" s="1" t="s">
        <v>11</v>
      </c>
      <c r="M3" s="1" t="s">
        <v>184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11</v>
      </c>
      <c r="S3" s="1" t="s">
        <v>53</v>
      </c>
      <c r="T3" s="1" t="s">
        <v>11</v>
      </c>
      <c r="U3" s="1" t="s">
        <v>11</v>
      </c>
      <c r="V3" s="1" t="s">
        <v>189</v>
      </c>
      <c r="W3" s="1" t="s">
        <v>11</v>
      </c>
      <c r="X3" s="1" t="s">
        <v>188</v>
      </c>
      <c r="Y3" s="1" t="s">
        <v>188</v>
      </c>
      <c r="Z3" s="1" t="s">
        <v>11</v>
      </c>
      <c r="AA3" s="1" t="s">
        <v>11</v>
      </c>
      <c r="AB3" s="1" t="s">
        <v>11</v>
      </c>
    </row>
    <row r="4" spans="1:28" x14ac:dyDescent="0.15">
      <c r="A4" s="1" t="s">
        <v>21</v>
      </c>
      <c r="B4" s="1" t="s">
        <v>117</v>
      </c>
      <c r="C4" s="1" t="s">
        <v>193</v>
      </c>
      <c r="D4" s="1" t="s">
        <v>194</v>
      </c>
      <c r="E4" s="1" t="s">
        <v>195</v>
      </c>
      <c r="F4" s="1" t="s">
        <v>196</v>
      </c>
      <c r="G4" s="1" t="s">
        <v>197</v>
      </c>
      <c r="H4" s="1" t="s">
        <v>198</v>
      </c>
      <c r="I4" s="1" t="s">
        <v>199</v>
      </c>
      <c r="K4" s="1" t="s">
        <v>188</v>
      </c>
      <c r="L4" s="1" t="s">
        <v>11</v>
      </c>
      <c r="M4" s="1" t="s">
        <v>184</v>
      </c>
      <c r="N4" s="1" t="s">
        <v>11</v>
      </c>
      <c r="O4" s="1" t="s">
        <v>11</v>
      </c>
      <c r="P4" s="1" t="s">
        <v>11</v>
      </c>
      <c r="Q4" s="1" t="s">
        <v>11</v>
      </c>
      <c r="R4" s="1" t="s">
        <v>11</v>
      </c>
      <c r="S4" s="1" t="s">
        <v>55</v>
      </c>
      <c r="T4" s="1" t="s">
        <v>11</v>
      </c>
      <c r="U4" s="1" t="s">
        <v>11</v>
      </c>
      <c r="V4" s="1" t="s">
        <v>200</v>
      </c>
      <c r="W4" s="1" t="s">
        <v>11</v>
      </c>
      <c r="X4" s="1" t="s">
        <v>188</v>
      </c>
      <c r="Y4" s="1" t="s">
        <v>188</v>
      </c>
      <c r="Z4" s="1" t="s">
        <v>11</v>
      </c>
      <c r="AA4" s="1" t="s">
        <v>11</v>
      </c>
      <c r="AB4" s="1" t="s">
        <v>11</v>
      </c>
    </row>
    <row r="5" spans="1:28" x14ac:dyDescent="0.15">
      <c r="A5" s="1" t="s">
        <v>22</v>
      </c>
      <c r="B5" s="1" t="s">
        <v>117</v>
      </c>
      <c r="C5" s="1" t="s">
        <v>201</v>
      </c>
      <c r="D5" s="1" t="s">
        <v>202</v>
      </c>
      <c r="E5" s="1" t="s">
        <v>195</v>
      </c>
      <c r="F5" s="1" t="s">
        <v>203</v>
      </c>
      <c r="G5" s="1" t="s">
        <v>186</v>
      </c>
      <c r="H5" s="1" t="s">
        <v>204</v>
      </c>
      <c r="I5" s="1" t="s">
        <v>282</v>
      </c>
      <c r="K5" s="1" t="s">
        <v>188</v>
      </c>
      <c r="L5" s="1" t="s">
        <v>11</v>
      </c>
      <c r="M5" s="1" t="s">
        <v>184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11</v>
      </c>
      <c r="S5" s="1" t="s">
        <v>57</v>
      </c>
      <c r="T5" s="1" t="s">
        <v>11</v>
      </c>
      <c r="U5" s="1" t="s">
        <v>11</v>
      </c>
      <c r="V5" s="1" t="s">
        <v>200</v>
      </c>
      <c r="W5" s="1" t="s">
        <v>11</v>
      </c>
      <c r="X5" s="1" t="s">
        <v>188</v>
      </c>
      <c r="Y5" s="1" t="s">
        <v>188</v>
      </c>
      <c r="Z5" s="1" t="s">
        <v>11</v>
      </c>
      <c r="AA5" s="1" t="s">
        <v>11</v>
      </c>
      <c r="AB5" s="1" t="s">
        <v>11</v>
      </c>
    </row>
    <row r="6" spans="1:28" x14ac:dyDescent="0.15">
      <c r="A6" s="1" t="s">
        <v>23</v>
      </c>
      <c r="B6" s="1" t="s">
        <v>117</v>
      </c>
      <c r="C6" s="1" t="s">
        <v>193</v>
      </c>
      <c r="D6" s="1" t="s">
        <v>205</v>
      </c>
      <c r="E6" s="1" t="s">
        <v>195</v>
      </c>
      <c r="F6" s="1" t="s">
        <v>206</v>
      </c>
      <c r="G6" s="1" t="s">
        <v>197</v>
      </c>
      <c r="H6" s="1" t="s">
        <v>283</v>
      </c>
      <c r="I6" s="1" t="s">
        <v>284</v>
      </c>
      <c r="K6" s="1" t="s">
        <v>188</v>
      </c>
      <c r="L6" s="1" t="s">
        <v>11</v>
      </c>
      <c r="M6" s="1" t="s">
        <v>184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59</v>
      </c>
      <c r="T6" s="1" t="s">
        <v>11</v>
      </c>
      <c r="U6" s="1" t="s">
        <v>11</v>
      </c>
      <c r="V6" s="1" t="s">
        <v>200</v>
      </c>
      <c r="W6" s="1" t="s">
        <v>11</v>
      </c>
      <c r="X6" s="1" t="s">
        <v>188</v>
      </c>
      <c r="Y6" s="1" t="s">
        <v>188</v>
      </c>
      <c r="Z6" s="1" t="s">
        <v>11</v>
      </c>
      <c r="AA6" s="1" t="s">
        <v>11</v>
      </c>
      <c r="AB6" s="1" t="s">
        <v>11</v>
      </c>
    </row>
    <row r="7" spans="1:28" x14ac:dyDescent="0.15">
      <c r="A7" s="1" t="s">
        <v>24</v>
      </c>
      <c r="B7" s="1" t="s">
        <v>117</v>
      </c>
      <c r="C7" s="1" t="s">
        <v>201</v>
      </c>
      <c r="D7" s="1" t="s">
        <v>207</v>
      </c>
      <c r="E7" s="1" t="s">
        <v>195</v>
      </c>
      <c r="F7" s="1" t="s">
        <v>292</v>
      </c>
      <c r="G7" s="1" t="s">
        <v>186</v>
      </c>
      <c r="H7" s="1" t="s">
        <v>208</v>
      </c>
      <c r="I7" s="1" t="s">
        <v>282</v>
      </c>
      <c r="K7" s="1" t="s">
        <v>188</v>
      </c>
      <c r="L7" s="1" t="s">
        <v>11</v>
      </c>
      <c r="M7" s="1" t="s">
        <v>184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61</v>
      </c>
      <c r="T7" s="1" t="s">
        <v>11</v>
      </c>
      <c r="U7" s="1" t="s">
        <v>11</v>
      </c>
      <c r="V7" s="1" t="s">
        <v>200</v>
      </c>
      <c r="W7" s="1" t="s">
        <v>11</v>
      </c>
      <c r="X7" s="1" t="s">
        <v>188</v>
      </c>
      <c r="Y7" s="1" t="s">
        <v>188</v>
      </c>
      <c r="Z7" s="1" t="s">
        <v>11</v>
      </c>
      <c r="AA7" s="1" t="s">
        <v>11</v>
      </c>
      <c r="AB7" s="1" t="s">
        <v>11</v>
      </c>
    </row>
    <row r="8" spans="1:28" x14ac:dyDescent="0.15">
      <c r="A8" s="1" t="s">
        <v>26</v>
      </c>
      <c r="B8" s="1" t="s">
        <v>117</v>
      </c>
      <c r="C8" s="1" t="s">
        <v>201</v>
      </c>
      <c r="D8" s="1" t="s">
        <v>209</v>
      </c>
      <c r="E8" s="1" t="s">
        <v>195</v>
      </c>
      <c r="F8" s="1" t="s">
        <v>210</v>
      </c>
      <c r="G8" s="1" t="s">
        <v>186</v>
      </c>
      <c r="H8" s="1" t="s">
        <v>211</v>
      </c>
      <c r="I8" s="1" t="s">
        <v>282</v>
      </c>
      <c r="K8" s="1" t="s">
        <v>188</v>
      </c>
      <c r="L8" s="1" t="s">
        <v>11</v>
      </c>
      <c r="M8" s="1" t="s">
        <v>184</v>
      </c>
      <c r="N8" s="1" t="s">
        <v>11</v>
      </c>
      <c r="O8" s="1" t="s">
        <v>11</v>
      </c>
      <c r="P8" s="1" t="s">
        <v>11</v>
      </c>
      <c r="Q8" s="1" t="s">
        <v>11</v>
      </c>
      <c r="R8" s="1" t="s">
        <v>11</v>
      </c>
      <c r="S8" s="1" t="s">
        <v>63</v>
      </c>
      <c r="T8" s="1" t="s">
        <v>11</v>
      </c>
      <c r="U8" s="1" t="s">
        <v>11</v>
      </c>
      <c r="V8" s="1" t="s">
        <v>200</v>
      </c>
      <c r="W8" s="1" t="s">
        <v>11</v>
      </c>
      <c r="X8" s="1" t="s">
        <v>188</v>
      </c>
      <c r="Y8" s="1" t="s">
        <v>188</v>
      </c>
      <c r="Z8" s="1" t="s">
        <v>11</v>
      </c>
      <c r="AA8" s="1" t="s">
        <v>11</v>
      </c>
      <c r="AB8" s="1" t="s">
        <v>11</v>
      </c>
    </row>
    <row r="9" spans="1:28" x14ac:dyDescent="0.15">
      <c r="A9" s="1" t="s">
        <v>29</v>
      </c>
      <c r="B9" s="1" t="s">
        <v>117</v>
      </c>
      <c r="C9" s="1" t="s">
        <v>201</v>
      </c>
      <c r="D9" s="1" t="s">
        <v>212</v>
      </c>
      <c r="E9" s="1" t="s">
        <v>195</v>
      </c>
      <c r="F9" s="1" t="s">
        <v>213</v>
      </c>
      <c r="G9" s="1" t="s">
        <v>186</v>
      </c>
      <c r="H9" s="1" t="s">
        <v>214</v>
      </c>
      <c r="I9" s="1" t="s">
        <v>282</v>
      </c>
      <c r="K9" s="1" t="s">
        <v>188</v>
      </c>
      <c r="L9" s="1" t="s">
        <v>11</v>
      </c>
      <c r="M9" s="1" t="s">
        <v>184</v>
      </c>
      <c r="N9" s="1" t="s">
        <v>11</v>
      </c>
      <c r="O9" s="1" t="s">
        <v>11</v>
      </c>
      <c r="P9" s="1" t="s">
        <v>11</v>
      </c>
      <c r="Q9" s="1" t="s">
        <v>11</v>
      </c>
      <c r="R9" s="1" t="s">
        <v>11</v>
      </c>
      <c r="S9" s="1" t="s">
        <v>65</v>
      </c>
      <c r="T9" s="1" t="s">
        <v>11</v>
      </c>
      <c r="U9" s="1" t="s">
        <v>11</v>
      </c>
      <c r="V9" s="1" t="s">
        <v>200</v>
      </c>
      <c r="W9" s="1" t="s">
        <v>11</v>
      </c>
      <c r="X9" s="1" t="s">
        <v>188</v>
      </c>
      <c r="Y9" s="1" t="s">
        <v>188</v>
      </c>
      <c r="Z9" s="1" t="s">
        <v>11</v>
      </c>
      <c r="AA9" s="1" t="s">
        <v>11</v>
      </c>
      <c r="AB9" s="1" t="s">
        <v>11</v>
      </c>
    </row>
    <row r="10" spans="1:28" x14ac:dyDescent="0.15">
      <c r="A10" s="1" t="s">
        <v>31</v>
      </c>
      <c r="B10" s="1" t="s">
        <v>117</v>
      </c>
      <c r="C10" s="1" t="s">
        <v>201</v>
      </c>
      <c r="D10" s="1" t="s">
        <v>215</v>
      </c>
      <c r="E10" s="1" t="s">
        <v>195</v>
      </c>
      <c r="F10" s="1" t="s">
        <v>216</v>
      </c>
      <c r="G10" s="1" t="s">
        <v>186</v>
      </c>
      <c r="H10" s="1" t="s">
        <v>217</v>
      </c>
      <c r="I10" s="1" t="s">
        <v>282</v>
      </c>
      <c r="K10" s="1" t="s">
        <v>188</v>
      </c>
      <c r="L10" s="1" t="s">
        <v>11</v>
      </c>
      <c r="M10" s="1" t="s">
        <v>184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67</v>
      </c>
      <c r="T10" s="1" t="s">
        <v>11</v>
      </c>
      <c r="U10" s="1" t="s">
        <v>11</v>
      </c>
      <c r="V10" s="1" t="s">
        <v>200</v>
      </c>
      <c r="W10" s="1" t="s">
        <v>11</v>
      </c>
      <c r="X10" s="1" t="s">
        <v>188</v>
      </c>
      <c r="Y10" s="1" t="s">
        <v>188</v>
      </c>
      <c r="Z10" s="1" t="s">
        <v>11</v>
      </c>
      <c r="AA10" s="1" t="s">
        <v>11</v>
      </c>
      <c r="AB10" s="1" t="s">
        <v>11</v>
      </c>
    </row>
    <row r="11" spans="1:28" x14ac:dyDescent="0.15">
      <c r="A11" s="1" t="s">
        <v>45</v>
      </c>
      <c r="B11" s="1" t="s">
        <v>117</v>
      </c>
      <c r="C11" s="1" t="s">
        <v>118</v>
      </c>
      <c r="D11" s="1" t="s">
        <v>218</v>
      </c>
      <c r="E11" s="1" t="s">
        <v>219</v>
      </c>
      <c r="F11" s="1" t="s">
        <v>220</v>
      </c>
      <c r="G11" s="1" t="s">
        <v>186</v>
      </c>
      <c r="H11" s="1" t="s">
        <v>221</v>
      </c>
      <c r="I11" s="1" t="s">
        <v>282</v>
      </c>
      <c r="K11" s="1" t="s">
        <v>222</v>
      </c>
      <c r="L11" s="1" t="s">
        <v>223</v>
      </c>
      <c r="M11" s="1" t="s">
        <v>184</v>
      </c>
      <c r="N11" s="1" t="s">
        <v>11</v>
      </c>
      <c r="O11" s="1" t="s">
        <v>268</v>
      </c>
      <c r="P11" s="1" t="s">
        <v>120</v>
      </c>
      <c r="Q11" s="1" t="s">
        <v>11</v>
      </c>
      <c r="R11" s="1" t="s">
        <v>11</v>
      </c>
      <c r="S11" s="1" t="s">
        <v>69</v>
      </c>
      <c r="T11" s="1" t="s">
        <v>119</v>
      </c>
      <c r="U11" s="1" t="s">
        <v>11</v>
      </c>
      <c r="V11" s="1" t="s">
        <v>200</v>
      </c>
      <c r="W11" s="1" t="s">
        <v>11</v>
      </c>
      <c r="X11" s="1" t="s">
        <v>188</v>
      </c>
      <c r="Y11" s="1" t="s">
        <v>188</v>
      </c>
      <c r="Z11" s="1" t="s">
        <v>11</v>
      </c>
      <c r="AA11" s="1" t="s">
        <v>11</v>
      </c>
      <c r="AB11" s="1" t="s">
        <v>11</v>
      </c>
    </row>
    <row r="12" spans="1:28" x14ac:dyDescent="0.15">
      <c r="A12" s="1" t="s">
        <v>27</v>
      </c>
      <c r="B12" s="1" t="s">
        <v>117</v>
      </c>
      <c r="C12" s="1" t="s">
        <v>201</v>
      </c>
      <c r="D12" s="1" t="s">
        <v>224</v>
      </c>
      <c r="E12" s="1" t="s">
        <v>195</v>
      </c>
      <c r="F12" s="1" t="s">
        <v>225</v>
      </c>
      <c r="G12" s="1" t="s">
        <v>226</v>
      </c>
      <c r="H12" s="1" t="s">
        <v>227</v>
      </c>
      <c r="I12" s="1" t="s">
        <v>228</v>
      </c>
      <c r="K12" s="1" t="s">
        <v>188</v>
      </c>
      <c r="L12" s="1" t="s">
        <v>11</v>
      </c>
      <c r="M12" s="1" t="s">
        <v>184</v>
      </c>
      <c r="N12" s="1" t="s">
        <v>11</v>
      </c>
      <c r="O12" s="1" t="s">
        <v>11</v>
      </c>
      <c r="P12" s="1" t="s">
        <v>11</v>
      </c>
      <c r="Q12" s="1" t="s">
        <v>11</v>
      </c>
      <c r="R12" s="1" t="s">
        <v>11</v>
      </c>
      <c r="S12" s="1" t="s">
        <v>71</v>
      </c>
      <c r="T12" s="1" t="s">
        <v>11</v>
      </c>
      <c r="U12" s="1" t="s">
        <v>11</v>
      </c>
      <c r="V12" s="1" t="s">
        <v>200</v>
      </c>
      <c r="W12" s="1" t="s">
        <v>11</v>
      </c>
      <c r="X12" s="1" t="s">
        <v>188</v>
      </c>
      <c r="Y12" s="1" t="s">
        <v>188</v>
      </c>
      <c r="Z12" s="1" t="s">
        <v>11</v>
      </c>
      <c r="AA12" s="1" t="s">
        <v>11</v>
      </c>
      <c r="AB12" s="1" t="s">
        <v>11</v>
      </c>
    </row>
    <row r="13" spans="1:28" x14ac:dyDescent="0.15">
      <c r="A13" s="1" t="s">
        <v>32</v>
      </c>
      <c r="B13" s="1" t="s">
        <v>117</v>
      </c>
      <c r="C13" s="1" t="s">
        <v>201</v>
      </c>
      <c r="D13" s="1" t="s">
        <v>229</v>
      </c>
      <c r="E13" s="1" t="s">
        <v>195</v>
      </c>
      <c r="F13" s="1" t="s">
        <v>230</v>
      </c>
      <c r="G13" s="1" t="s">
        <v>226</v>
      </c>
      <c r="H13" s="1" t="s">
        <v>231</v>
      </c>
      <c r="I13" s="1" t="s">
        <v>124</v>
      </c>
      <c r="K13" s="1" t="s">
        <v>188</v>
      </c>
      <c r="L13" s="1" t="s">
        <v>11</v>
      </c>
      <c r="M13" s="1" t="s">
        <v>184</v>
      </c>
      <c r="N13" s="1" t="s">
        <v>11</v>
      </c>
      <c r="O13" s="1" t="s">
        <v>11</v>
      </c>
      <c r="P13" s="1" t="s">
        <v>11</v>
      </c>
      <c r="Q13" s="1" t="s">
        <v>11</v>
      </c>
      <c r="R13" s="1" t="s">
        <v>11</v>
      </c>
      <c r="S13" s="1" t="s">
        <v>73</v>
      </c>
      <c r="T13" s="1" t="s">
        <v>11</v>
      </c>
      <c r="U13" s="1" t="s">
        <v>11</v>
      </c>
      <c r="V13" s="1" t="s">
        <v>200</v>
      </c>
      <c r="W13" s="1" t="s">
        <v>11</v>
      </c>
      <c r="X13" s="1" t="s">
        <v>188</v>
      </c>
      <c r="Y13" s="1" t="s">
        <v>188</v>
      </c>
      <c r="Z13" s="1" t="s">
        <v>11</v>
      </c>
      <c r="AA13" s="1" t="s">
        <v>11</v>
      </c>
      <c r="AB13" s="1" t="s">
        <v>11</v>
      </c>
    </row>
    <row r="14" spans="1:28" x14ac:dyDescent="0.15">
      <c r="A14" s="1" t="s">
        <v>33</v>
      </c>
      <c r="B14" s="1" t="s">
        <v>117</v>
      </c>
      <c r="C14" s="1" t="s">
        <v>201</v>
      </c>
      <c r="D14" s="1" t="s">
        <v>232</v>
      </c>
      <c r="E14" s="1" t="s">
        <v>195</v>
      </c>
      <c r="F14" s="1" t="s">
        <v>293</v>
      </c>
      <c r="G14" s="1" t="s">
        <v>186</v>
      </c>
      <c r="H14" s="1" t="s">
        <v>233</v>
      </c>
      <c r="I14" s="1" t="s">
        <v>282</v>
      </c>
      <c r="K14" s="1" t="s">
        <v>188</v>
      </c>
      <c r="L14" s="1" t="s">
        <v>11</v>
      </c>
      <c r="M14" s="1" t="s">
        <v>184</v>
      </c>
      <c r="N14" s="1" t="s">
        <v>11</v>
      </c>
      <c r="O14" s="1" t="s">
        <v>11</v>
      </c>
      <c r="P14" s="1" t="s">
        <v>11</v>
      </c>
      <c r="Q14" s="1" t="s">
        <v>11</v>
      </c>
      <c r="R14" s="1" t="s">
        <v>11</v>
      </c>
      <c r="S14" s="1" t="s">
        <v>75</v>
      </c>
      <c r="T14" s="1" t="s">
        <v>11</v>
      </c>
      <c r="U14" s="1" t="s">
        <v>11</v>
      </c>
      <c r="V14" s="1" t="s">
        <v>200</v>
      </c>
      <c r="W14" s="1" t="s">
        <v>11</v>
      </c>
      <c r="X14" s="1" t="s">
        <v>188</v>
      </c>
      <c r="Y14" s="1" t="s">
        <v>188</v>
      </c>
      <c r="Z14" s="1" t="s">
        <v>11</v>
      </c>
      <c r="AA14" s="1" t="s">
        <v>11</v>
      </c>
      <c r="AB14" s="1" t="s">
        <v>11</v>
      </c>
    </row>
    <row r="15" spans="1:28" x14ac:dyDescent="0.15">
      <c r="A15" s="1" t="s">
        <v>36</v>
      </c>
      <c r="B15" s="1" t="s">
        <v>117</v>
      </c>
      <c r="C15" s="1" t="s">
        <v>201</v>
      </c>
      <c r="D15" s="1" t="s">
        <v>234</v>
      </c>
      <c r="E15" s="1" t="s">
        <v>195</v>
      </c>
      <c r="F15" s="1" t="s">
        <v>235</v>
      </c>
      <c r="G15" s="1" t="s">
        <v>226</v>
      </c>
      <c r="H15" s="1" t="s">
        <v>236</v>
      </c>
      <c r="I15" s="1" t="s">
        <v>124</v>
      </c>
      <c r="K15" s="1" t="s">
        <v>188</v>
      </c>
      <c r="L15" s="1" t="s">
        <v>11</v>
      </c>
      <c r="M15" s="1" t="s">
        <v>184</v>
      </c>
      <c r="N15" s="1" t="s">
        <v>11</v>
      </c>
      <c r="O15" s="1" t="s">
        <v>11</v>
      </c>
      <c r="P15" s="1" t="s">
        <v>11</v>
      </c>
      <c r="Q15" s="1" t="s">
        <v>11</v>
      </c>
      <c r="R15" s="1" t="s">
        <v>11</v>
      </c>
      <c r="S15" s="1" t="s">
        <v>77</v>
      </c>
      <c r="T15" s="1" t="s">
        <v>11</v>
      </c>
      <c r="U15" s="1" t="s">
        <v>11</v>
      </c>
      <c r="V15" s="1" t="s">
        <v>200</v>
      </c>
      <c r="W15" s="1" t="s">
        <v>11</v>
      </c>
      <c r="X15" s="1" t="s">
        <v>188</v>
      </c>
      <c r="Y15" s="1" t="s">
        <v>188</v>
      </c>
      <c r="Z15" s="1" t="s">
        <v>11</v>
      </c>
      <c r="AA15" s="1" t="s">
        <v>11</v>
      </c>
      <c r="AB15" s="1" t="s">
        <v>11</v>
      </c>
    </row>
    <row r="16" spans="1:28" x14ac:dyDescent="0.15">
      <c r="A16" s="1" t="s">
        <v>38</v>
      </c>
      <c r="B16" s="1" t="s">
        <v>117</v>
      </c>
      <c r="C16" s="1" t="s">
        <v>201</v>
      </c>
      <c r="D16" s="1" t="s">
        <v>237</v>
      </c>
      <c r="E16" s="1" t="s">
        <v>195</v>
      </c>
      <c r="F16" s="1" t="s">
        <v>238</v>
      </c>
      <c r="G16" s="1" t="s">
        <v>186</v>
      </c>
      <c r="H16" s="1" t="s">
        <v>239</v>
      </c>
      <c r="I16" s="1" t="s">
        <v>282</v>
      </c>
      <c r="K16" s="1" t="s">
        <v>188</v>
      </c>
      <c r="L16" s="1" t="s">
        <v>11</v>
      </c>
      <c r="M16" s="1" t="s">
        <v>184</v>
      </c>
      <c r="N16" s="1" t="s">
        <v>11</v>
      </c>
      <c r="O16" s="1" t="s">
        <v>11</v>
      </c>
      <c r="P16" s="1" t="s">
        <v>11</v>
      </c>
      <c r="Q16" s="1" t="s">
        <v>11</v>
      </c>
      <c r="R16" s="1" t="s">
        <v>11</v>
      </c>
      <c r="S16" s="1" t="s">
        <v>79</v>
      </c>
      <c r="T16" s="1" t="s">
        <v>11</v>
      </c>
      <c r="U16" s="1" t="s">
        <v>11</v>
      </c>
      <c r="V16" s="1" t="s">
        <v>200</v>
      </c>
      <c r="W16" s="1" t="s">
        <v>11</v>
      </c>
      <c r="X16" s="1" t="s">
        <v>188</v>
      </c>
      <c r="Y16" s="1" t="s">
        <v>188</v>
      </c>
      <c r="Z16" s="1" t="s">
        <v>11</v>
      </c>
      <c r="AA16" s="1" t="s">
        <v>11</v>
      </c>
      <c r="AB16" s="1" t="s">
        <v>11</v>
      </c>
    </row>
    <row r="17" spans="1:28" x14ac:dyDescent="0.15">
      <c r="A17" s="1" t="s">
        <v>34</v>
      </c>
      <c r="B17" s="1" t="s">
        <v>117</v>
      </c>
      <c r="C17" s="1" t="s">
        <v>201</v>
      </c>
      <c r="D17" s="1" t="s">
        <v>240</v>
      </c>
      <c r="E17" s="1" t="s">
        <v>195</v>
      </c>
      <c r="F17" s="1" t="s">
        <v>241</v>
      </c>
      <c r="G17" s="1" t="s">
        <v>226</v>
      </c>
      <c r="H17" s="1" t="s">
        <v>242</v>
      </c>
      <c r="I17" s="1" t="s">
        <v>124</v>
      </c>
      <c r="K17" s="1" t="s">
        <v>188</v>
      </c>
      <c r="L17" s="1" t="s">
        <v>11</v>
      </c>
      <c r="M17" s="1" t="s">
        <v>184</v>
      </c>
      <c r="N17" s="1" t="s">
        <v>11</v>
      </c>
      <c r="O17" s="1" t="s">
        <v>11</v>
      </c>
      <c r="P17" s="1" t="s">
        <v>11</v>
      </c>
      <c r="Q17" s="1" t="s">
        <v>11</v>
      </c>
      <c r="R17" s="1" t="s">
        <v>11</v>
      </c>
      <c r="S17" s="1" t="s">
        <v>81</v>
      </c>
      <c r="T17" s="1" t="s">
        <v>11</v>
      </c>
      <c r="U17" s="1" t="s">
        <v>11</v>
      </c>
      <c r="V17" s="1" t="s">
        <v>200</v>
      </c>
      <c r="W17" s="1" t="s">
        <v>11</v>
      </c>
      <c r="X17" s="1" t="s">
        <v>188</v>
      </c>
      <c r="Y17" s="1" t="s">
        <v>188</v>
      </c>
      <c r="Z17" s="1" t="s">
        <v>11</v>
      </c>
      <c r="AA17" s="1" t="s">
        <v>11</v>
      </c>
      <c r="AB17" s="1" t="s">
        <v>11</v>
      </c>
    </row>
    <row r="18" spans="1:28" x14ac:dyDescent="0.15">
      <c r="A18" s="1" t="s">
        <v>33</v>
      </c>
      <c r="B18" s="1" t="s">
        <v>117</v>
      </c>
      <c r="C18" s="1" t="s">
        <v>201</v>
      </c>
      <c r="D18" s="1" t="s">
        <v>232</v>
      </c>
      <c r="E18" s="1" t="s">
        <v>195</v>
      </c>
      <c r="F18" s="1" t="s">
        <v>293</v>
      </c>
      <c r="G18" s="1" t="s">
        <v>186</v>
      </c>
      <c r="H18" s="1" t="s">
        <v>233</v>
      </c>
      <c r="I18" s="1" t="s">
        <v>282</v>
      </c>
      <c r="K18" s="1" t="s">
        <v>188</v>
      </c>
      <c r="L18" s="1" t="s">
        <v>11</v>
      </c>
      <c r="M18" s="1" t="s">
        <v>184</v>
      </c>
      <c r="N18" s="1" t="s">
        <v>11</v>
      </c>
      <c r="O18" s="1" t="s">
        <v>11</v>
      </c>
      <c r="P18" s="1" t="s">
        <v>11</v>
      </c>
      <c r="Q18" s="1" t="s">
        <v>11</v>
      </c>
      <c r="R18" s="1" t="s">
        <v>11</v>
      </c>
      <c r="S18" s="1" t="s">
        <v>83</v>
      </c>
      <c r="T18" s="1" t="s">
        <v>11</v>
      </c>
      <c r="U18" s="1" t="s">
        <v>11</v>
      </c>
      <c r="V18" s="1" t="s">
        <v>200</v>
      </c>
      <c r="W18" s="1" t="s">
        <v>11</v>
      </c>
      <c r="X18" s="1" t="s">
        <v>188</v>
      </c>
      <c r="Y18" s="1" t="s">
        <v>188</v>
      </c>
      <c r="Z18" s="1" t="s">
        <v>11</v>
      </c>
      <c r="AA18" s="1" t="s">
        <v>11</v>
      </c>
      <c r="AB18" s="1" t="s">
        <v>11</v>
      </c>
    </row>
    <row r="19" spans="1:28" x14ac:dyDescent="0.15">
      <c r="A19" s="1" t="s">
        <v>25</v>
      </c>
      <c r="B19" s="1" t="s">
        <v>117</v>
      </c>
      <c r="C19" s="1" t="s">
        <v>201</v>
      </c>
      <c r="D19" s="1" t="s">
        <v>243</v>
      </c>
      <c r="E19" s="1" t="s">
        <v>195</v>
      </c>
      <c r="F19" s="1" t="s">
        <v>244</v>
      </c>
      <c r="G19" s="1" t="s">
        <v>186</v>
      </c>
      <c r="H19" s="1" t="s">
        <v>245</v>
      </c>
      <c r="I19" s="1" t="s">
        <v>282</v>
      </c>
      <c r="K19" s="1" t="s">
        <v>188</v>
      </c>
      <c r="L19" s="1" t="s">
        <v>11</v>
      </c>
      <c r="M19" s="1" t="s">
        <v>184</v>
      </c>
      <c r="N19" s="1" t="s">
        <v>11</v>
      </c>
      <c r="O19" s="1" t="s">
        <v>11</v>
      </c>
      <c r="P19" s="1" t="s">
        <v>11</v>
      </c>
      <c r="Q19" s="1" t="s">
        <v>11</v>
      </c>
      <c r="R19" s="1" t="s">
        <v>11</v>
      </c>
      <c r="S19" s="1" t="s">
        <v>84</v>
      </c>
      <c r="T19" s="1" t="s">
        <v>11</v>
      </c>
      <c r="U19" s="1" t="s">
        <v>11</v>
      </c>
      <c r="V19" s="1" t="s">
        <v>200</v>
      </c>
      <c r="W19" s="1" t="s">
        <v>11</v>
      </c>
      <c r="X19" s="1" t="s">
        <v>188</v>
      </c>
      <c r="Y19" s="1" t="s">
        <v>188</v>
      </c>
      <c r="Z19" s="1" t="s">
        <v>11</v>
      </c>
      <c r="AA19" s="1" t="s">
        <v>11</v>
      </c>
      <c r="AB19" s="1" t="s">
        <v>11</v>
      </c>
    </row>
    <row r="20" spans="1:28" x14ac:dyDescent="0.15">
      <c r="A20" s="1" t="s">
        <v>28</v>
      </c>
      <c r="B20" s="1" t="s">
        <v>117</v>
      </c>
      <c r="C20" s="1" t="s">
        <v>201</v>
      </c>
      <c r="D20" s="1" t="s">
        <v>246</v>
      </c>
      <c r="E20" s="1" t="s">
        <v>195</v>
      </c>
      <c r="F20" s="1" t="s">
        <v>247</v>
      </c>
      <c r="G20" s="1" t="s">
        <v>186</v>
      </c>
      <c r="H20" s="1" t="s">
        <v>248</v>
      </c>
      <c r="I20" s="1" t="s">
        <v>282</v>
      </c>
      <c r="K20" s="1" t="s">
        <v>188</v>
      </c>
      <c r="L20" s="1" t="s">
        <v>11</v>
      </c>
      <c r="M20" s="1" t="s">
        <v>184</v>
      </c>
      <c r="N20" s="1" t="s">
        <v>11</v>
      </c>
      <c r="O20" s="1" t="s">
        <v>11</v>
      </c>
      <c r="P20" s="1" t="s">
        <v>11</v>
      </c>
      <c r="Q20" s="1" t="s">
        <v>11</v>
      </c>
      <c r="R20" s="1" t="s">
        <v>11</v>
      </c>
      <c r="S20" s="1" t="s">
        <v>86</v>
      </c>
      <c r="T20" s="1" t="s">
        <v>11</v>
      </c>
      <c r="U20" s="1" t="s">
        <v>11</v>
      </c>
      <c r="V20" s="1" t="s">
        <v>200</v>
      </c>
      <c r="W20" s="1" t="s">
        <v>11</v>
      </c>
      <c r="X20" s="1" t="s">
        <v>188</v>
      </c>
      <c r="Y20" s="1" t="s">
        <v>188</v>
      </c>
      <c r="Z20" s="1" t="s">
        <v>11</v>
      </c>
      <c r="AA20" s="1" t="s">
        <v>11</v>
      </c>
      <c r="AB20" s="1" t="s">
        <v>11</v>
      </c>
    </row>
    <row r="21" spans="1:28" x14ac:dyDescent="0.15">
      <c r="A21" s="1" t="s">
        <v>30</v>
      </c>
      <c r="B21" s="1" t="s">
        <v>117</v>
      </c>
      <c r="C21" s="1" t="s">
        <v>201</v>
      </c>
      <c r="D21" s="1" t="s">
        <v>249</v>
      </c>
      <c r="E21" s="1" t="s">
        <v>195</v>
      </c>
      <c r="F21" s="1" t="s">
        <v>250</v>
      </c>
      <c r="G21" s="1" t="s">
        <v>226</v>
      </c>
      <c r="H21" s="1" t="s">
        <v>251</v>
      </c>
      <c r="I21" s="1" t="s">
        <v>124</v>
      </c>
      <c r="K21" s="1" t="s">
        <v>188</v>
      </c>
      <c r="L21" s="1" t="s">
        <v>11</v>
      </c>
      <c r="M21" s="1" t="s">
        <v>184</v>
      </c>
      <c r="N21" s="1" t="s">
        <v>11</v>
      </c>
      <c r="O21" s="1" t="s">
        <v>11</v>
      </c>
      <c r="P21" s="1" t="s">
        <v>11</v>
      </c>
      <c r="Q21" s="1" t="s">
        <v>11</v>
      </c>
      <c r="R21" s="1" t="s">
        <v>11</v>
      </c>
      <c r="S21" s="1" t="s">
        <v>88</v>
      </c>
      <c r="T21" s="1" t="s">
        <v>11</v>
      </c>
      <c r="U21" s="1" t="s">
        <v>11</v>
      </c>
      <c r="V21" s="1" t="s">
        <v>200</v>
      </c>
      <c r="W21" s="1" t="s">
        <v>11</v>
      </c>
      <c r="X21" s="1" t="s">
        <v>188</v>
      </c>
      <c r="Y21" s="1" t="s">
        <v>188</v>
      </c>
      <c r="Z21" s="1" t="s">
        <v>11</v>
      </c>
      <c r="AA21" s="1" t="s">
        <v>11</v>
      </c>
      <c r="AB21" s="1" t="s">
        <v>11</v>
      </c>
    </row>
    <row r="22" spans="1:28" x14ac:dyDescent="0.15">
      <c r="A22" s="1" t="s">
        <v>40</v>
      </c>
      <c r="B22" s="1" t="s">
        <v>117</v>
      </c>
      <c r="C22" s="1" t="s">
        <v>201</v>
      </c>
      <c r="D22" s="1" t="s">
        <v>252</v>
      </c>
      <c r="E22" s="1" t="s">
        <v>195</v>
      </c>
      <c r="F22" s="1" t="s">
        <v>253</v>
      </c>
      <c r="G22" s="1" t="s">
        <v>226</v>
      </c>
      <c r="H22" s="1" t="s">
        <v>124</v>
      </c>
      <c r="I22" s="1" t="s">
        <v>228</v>
      </c>
      <c r="K22" s="1" t="s">
        <v>188</v>
      </c>
      <c r="L22" s="1" t="s">
        <v>11</v>
      </c>
      <c r="M22" s="1" t="s">
        <v>184</v>
      </c>
      <c r="N22" s="1" t="s">
        <v>11</v>
      </c>
      <c r="O22" s="1" t="s">
        <v>11</v>
      </c>
      <c r="P22" s="1" t="s">
        <v>11</v>
      </c>
      <c r="Q22" s="1" t="s">
        <v>11</v>
      </c>
      <c r="R22" s="1" t="s">
        <v>11</v>
      </c>
      <c r="S22" s="1" t="s">
        <v>90</v>
      </c>
      <c r="T22" s="1" t="s">
        <v>11</v>
      </c>
      <c r="U22" s="1" t="s">
        <v>11</v>
      </c>
      <c r="V22" s="1" t="s">
        <v>200</v>
      </c>
      <c r="W22" s="1" t="s">
        <v>11</v>
      </c>
      <c r="X22" s="1" t="s">
        <v>188</v>
      </c>
      <c r="Y22" s="1" t="s">
        <v>188</v>
      </c>
      <c r="Z22" s="1" t="s">
        <v>11</v>
      </c>
      <c r="AA22" s="1" t="s">
        <v>11</v>
      </c>
      <c r="AB22" s="1" t="s">
        <v>11</v>
      </c>
    </row>
    <row r="23" spans="1:28" x14ac:dyDescent="0.15">
      <c r="A23" s="1" t="s">
        <v>41</v>
      </c>
      <c r="B23" s="1" t="s">
        <v>117</v>
      </c>
      <c r="C23" s="1" t="s">
        <v>201</v>
      </c>
      <c r="D23" s="1" t="s">
        <v>254</v>
      </c>
      <c r="E23" s="1" t="s">
        <v>195</v>
      </c>
      <c r="F23" s="1" t="s">
        <v>255</v>
      </c>
      <c r="G23" s="1" t="s">
        <v>186</v>
      </c>
      <c r="H23" s="1" t="s">
        <v>256</v>
      </c>
      <c r="I23" s="1" t="s">
        <v>282</v>
      </c>
      <c r="K23" s="1" t="s">
        <v>188</v>
      </c>
      <c r="L23" s="1" t="s">
        <v>11</v>
      </c>
      <c r="M23" s="1" t="s">
        <v>184</v>
      </c>
      <c r="N23" s="1" t="s">
        <v>11</v>
      </c>
      <c r="O23" s="1" t="s">
        <v>11</v>
      </c>
      <c r="P23" s="1" t="s">
        <v>11</v>
      </c>
      <c r="Q23" s="1" t="s">
        <v>11</v>
      </c>
      <c r="R23" s="1" t="s">
        <v>11</v>
      </c>
      <c r="S23" s="1" t="s">
        <v>92</v>
      </c>
      <c r="T23" s="1" t="s">
        <v>11</v>
      </c>
      <c r="U23" s="1" t="s">
        <v>11</v>
      </c>
      <c r="V23" s="1" t="s">
        <v>200</v>
      </c>
      <c r="W23" s="1" t="s">
        <v>11</v>
      </c>
      <c r="X23" s="1" t="s">
        <v>188</v>
      </c>
      <c r="Y23" s="1" t="s">
        <v>188</v>
      </c>
      <c r="Z23" s="1" t="s">
        <v>11</v>
      </c>
      <c r="AA23" s="1" t="s">
        <v>11</v>
      </c>
      <c r="AB23" s="1" t="s">
        <v>11</v>
      </c>
    </row>
    <row r="24" spans="1:28" x14ac:dyDescent="0.15">
      <c r="A24" s="1" t="s">
        <v>42</v>
      </c>
      <c r="B24" s="1" t="s">
        <v>117</v>
      </c>
      <c r="C24" s="1" t="s">
        <v>201</v>
      </c>
      <c r="D24" s="1" t="s">
        <v>257</v>
      </c>
      <c r="E24" s="1" t="s">
        <v>195</v>
      </c>
      <c r="F24" s="1" t="s">
        <v>258</v>
      </c>
      <c r="G24" s="1" t="s">
        <v>226</v>
      </c>
      <c r="H24" s="1" t="s">
        <v>259</v>
      </c>
      <c r="I24" s="1" t="s">
        <v>228</v>
      </c>
      <c r="K24" s="1" t="s">
        <v>188</v>
      </c>
      <c r="L24" s="1" t="s">
        <v>11</v>
      </c>
      <c r="M24" s="1" t="s">
        <v>184</v>
      </c>
      <c r="N24" s="1" t="s">
        <v>11</v>
      </c>
      <c r="O24" s="1" t="s">
        <v>11</v>
      </c>
      <c r="P24" s="1" t="s">
        <v>11</v>
      </c>
      <c r="Q24" s="1" t="s">
        <v>11</v>
      </c>
      <c r="R24" s="1" t="s">
        <v>11</v>
      </c>
      <c r="S24" s="1" t="s">
        <v>94</v>
      </c>
      <c r="T24" s="1" t="s">
        <v>11</v>
      </c>
      <c r="U24" s="1" t="s">
        <v>11</v>
      </c>
      <c r="V24" s="1" t="s">
        <v>200</v>
      </c>
      <c r="W24" s="1" t="s">
        <v>11</v>
      </c>
      <c r="X24" s="1" t="s">
        <v>188</v>
      </c>
      <c r="Y24" s="1" t="s">
        <v>188</v>
      </c>
      <c r="Z24" s="1" t="s">
        <v>11</v>
      </c>
      <c r="AA24" s="1" t="s">
        <v>11</v>
      </c>
      <c r="AB24" s="1" t="s">
        <v>11</v>
      </c>
    </row>
    <row r="25" spans="1:28" x14ac:dyDescent="0.15">
      <c r="A25" s="1" t="s">
        <v>43</v>
      </c>
      <c r="B25" s="1" t="s">
        <v>117</v>
      </c>
      <c r="C25" s="1" t="s">
        <v>201</v>
      </c>
      <c r="D25" s="1" t="s">
        <v>260</v>
      </c>
      <c r="E25" s="1" t="s">
        <v>195</v>
      </c>
      <c r="F25" s="1" t="s">
        <v>261</v>
      </c>
      <c r="G25" s="1" t="s">
        <v>186</v>
      </c>
      <c r="H25" s="1" t="s">
        <v>262</v>
      </c>
      <c r="I25" s="1" t="s">
        <v>282</v>
      </c>
      <c r="K25" s="1" t="s">
        <v>188</v>
      </c>
      <c r="L25" s="1" t="s">
        <v>11</v>
      </c>
      <c r="M25" s="1" t="s">
        <v>184</v>
      </c>
      <c r="N25" s="1" t="s">
        <v>11</v>
      </c>
      <c r="O25" s="1" t="s">
        <v>11</v>
      </c>
      <c r="P25" s="1" t="s">
        <v>11</v>
      </c>
      <c r="Q25" s="1" t="s">
        <v>11</v>
      </c>
      <c r="R25" s="1" t="s">
        <v>11</v>
      </c>
      <c r="S25" s="1" t="s">
        <v>96</v>
      </c>
      <c r="T25" s="1" t="s">
        <v>11</v>
      </c>
      <c r="U25" s="1" t="s">
        <v>11</v>
      </c>
      <c r="V25" s="1" t="s">
        <v>200</v>
      </c>
      <c r="W25" s="1" t="s">
        <v>11</v>
      </c>
      <c r="X25" s="1" t="s">
        <v>188</v>
      </c>
      <c r="Y25" s="1" t="s">
        <v>188</v>
      </c>
      <c r="Z25" s="1" t="s">
        <v>11</v>
      </c>
      <c r="AA25" s="1" t="s">
        <v>11</v>
      </c>
      <c r="AB25" s="1" t="s">
        <v>11</v>
      </c>
    </row>
    <row r="26" spans="1:28" x14ac:dyDescent="0.15">
      <c r="A26" s="1" t="s">
        <v>44</v>
      </c>
      <c r="B26" s="1" t="s">
        <v>117</v>
      </c>
      <c r="C26" s="1" t="s">
        <v>201</v>
      </c>
      <c r="D26" s="1" t="s">
        <v>263</v>
      </c>
      <c r="E26" s="1" t="s">
        <v>195</v>
      </c>
      <c r="F26" s="1" t="s">
        <v>264</v>
      </c>
      <c r="G26" s="1" t="s">
        <v>226</v>
      </c>
      <c r="H26" s="1" t="s">
        <v>124</v>
      </c>
      <c r="I26" s="1" t="s">
        <v>124</v>
      </c>
      <c r="K26" s="1" t="s">
        <v>188</v>
      </c>
      <c r="L26" s="1" t="s">
        <v>11</v>
      </c>
      <c r="M26" s="1" t="s">
        <v>184</v>
      </c>
      <c r="N26" s="1" t="s">
        <v>11</v>
      </c>
      <c r="O26" s="1" t="s">
        <v>11</v>
      </c>
      <c r="P26" s="1" t="s">
        <v>11</v>
      </c>
      <c r="Q26" s="1" t="s">
        <v>11</v>
      </c>
      <c r="R26" s="1" t="s">
        <v>11</v>
      </c>
      <c r="S26" s="1" t="s">
        <v>98</v>
      </c>
      <c r="T26" s="1" t="s">
        <v>11</v>
      </c>
      <c r="U26" s="1" t="s">
        <v>11</v>
      </c>
      <c r="V26" s="1" t="s">
        <v>200</v>
      </c>
      <c r="W26" s="1" t="s">
        <v>11</v>
      </c>
      <c r="X26" s="1" t="s">
        <v>188</v>
      </c>
      <c r="Y26" s="1" t="s">
        <v>188</v>
      </c>
      <c r="Z26" s="1" t="s">
        <v>11</v>
      </c>
      <c r="AA26" s="1" t="s">
        <v>11</v>
      </c>
      <c r="AB26" s="1" t="s">
        <v>11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123</v>
      </c>
      <c r="B1" s="1" t="s">
        <v>122</v>
      </c>
    </row>
    <row r="2" spans="1:2" x14ac:dyDescent="0.15">
      <c r="A2" s="1" t="s">
        <v>290</v>
      </c>
    </row>
    <row r="3" spans="1:2" x14ac:dyDescent="0.15">
      <c r="A3" s="1" t="s">
        <v>184</v>
      </c>
    </row>
    <row r="4" spans="1:2" x14ac:dyDescent="0.15">
      <c r="A4" t="s">
        <v>112</v>
      </c>
    </row>
    <row r="5" spans="1:2" x14ac:dyDescent="0.15">
      <c r="A5">
        <v>27</v>
      </c>
    </row>
    <row r="6" spans="1:2" x14ac:dyDescent="0.15">
      <c r="A6">
        <v>1</v>
      </c>
    </row>
    <row r="7" spans="1:2" x14ac:dyDescent="0.15">
      <c r="A7">
        <v>3</v>
      </c>
    </row>
    <row r="8" spans="1:2" x14ac:dyDescent="0.15">
      <c r="A8">
        <v>9</v>
      </c>
    </row>
    <row r="9" spans="1:2" x14ac:dyDescent="0.15">
      <c r="A9" t="b">
        <v>1</v>
      </c>
    </row>
    <row r="10" spans="1:2" x14ac:dyDescent="0.15">
      <c r="A10" t="s">
        <v>113</v>
      </c>
    </row>
    <row r="11" spans="1:2" x14ac:dyDescent="0.15">
      <c r="A11" s="1" t="s">
        <v>271</v>
      </c>
    </row>
    <row r="12" spans="1:2" x14ac:dyDescent="0.15">
      <c r="A12" s="1" t="s">
        <v>269</v>
      </c>
    </row>
    <row r="13" spans="1:2" x14ac:dyDescent="0.15">
      <c r="A13" s="1" t="s">
        <v>272</v>
      </c>
    </row>
    <row r="14" spans="1:2" x14ac:dyDescent="0.15">
      <c r="A14" s="1" t="s">
        <v>273</v>
      </c>
    </row>
    <row r="15" spans="1:2" x14ac:dyDescent="0.15">
      <c r="A15" s="1" t="s">
        <v>184</v>
      </c>
    </row>
    <row r="16" spans="1:2" x14ac:dyDescent="0.15">
      <c r="A16" s="1" t="s">
        <v>124</v>
      </c>
    </row>
    <row r="17" spans="1:3" x14ac:dyDescent="0.15">
      <c r="A17" s="1" t="s">
        <v>124</v>
      </c>
    </row>
    <row r="18" spans="1:3" x14ac:dyDescent="0.15">
      <c r="A18" s="1" t="s">
        <v>184</v>
      </c>
    </row>
    <row r="19" spans="1:3" x14ac:dyDescent="0.15">
      <c r="A19" s="1" t="s">
        <v>274</v>
      </c>
    </row>
    <row r="20" spans="1:3" x14ac:dyDescent="0.15">
      <c r="A20" s="1" t="s">
        <v>275</v>
      </c>
    </row>
    <row r="31" spans="1:3" x14ac:dyDescent="0.15">
      <c r="A31" s="1" t="s">
        <v>11</v>
      </c>
      <c r="B31" s="1" t="s">
        <v>11</v>
      </c>
      <c r="C31" s="1" t="s">
        <v>124</v>
      </c>
    </row>
    <row r="32" spans="1:3" x14ac:dyDescent="0.15">
      <c r="A32" s="1" t="s">
        <v>11</v>
      </c>
      <c r="B32" s="1" t="s">
        <v>11</v>
      </c>
      <c r="C32" s="1" t="s">
        <v>124</v>
      </c>
    </row>
    <row r="33" spans="1:3" x14ac:dyDescent="0.15">
      <c r="A33" s="1" t="s">
        <v>11</v>
      </c>
      <c r="B33" s="1"/>
      <c r="C33" s="1"/>
    </row>
    <row r="34" spans="1:3" x14ac:dyDescent="0.15">
      <c r="A34" s="1" t="s">
        <v>11</v>
      </c>
      <c r="B34" s="1"/>
      <c r="C34" s="1"/>
    </row>
    <row r="35" spans="1:3" x14ac:dyDescent="0.15">
      <c r="A35" s="1" t="s">
        <v>11</v>
      </c>
      <c r="B35" s="1"/>
      <c r="C35" s="1"/>
    </row>
    <row r="36" spans="1:3" x14ac:dyDescent="0.15">
      <c r="A36" s="1" t="s">
        <v>124</v>
      </c>
      <c r="B36" s="1"/>
      <c r="C36" s="1"/>
    </row>
    <row r="37" spans="1:3" x14ac:dyDescent="0.15">
      <c r="A37" s="1" t="s">
        <v>124</v>
      </c>
      <c r="B37" s="1"/>
      <c r="C37" s="1"/>
    </row>
    <row r="38" spans="1:3" x14ac:dyDescent="0.15">
      <c r="A38" s="1" t="s">
        <v>11</v>
      </c>
      <c r="B38" s="1"/>
      <c r="C38" s="1"/>
    </row>
    <row r="51" spans="1:1" x14ac:dyDescent="0.15">
      <c r="A51" s="1" t="s">
        <v>11</v>
      </c>
    </row>
    <row r="52" spans="1:1" x14ac:dyDescent="0.15">
      <c r="A52" s="1" t="s">
        <v>11</v>
      </c>
    </row>
    <row r="53" spans="1:1" x14ac:dyDescent="0.15">
      <c r="A53" s="1" t="s">
        <v>11</v>
      </c>
    </row>
    <row r="54" spans="1:1" x14ac:dyDescent="0.15">
      <c r="A54" s="1" t="s">
        <v>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/>
  </sheetViews>
  <sheetFormatPr defaultRowHeight="13.5" x14ac:dyDescent="0.15"/>
  <cols>
    <col min="1" max="4" width="9" style="15"/>
    <col min="5" max="5" width="200.625" style="15" customWidth="1"/>
    <col min="6" max="16384" width="9" style="15"/>
  </cols>
  <sheetData>
    <row r="1" spans="1:6" ht="121.5" x14ac:dyDescent="0.15">
      <c r="A1" s="15" t="s">
        <v>46</v>
      </c>
      <c r="B1" s="15" t="s">
        <v>47</v>
      </c>
      <c r="C1" s="15" t="s">
        <v>48</v>
      </c>
      <c r="E1" s="16" t="s">
        <v>49</v>
      </c>
      <c r="F1" s="15" t="s">
        <v>11</v>
      </c>
    </row>
    <row r="2" spans="1:6" ht="94.5" x14ac:dyDescent="0.15">
      <c r="A2" s="15" t="s">
        <v>46</v>
      </c>
      <c r="B2" s="15" t="s">
        <v>50</v>
      </c>
      <c r="C2" s="15" t="s">
        <v>19</v>
      </c>
      <c r="D2" s="15" t="s">
        <v>51</v>
      </c>
      <c r="E2" s="16" t="s">
        <v>52</v>
      </c>
      <c r="F2" s="15" t="s">
        <v>11</v>
      </c>
    </row>
    <row r="3" spans="1:6" ht="94.5" x14ac:dyDescent="0.15">
      <c r="A3" s="15" t="s">
        <v>46</v>
      </c>
      <c r="B3" s="15" t="s">
        <v>50</v>
      </c>
      <c r="C3" s="15" t="s">
        <v>20</v>
      </c>
      <c r="D3" s="15" t="s">
        <v>53</v>
      </c>
      <c r="E3" s="16" t="s">
        <v>54</v>
      </c>
      <c r="F3" s="15" t="s">
        <v>11</v>
      </c>
    </row>
    <row r="4" spans="1:6" ht="108" x14ac:dyDescent="0.15">
      <c r="A4" s="15" t="s">
        <v>46</v>
      </c>
      <c r="B4" s="15" t="s">
        <v>50</v>
      </c>
      <c r="C4" s="15" t="s">
        <v>21</v>
      </c>
      <c r="D4" s="15" t="s">
        <v>55</v>
      </c>
      <c r="E4" s="16" t="s">
        <v>56</v>
      </c>
      <c r="F4" s="15" t="s">
        <v>11</v>
      </c>
    </row>
    <row r="5" spans="1:6" ht="108" x14ac:dyDescent="0.15">
      <c r="A5" s="15" t="s">
        <v>46</v>
      </c>
      <c r="B5" s="15" t="s">
        <v>50</v>
      </c>
      <c r="C5" s="15" t="s">
        <v>22</v>
      </c>
      <c r="D5" s="15" t="s">
        <v>57</v>
      </c>
      <c r="E5" s="16" t="s">
        <v>58</v>
      </c>
      <c r="F5" s="15" t="s">
        <v>11</v>
      </c>
    </row>
    <row r="6" spans="1:6" ht="108" x14ac:dyDescent="0.15">
      <c r="A6" s="15" t="s">
        <v>46</v>
      </c>
      <c r="B6" s="15" t="s">
        <v>50</v>
      </c>
      <c r="C6" s="15" t="s">
        <v>23</v>
      </c>
      <c r="D6" s="15" t="s">
        <v>59</v>
      </c>
      <c r="E6" s="16" t="s">
        <v>60</v>
      </c>
      <c r="F6" s="15" t="s">
        <v>11</v>
      </c>
    </row>
    <row r="7" spans="1:6" ht="108" x14ac:dyDescent="0.15">
      <c r="A7" s="15" t="s">
        <v>46</v>
      </c>
      <c r="B7" s="15" t="s">
        <v>50</v>
      </c>
      <c r="C7" s="15" t="s">
        <v>24</v>
      </c>
      <c r="D7" s="15" t="s">
        <v>61</v>
      </c>
      <c r="E7" s="16" t="s">
        <v>62</v>
      </c>
      <c r="F7" s="15" t="s">
        <v>11</v>
      </c>
    </row>
    <row r="8" spans="1:6" ht="108" x14ac:dyDescent="0.15">
      <c r="A8" s="15" t="s">
        <v>46</v>
      </c>
      <c r="B8" s="15" t="s">
        <v>50</v>
      </c>
      <c r="C8" s="15" t="s">
        <v>26</v>
      </c>
      <c r="D8" s="15" t="s">
        <v>63</v>
      </c>
      <c r="E8" s="16" t="s">
        <v>64</v>
      </c>
      <c r="F8" s="15" t="s">
        <v>11</v>
      </c>
    </row>
    <row r="9" spans="1:6" ht="108" x14ac:dyDescent="0.15">
      <c r="A9" s="15" t="s">
        <v>46</v>
      </c>
      <c r="B9" s="15" t="s">
        <v>50</v>
      </c>
      <c r="C9" s="15" t="s">
        <v>29</v>
      </c>
      <c r="D9" s="15" t="s">
        <v>65</v>
      </c>
      <c r="E9" s="16" t="s">
        <v>66</v>
      </c>
      <c r="F9" s="15" t="s">
        <v>11</v>
      </c>
    </row>
    <row r="10" spans="1:6" ht="108" x14ac:dyDescent="0.15">
      <c r="A10" s="15" t="s">
        <v>46</v>
      </c>
      <c r="B10" s="15" t="s">
        <v>50</v>
      </c>
      <c r="C10" s="15" t="s">
        <v>31</v>
      </c>
      <c r="D10" s="15" t="s">
        <v>67</v>
      </c>
      <c r="E10" s="16" t="s">
        <v>68</v>
      </c>
      <c r="F10" s="15" t="s">
        <v>11</v>
      </c>
    </row>
    <row r="11" spans="1:6" ht="135" x14ac:dyDescent="0.15">
      <c r="A11" s="15" t="s">
        <v>46</v>
      </c>
      <c r="B11" s="15" t="s">
        <v>50</v>
      </c>
      <c r="C11" s="15" t="s">
        <v>45</v>
      </c>
      <c r="D11" s="15" t="s">
        <v>69</v>
      </c>
      <c r="E11" s="16" t="s">
        <v>70</v>
      </c>
      <c r="F11" s="15" t="s">
        <v>11</v>
      </c>
    </row>
    <row r="12" spans="1:6" ht="108" x14ac:dyDescent="0.15">
      <c r="A12" s="15" t="s">
        <v>46</v>
      </c>
      <c r="B12" s="15" t="s">
        <v>50</v>
      </c>
      <c r="C12" s="15" t="s">
        <v>27</v>
      </c>
      <c r="D12" s="15" t="s">
        <v>71</v>
      </c>
      <c r="E12" s="16" t="s">
        <v>72</v>
      </c>
      <c r="F12" s="15" t="s">
        <v>11</v>
      </c>
    </row>
    <row r="13" spans="1:6" ht="108" x14ac:dyDescent="0.15">
      <c r="A13" s="15" t="s">
        <v>46</v>
      </c>
      <c r="B13" s="15" t="s">
        <v>50</v>
      </c>
      <c r="C13" s="15" t="s">
        <v>32</v>
      </c>
      <c r="D13" s="15" t="s">
        <v>73</v>
      </c>
      <c r="E13" s="16" t="s">
        <v>74</v>
      </c>
      <c r="F13" s="15" t="s">
        <v>11</v>
      </c>
    </row>
    <row r="14" spans="1:6" ht="108" x14ac:dyDescent="0.15">
      <c r="A14" s="15" t="s">
        <v>46</v>
      </c>
      <c r="B14" s="15" t="s">
        <v>50</v>
      </c>
      <c r="C14" s="15" t="s">
        <v>33</v>
      </c>
      <c r="D14" s="15" t="s">
        <v>75</v>
      </c>
      <c r="E14" s="16" t="s">
        <v>76</v>
      </c>
      <c r="F14" s="15" t="s">
        <v>11</v>
      </c>
    </row>
    <row r="15" spans="1:6" ht="108" x14ac:dyDescent="0.15">
      <c r="A15" s="15" t="s">
        <v>46</v>
      </c>
      <c r="B15" s="15" t="s">
        <v>50</v>
      </c>
      <c r="C15" s="15" t="s">
        <v>36</v>
      </c>
      <c r="D15" s="15" t="s">
        <v>77</v>
      </c>
      <c r="E15" s="16" t="s">
        <v>78</v>
      </c>
      <c r="F15" s="15" t="s">
        <v>11</v>
      </c>
    </row>
    <row r="16" spans="1:6" ht="108" x14ac:dyDescent="0.15">
      <c r="A16" s="15" t="s">
        <v>46</v>
      </c>
      <c r="B16" s="15" t="s">
        <v>50</v>
      </c>
      <c r="C16" s="15" t="s">
        <v>38</v>
      </c>
      <c r="D16" s="15" t="s">
        <v>79</v>
      </c>
      <c r="E16" s="16" t="s">
        <v>80</v>
      </c>
      <c r="F16" s="15" t="s">
        <v>11</v>
      </c>
    </row>
    <row r="17" spans="1:6" ht="108" x14ac:dyDescent="0.15">
      <c r="A17" s="15" t="s">
        <v>46</v>
      </c>
      <c r="B17" s="15" t="s">
        <v>50</v>
      </c>
      <c r="C17" s="15" t="s">
        <v>34</v>
      </c>
      <c r="D17" s="15" t="s">
        <v>81</v>
      </c>
      <c r="E17" s="16" t="s">
        <v>82</v>
      </c>
      <c r="F17" s="15" t="s">
        <v>11</v>
      </c>
    </row>
    <row r="18" spans="1:6" ht="108" x14ac:dyDescent="0.15">
      <c r="A18" s="15" t="s">
        <v>46</v>
      </c>
      <c r="B18" s="15" t="s">
        <v>50</v>
      </c>
      <c r="C18" s="15" t="s">
        <v>33</v>
      </c>
      <c r="D18" s="15" t="s">
        <v>83</v>
      </c>
      <c r="E18" s="16" t="s">
        <v>76</v>
      </c>
      <c r="F18" s="15" t="s">
        <v>11</v>
      </c>
    </row>
    <row r="19" spans="1:6" ht="108" x14ac:dyDescent="0.15">
      <c r="A19" s="15" t="s">
        <v>46</v>
      </c>
      <c r="B19" s="15" t="s">
        <v>50</v>
      </c>
      <c r="C19" s="15" t="s">
        <v>25</v>
      </c>
      <c r="D19" s="15" t="s">
        <v>84</v>
      </c>
      <c r="E19" s="16" t="s">
        <v>85</v>
      </c>
      <c r="F19" s="15" t="s">
        <v>11</v>
      </c>
    </row>
    <row r="20" spans="1:6" ht="108" x14ac:dyDescent="0.15">
      <c r="A20" s="15" t="s">
        <v>46</v>
      </c>
      <c r="B20" s="15" t="s">
        <v>50</v>
      </c>
      <c r="C20" s="15" t="s">
        <v>28</v>
      </c>
      <c r="D20" s="15" t="s">
        <v>86</v>
      </c>
      <c r="E20" s="16" t="s">
        <v>87</v>
      </c>
      <c r="F20" s="15" t="s">
        <v>11</v>
      </c>
    </row>
    <row r="21" spans="1:6" ht="108" x14ac:dyDescent="0.15">
      <c r="A21" s="15" t="s">
        <v>46</v>
      </c>
      <c r="B21" s="15" t="s">
        <v>50</v>
      </c>
      <c r="C21" s="15" t="s">
        <v>30</v>
      </c>
      <c r="D21" s="15" t="s">
        <v>88</v>
      </c>
      <c r="E21" s="16" t="s">
        <v>89</v>
      </c>
      <c r="F21" s="15" t="s">
        <v>11</v>
      </c>
    </row>
    <row r="22" spans="1:6" ht="108" x14ac:dyDescent="0.15">
      <c r="A22" s="15" t="s">
        <v>46</v>
      </c>
      <c r="B22" s="15" t="s">
        <v>50</v>
      </c>
      <c r="C22" s="15" t="s">
        <v>40</v>
      </c>
      <c r="D22" s="15" t="s">
        <v>90</v>
      </c>
      <c r="E22" s="16" t="s">
        <v>91</v>
      </c>
      <c r="F22" s="15" t="s">
        <v>11</v>
      </c>
    </row>
    <row r="23" spans="1:6" ht="108" x14ac:dyDescent="0.15">
      <c r="A23" s="15" t="s">
        <v>46</v>
      </c>
      <c r="B23" s="15" t="s">
        <v>50</v>
      </c>
      <c r="C23" s="15" t="s">
        <v>41</v>
      </c>
      <c r="D23" s="15" t="s">
        <v>92</v>
      </c>
      <c r="E23" s="16" t="s">
        <v>93</v>
      </c>
      <c r="F23" s="15" t="s">
        <v>11</v>
      </c>
    </row>
    <row r="24" spans="1:6" ht="108" x14ac:dyDescent="0.15">
      <c r="A24" s="15" t="s">
        <v>46</v>
      </c>
      <c r="B24" s="15" t="s">
        <v>50</v>
      </c>
      <c r="C24" s="15" t="s">
        <v>42</v>
      </c>
      <c r="D24" s="15" t="s">
        <v>94</v>
      </c>
      <c r="E24" s="16" t="s">
        <v>95</v>
      </c>
      <c r="F24" s="15" t="s">
        <v>11</v>
      </c>
    </row>
    <row r="25" spans="1:6" ht="108" x14ac:dyDescent="0.15">
      <c r="A25" s="15" t="s">
        <v>46</v>
      </c>
      <c r="B25" s="15" t="s">
        <v>50</v>
      </c>
      <c r="C25" s="15" t="s">
        <v>43</v>
      </c>
      <c r="D25" s="15" t="s">
        <v>96</v>
      </c>
      <c r="E25" s="16" t="s">
        <v>97</v>
      </c>
      <c r="F25" s="15" t="s">
        <v>11</v>
      </c>
    </row>
    <row r="26" spans="1:6" ht="108" x14ac:dyDescent="0.15">
      <c r="A26" s="15" t="s">
        <v>46</v>
      </c>
      <c r="B26" s="15" t="s">
        <v>50</v>
      </c>
      <c r="C26" s="15" t="s">
        <v>44</v>
      </c>
      <c r="D26" s="15" t="s">
        <v>98</v>
      </c>
      <c r="E26" s="16" t="s">
        <v>99</v>
      </c>
      <c r="F26" s="15" t="s">
        <v>11</v>
      </c>
    </row>
    <row r="27" spans="1:6" ht="40.5" x14ac:dyDescent="0.15">
      <c r="A27" s="15" t="s">
        <v>46</v>
      </c>
      <c r="B27" s="15" t="s">
        <v>100</v>
      </c>
      <c r="C27" s="15" t="s">
        <v>101</v>
      </c>
      <c r="D27" s="15" t="s">
        <v>10</v>
      </c>
      <c r="E27" s="16" t="s">
        <v>102</v>
      </c>
      <c r="F27" s="15" t="s">
        <v>11</v>
      </c>
    </row>
    <row r="28" spans="1:6" x14ac:dyDescent="0.15">
      <c r="A28" s="15" t="s">
        <v>46</v>
      </c>
      <c r="B28" s="15" t="s">
        <v>103</v>
      </c>
      <c r="C28" s="15" t="s">
        <v>104</v>
      </c>
      <c r="E28" s="15" t="s">
        <v>105</v>
      </c>
      <c r="F28" s="15" t="s">
        <v>11</v>
      </c>
    </row>
    <row r="29" spans="1:6" ht="40.5" x14ac:dyDescent="0.15">
      <c r="A29" s="15" t="s">
        <v>46</v>
      </c>
      <c r="B29" s="15" t="s">
        <v>106</v>
      </c>
      <c r="C29" s="15" t="s">
        <v>48</v>
      </c>
      <c r="E29" s="16" t="s">
        <v>107</v>
      </c>
      <c r="F29" s="15" t="s">
        <v>11</v>
      </c>
    </row>
    <row r="30" spans="1:6" x14ac:dyDescent="0.15">
      <c r="A30" s="15" t="s">
        <v>46</v>
      </c>
      <c r="B30" s="15" t="s">
        <v>108</v>
      </c>
      <c r="C30" s="15" t="s">
        <v>45</v>
      </c>
      <c r="D30" s="15" t="s">
        <v>69</v>
      </c>
      <c r="E30" s="15" t="s">
        <v>109</v>
      </c>
      <c r="F30" s="15" t="s">
        <v>11</v>
      </c>
    </row>
    <row r="31" spans="1:6" x14ac:dyDescent="0.15">
      <c r="A31" s="15" t="s">
        <v>46</v>
      </c>
      <c r="B31" s="15" t="s">
        <v>110</v>
      </c>
      <c r="C31" s="15" t="s">
        <v>101</v>
      </c>
      <c r="D31" s="15" t="s">
        <v>10</v>
      </c>
      <c r="E31" s="15" t="s">
        <v>109</v>
      </c>
      <c r="F31" s="15" t="s">
        <v>11</v>
      </c>
    </row>
    <row r="32" spans="1:6" ht="54" x14ac:dyDescent="0.15">
      <c r="A32" s="15" t="s">
        <v>46</v>
      </c>
      <c r="B32" s="15" t="s">
        <v>114</v>
      </c>
      <c r="C32" s="15" t="s">
        <v>48</v>
      </c>
      <c r="E32" s="16" t="s">
        <v>115</v>
      </c>
      <c r="F32" s="15" t="s">
        <v>11</v>
      </c>
    </row>
    <row r="33" spans="1:6" ht="135" x14ac:dyDescent="0.15">
      <c r="A33" s="15" t="s">
        <v>46</v>
      </c>
      <c r="B33" s="15" t="s">
        <v>116</v>
      </c>
      <c r="C33" s="15" t="s">
        <v>45</v>
      </c>
      <c r="D33" s="15" t="s">
        <v>69</v>
      </c>
      <c r="E33" s="16" t="s">
        <v>70</v>
      </c>
      <c r="F33" s="15" t="s">
        <v>11</v>
      </c>
    </row>
    <row r="34" spans="1:6" ht="40.5" x14ac:dyDescent="0.15">
      <c r="A34" s="15" t="s">
        <v>46</v>
      </c>
      <c r="B34" s="15" t="s">
        <v>121</v>
      </c>
      <c r="C34" s="15" t="s">
        <v>101</v>
      </c>
      <c r="D34" s="15" t="s">
        <v>10</v>
      </c>
      <c r="E34" s="16" t="s">
        <v>102</v>
      </c>
      <c r="F34" s="15" t="s">
        <v>11</v>
      </c>
    </row>
  </sheetData>
  <phoneticPr fontId="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/>
  </sheetViews>
  <sheetFormatPr defaultRowHeight="13.5" x14ac:dyDescent="0.15"/>
  <cols>
    <col min="1" max="16384" width="9" style="15"/>
  </cols>
  <sheetData>
    <row r="1" spans="1:5" ht="27" x14ac:dyDescent="0.15">
      <c r="A1" s="15" t="s">
        <v>125</v>
      </c>
      <c r="B1" s="15" t="s">
        <v>126</v>
      </c>
      <c r="C1" s="15" t="s">
        <v>127</v>
      </c>
      <c r="D1" s="15" t="s">
        <v>11</v>
      </c>
      <c r="E1" s="16" t="s">
        <v>128</v>
      </c>
    </row>
    <row r="2" spans="1:5" ht="27" x14ac:dyDescent="0.15">
      <c r="A2" s="15" t="s">
        <v>125</v>
      </c>
      <c r="B2" s="15" t="s">
        <v>270</v>
      </c>
      <c r="C2" s="15" t="s">
        <v>127</v>
      </c>
      <c r="D2" s="15" t="s">
        <v>11</v>
      </c>
      <c r="E2" s="16" t="s">
        <v>128</v>
      </c>
    </row>
    <row r="3" spans="1:5" ht="135" x14ac:dyDescent="0.15">
      <c r="A3" s="15" t="s">
        <v>125</v>
      </c>
      <c r="B3" s="15" t="s">
        <v>276</v>
      </c>
      <c r="C3" s="15" t="s">
        <v>48</v>
      </c>
      <c r="D3" s="15" t="s">
        <v>11</v>
      </c>
      <c r="E3" s="16" t="s">
        <v>277</v>
      </c>
    </row>
    <row r="4" spans="1:5" ht="189" x14ac:dyDescent="0.15">
      <c r="A4" s="15" t="s">
        <v>125</v>
      </c>
      <c r="B4" s="15" t="s">
        <v>278</v>
      </c>
      <c r="C4" s="15" t="s">
        <v>45</v>
      </c>
      <c r="D4" s="15" t="s">
        <v>69</v>
      </c>
      <c r="E4" s="16" t="s">
        <v>279</v>
      </c>
    </row>
    <row r="5" spans="1:5" ht="175.5" x14ac:dyDescent="0.15">
      <c r="A5" s="15" t="s">
        <v>125</v>
      </c>
      <c r="B5" s="15" t="s">
        <v>278</v>
      </c>
      <c r="C5" s="15" t="s">
        <v>280</v>
      </c>
      <c r="D5" s="15" t="s">
        <v>11</v>
      </c>
      <c r="E5" s="16" t="s">
        <v>281</v>
      </c>
    </row>
    <row r="6" spans="1:5" ht="54" x14ac:dyDescent="0.15">
      <c r="A6" s="15" t="s">
        <v>125</v>
      </c>
      <c r="B6" s="15" t="s">
        <v>285</v>
      </c>
      <c r="C6" s="15" t="s">
        <v>129</v>
      </c>
      <c r="D6" s="15" t="s">
        <v>51</v>
      </c>
      <c r="E6" s="16" t="s">
        <v>286</v>
      </c>
    </row>
    <row r="7" spans="1:5" ht="54" x14ac:dyDescent="0.15">
      <c r="A7" s="15" t="s">
        <v>125</v>
      </c>
      <c r="B7" s="15" t="s">
        <v>285</v>
      </c>
      <c r="C7" s="15" t="s">
        <v>131</v>
      </c>
      <c r="D7" s="15" t="s">
        <v>53</v>
      </c>
      <c r="E7" s="16" t="s">
        <v>286</v>
      </c>
    </row>
    <row r="8" spans="1:5" ht="54" x14ac:dyDescent="0.15">
      <c r="A8" s="15" t="s">
        <v>125</v>
      </c>
      <c r="B8" s="15" t="s">
        <v>285</v>
      </c>
      <c r="C8" s="15" t="s">
        <v>22</v>
      </c>
      <c r="D8" s="15" t="s">
        <v>57</v>
      </c>
      <c r="E8" s="16" t="s">
        <v>286</v>
      </c>
    </row>
    <row r="9" spans="1:5" ht="148.5" x14ac:dyDescent="0.15">
      <c r="A9" s="15" t="s">
        <v>125</v>
      </c>
      <c r="B9" s="15" t="s">
        <v>285</v>
      </c>
      <c r="C9" s="15" t="s">
        <v>23</v>
      </c>
      <c r="D9" s="15" t="s">
        <v>59</v>
      </c>
      <c r="E9" s="16" t="s">
        <v>287</v>
      </c>
    </row>
    <row r="10" spans="1:5" ht="54" x14ac:dyDescent="0.15">
      <c r="A10" s="15" t="s">
        <v>125</v>
      </c>
      <c r="B10" s="15" t="s">
        <v>285</v>
      </c>
      <c r="C10" s="15" t="s">
        <v>24</v>
      </c>
      <c r="D10" s="15" t="s">
        <v>61</v>
      </c>
      <c r="E10" s="16" t="s">
        <v>286</v>
      </c>
    </row>
    <row r="11" spans="1:5" ht="54" x14ac:dyDescent="0.15">
      <c r="A11" s="15" t="s">
        <v>125</v>
      </c>
      <c r="B11" s="15" t="s">
        <v>285</v>
      </c>
      <c r="C11" s="15" t="s">
        <v>26</v>
      </c>
      <c r="D11" s="15" t="s">
        <v>63</v>
      </c>
      <c r="E11" s="16" t="s">
        <v>286</v>
      </c>
    </row>
    <row r="12" spans="1:5" ht="54" x14ac:dyDescent="0.15">
      <c r="A12" s="15" t="s">
        <v>125</v>
      </c>
      <c r="B12" s="15" t="s">
        <v>285</v>
      </c>
      <c r="C12" s="15" t="s">
        <v>29</v>
      </c>
      <c r="D12" s="15" t="s">
        <v>65</v>
      </c>
      <c r="E12" s="16" t="s">
        <v>286</v>
      </c>
    </row>
    <row r="13" spans="1:5" ht="54" x14ac:dyDescent="0.15">
      <c r="A13" s="15" t="s">
        <v>125</v>
      </c>
      <c r="B13" s="15" t="s">
        <v>285</v>
      </c>
      <c r="C13" s="15" t="s">
        <v>31</v>
      </c>
      <c r="D13" s="15" t="s">
        <v>67</v>
      </c>
      <c r="E13" s="16" t="s">
        <v>286</v>
      </c>
    </row>
    <row r="14" spans="1:5" ht="216" x14ac:dyDescent="0.15">
      <c r="A14" s="15" t="s">
        <v>125</v>
      </c>
      <c r="B14" s="15" t="s">
        <v>285</v>
      </c>
      <c r="C14" s="15" t="s">
        <v>45</v>
      </c>
      <c r="D14" s="15" t="s">
        <v>69</v>
      </c>
      <c r="E14" s="16" t="s">
        <v>288</v>
      </c>
    </row>
    <row r="15" spans="1:5" ht="54" x14ac:dyDescent="0.15">
      <c r="A15" s="15" t="s">
        <v>125</v>
      </c>
      <c r="B15" s="15" t="s">
        <v>285</v>
      </c>
      <c r="C15" s="15" t="s">
        <v>33</v>
      </c>
      <c r="D15" s="15" t="s">
        <v>75</v>
      </c>
      <c r="E15" s="16" t="s">
        <v>286</v>
      </c>
    </row>
    <row r="16" spans="1:5" ht="54" x14ac:dyDescent="0.15">
      <c r="A16" s="15" t="s">
        <v>125</v>
      </c>
      <c r="B16" s="15" t="s">
        <v>285</v>
      </c>
      <c r="C16" s="15" t="s">
        <v>38</v>
      </c>
      <c r="D16" s="15" t="s">
        <v>79</v>
      </c>
      <c r="E16" s="16" t="s">
        <v>286</v>
      </c>
    </row>
    <row r="17" spans="1:5" ht="54" x14ac:dyDescent="0.15">
      <c r="A17" s="15" t="s">
        <v>125</v>
      </c>
      <c r="B17" s="15" t="s">
        <v>285</v>
      </c>
      <c r="C17" s="15" t="s">
        <v>33</v>
      </c>
      <c r="D17" s="15" t="s">
        <v>83</v>
      </c>
      <c r="E17" s="16" t="s">
        <v>286</v>
      </c>
    </row>
    <row r="18" spans="1:5" ht="54" x14ac:dyDescent="0.15">
      <c r="A18" s="15" t="s">
        <v>125</v>
      </c>
      <c r="B18" s="15" t="s">
        <v>285</v>
      </c>
      <c r="C18" s="15" t="s">
        <v>25</v>
      </c>
      <c r="D18" s="15" t="s">
        <v>84</v>
      </c>
      <c r="E18" s="16" t="s">
        <v>286</v>
      </c>
    </row>
    <row r="19" spans="1:5" ht="54" x14ac:dyDescent="0.15">
      <c r="A19" s="15" t="s">
        <v>125</v>
      </c>
      <c r="B19" s="15" t="s">
        <v>285</v>
      </c>
      <c r="C19" s="15" t="s">
        <v>28</v>
      </c>
      <c r="D19" s="15" t="s">
        <v>86</v>
      </c>
      <c r="E19" s="16" t="s">
        <v>286</v>
      </c>
    </row>
    <row r="20" spans="1:5" ht="54" x14ac:dyDescent="0.15">
      <c r="A20" s="15" t="s">
        <v>125</v>
      </c>
      <c r="B20" s="15" t="s">
        <v>285</v>
      </c>
      <c r="C20" s="15" t="s">
        <v>40</v>
      </c>
      <c r="D20" s="15" t="s">
        <v>90</v>
      </c>
      <c r="E20" s="16" t="s">
        <v>289</v>
      </c>
    </row>
    <row r="21" spans="1:5" ht="54" x14ac:dyDescent="0.15">
      <c r="A21" s="15" t="s">
        <v>125</v>
      </c>
      <c r="B21" s="15" t="s">
        <v>285</v>
      </c>
      <c r="C21" s="15" t="s">
        <v>41</v>
      </c>
      <c r="D21" s="15" t="s">
        <v>92</v>
      </c>
      <c r="E21" s="16" t="s">
        <v>286</v>
      </c>
    </row>
    <row r="22" spans="1:5" ht="54" x14ac:dyDescent="0.15">
      <c r="A22" s="15" t="s">
        <v>125</v>
      </c>
      <c r="B22" s="15" t="s">
        <v>285</v>
      </c>
      <c r="C22" s="15" t="s">
        <v>43</v>
      </c>
      <c r="D22" s="15" t="s">
        <v>96</v>
      </c>
      <c r="E22" s="16" t="s">
        <v>286</v>
      </c>
    </row>
    <row r="23" spans="1:5" ht="189" x14ac:dyDescent="0.15">
      <c r="A23" s="15" t="s">
        <v>125</v>
      </c>
      <c r="B23" s="15" t="s">
        <v>291</v>
      </c>
      <c r="C23" s="15" t="s">
        <v>45</v>
      </c>
      <c r="D23" s="15" t="s">
        <v>69</v>
      </c>
      <c r="E23" s="16" t="s">
        <v>279</v>
      </c>
    </row>
  </sheetData>
  <phoneticPr fontId="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33"/>
  <sheetViews>
    <sheetView tabSelected="1" zoomScaleNormal="100" workbookViewId="0">
      <selection activeCell="Y19" sqref="Y19:Z21"/>
    </sheetView>
  </sheetViews>
  <sheetFormatPr defaultColWidth="5.875" defaultRowHeight="13.5" x14ac:dyDescent="0.15"/>
  <cols>
    <col min="1" max="1" width="1.75" style="2" customWidth="1"/>
    <col min="2" max="28" width="5.625" style="2" customWidth="1"/>
    <col min="29" max="29" width="2" style="2" customWidth="1"/>
    <col min="30" max="16384" width="5.875" style="2"/>
  </cols>
  <sheetData>
    <row r="1" spans="2:28" ht="13.5" customHeight="1" x14ac:dyDescent="0.15"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</row>
    <row r="2" spans="2:28" ht="17.25" customHeight="1" x14ac:dyDescent="0.15"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3" spans="2:28" ht="17.25" x14ac:dyDescent="0.15">
      <c r="B3" s="3" t="s">
        <v>1</v>
      </c>
      <c r="C3" s="87" t="s">
        <v>130</v>
      </c>
      <c r="D3" s="87"/>
      <c r="E3" s="87"/>
      <c r="F3" s="4" t="s">
        <v>2</v>
      </c>
      <c r="G3" s="88" t="s">
        <v>132</v>
      </c>
      <c r="H3" s="88"/>
      <c r="I3" s="88"/>
      <c r="J3" s="88"/>
      <c r="K3" s="88"/>
      <c r="L3" s="88"/>
    </row>
    <row r="4" spans="2:28" ht="20.100000000000001" customHeight="1" x14ac:dyDescent="0.15">
      <c r="B4" s="35" t="s">
        <v>3</v>
      </c>
      <c r="C4" s="37"/>
      <c r="D4" s="68" t="s">
        <v>4</v>
      </c>
      <c r="E4" s="69"/>
      <c r="F4" s="35" t="s">
        <v>5</v>
      </c>
      <c r="G4" s="37"/>
      <c r="H4" s="59" t="s">
        <v>12</v>
      </c>
      <c r="I4" s="60"/>
      <c r="J4" s="61"/>
      <c r="K4" s="35" t="s">
        <v>6</v>
      </c>
      <c r="L4" s="36"/>
      <c r="M4" s="37"/>
      <c r="N4" s="68" t="s">
        <v>7</v>
      </c>
      <c r="O4" s="69"/>
      <c r="P4" s="89" t="s">
        <v>13</v>
      </c>
      <c r="Q4" s="90"/>
      <c r="R4" s="90"/>
      <c r="S4" s="90"/>
      <c r="T4" s="90"/>
      <c r="U4" s="91"/>
      <c r="V4" s="35" t="s">
        <v>111</v>
      </c>
      <c r="W4" s="36"/>
      <c r="X4" s="37"/>
      <c r="Y4" s="35" t="s">
        <v>8</v>
      </c>
      <c r="Z4" s="37"/>
      <c r="AA4" s="35" t="s">
        <v>9</v>
      </c>
      <c r="AB4" s="37"/>
    </row>
    <row r="5" spans="2:28" ht="20.100000000000001" customHeight="1" x14ac:dyDescent="0.15">
      <c r="B5" s="38"/>
      <c r="C5" s="40"/>
      <c r="D5" s="70"/>
      <c r="E5" s="71"/>
      <c r="F5" s="38"/>
      <c r="G5" s="40"/>
      <c r="H5" s="62"/>
      <c r="I5" s="63"/>
      <c r="J5" s="64"/>
      <c r="K5" s="38"/>
      <c r="L5" s="39"/>
      <c r="M5" s="40"/>
      <c r="N5" s="70"/>
      <c r="O5" s="71"/>
      <c r="P5" s="74" t="s">
        <v>14</v>
      </c>
      <c r="Q5" s="56"/>
      <c r="R5" s="56" t="s">
        <v>35</v>
      </c>
      <c r="S5" s="56"/>
      <c r="T5" s="56" t="s">
        <v>15</v>
      </c>
      <c r="U5" s="57"/>
      <c r="V5" s="38"/>
      <c r="W5" s="39"/>
      <c r="X5" s="40"/>
      <c r="Y5" s="38"/>
      <c r="Z5" s="40"/>
      <c r="AA5" s="38"/>
      <c r="AB5" s="40"/>
    </row>
    <row r="6" spans="2:28" ht="20.100000000000001" customHeight="1" x14ac:dyDescent="0.15">
      <c r="B6" s="41"/>
      <c r="C6" s="43"/>
      <c r="D6" s="72"/>
      <c r="E6" s="73"/>
      <c r="F6" s="41"/>
      <c r="G6" s="43"/>
      <c r="H6" s="65"/>
      <c r="I6" s="66"/>
      <c r="J6" s="67"/>
      <c r="K6" s="41"/>
      <c r="L6" s="42"/>
      <c r="M6" s="43"/>
      <c r="N6" s="72"/>
      <c r="O6" s="73"/>
      <c r="P6" s="54" t="s">
        <v>16</v>
      </c>
      <c r="Q6" s="55"/>
      <c r="R6" s="55" t="s">
        <v>17</v>
      </c>
      <c r="S6" s="55"/>
      <c r="T6" s="55" t="s">
        <v>18</v>
      </c>
      <c r="U6" s="58"/>
      <c r="V6" s="41"/>
      <c r="W6" s="42"/>
      <c r="X6" s="43"/>
      <c r="Y6" s="41"/>
      <c r="Z6" s="43"/>
      <c r="AA6" s="41"/>
      <c r="AB6" s="43"/>
    </row>
    <row r="7" spans="2:28" ht="20.100000000000001" customHeight="1" x14ac:dyDescent="0.15">
      <c r="B7" s="92" t="s">
        <v>133</v>
      </c>
      <c r="C7" s="93"/>
      <c r="D7" s="99" t="s">
        <v>134</v>
      </c>
      <c r="E7" s="100"/>
      <c r="F7" s="29" t="s">
        <v>135</v>
      </c>
      <c r="G7" s="30"/>
      <c r="H7" s="44" t="s">
        <v>136</v>
      </c>
      <c r="I7" s="44"/>
      <c r="J7" s="44"/>
      <c r="K7" s="44" t="s">
        <v>137</v>
      </c>
      <c r="L7" s="44"/>
      <c r="M7" s="44"/>
      <c r="N7" s="105" t="s">
        <v>138</v>
      </c>
      <c r="O7" s="106"/>
      <c r="P7" s="105" t="s">
        <v>139</v>
      </c>
      <c r="Q7" s="107"/>
      <c r="R7" s="107"/>
      <c r="S7" s="107"/>
      <c r="T7" s="107"/>
      <c r="U7" s="106"/>
      <c r="V7" s="44" t="s">
        <v>140</v>
      </c>
      <c r="W7" s="44"/>
      <c r="X7" s="44"/>
      <c r="Y7" s="75"/>
      <c r="Z7" s="76"/>
      <c r="AA7" s="75"/>
      <c r="AB7" s="76"/>
    </row>
    <row r="8" spans="2:28" ht="20.100000000000001" customHeight="1" x14ac:dyDescent="0.15">
      <c r="B8" s="94"/>
      <c r="C8" s="95"/>
      <c r="D8" s="101"/>
      <c r="E8" s="102"/>
      <c r="F8" s="31"/>
      <c r="G8" s="32"/>
      <c r="H8" s="50"/>
      <c r="I8" s="51"/>
      <c r="J8" s="52"/>
      <c r="K8" s="108" t="s">
        <v>141</v>
      </c>
      <c r="L8" s="109"/>
      <c r="M8" s="110"/>
      <c r="N8" s="50"/>
      <c r="O8" s="52"/>
      <c r="P8" s="7" t="s">
        <v>142</v>
      </c>
      <c r="Q8" s="8" t="s">
        <v>143</v>
      </c>
      <c r="R8" s="9" t="s">
        <v>37</v>
      </c>
      <c r="S8" s="8" t="s">
        <v>39</v>
      </c>
      <c r="T8" s="9" t="s">
        <v>144</v>
      </c>
      <c r="U8" s="10" t="s">
        <v>143</v>
      </c>
      <c r="V8" s="45"/>
      <c r="W8" s="46"/>
      <c r="X8" s="47"/>
      <c r="Y8" s="77"/>
      <c r="Z8" s="78"/>
      <c r="AA8" s="77"/>
      <c r="AB8" s="78"/>
    </row>
    <row r="9" spans="2:28" ht="20.100000000000001" customHeight="1" x14ac:dyDescent="0.15">
      <c r="B9" s="96"/>
      <c r="C9" s="97"/>
      <c r="D9" s="103"/>
      <c r="E9" s="104"/>
      <c r="F9" s="33"/>
      <c r="G9" s="34"/>
      <c r="H9" s="98" t="s">
        <v>145</v>
      </c>
      <c r="I9" s="98"/>
      <c r="J9" s="98"/>
      <c r="K9" s="48" t="s">
        <v>146</v>
      </c>
      <c r="L9" s="48"/>
      <c r="M9" s="48"/>
      <c r="N9" s="6" t="s">
        <v>147</v>
      </c>
      <c r="O9" s="5" t="str">
        <f>IF(N9&lt;&gt;"","mL/min","")</f>
        <v>mL/min</v>
      </c>
      <c r="P9" s="11" t="s">
        <v>148</v>
      </c>
      <c r="Q9" s="12" t="s">
        <v>149</v>
      </c>
      <c r="R9" s="13" t="s">
        <v>150</v>
      </c>
      <c r="S9" s="12" t="s">
        <v>151</v>
      </c>
      <c r="T9" s="14" t="s">
        <v>152</v>
      </c>
      <c r="U9" s="5" t="str">
        <f>IF(T9&lt;&gt;"","分","")</f>
        <v>分</v>
      </c>
      <c r="V9" s="48"/>
      <c r="W9" s="48"/>
      <c r="X9" s="48"/>
      <c r="Y9" s="79"/>
      <c r="Z9" s="80"/>
      <c r="AA9" s="79"/>
      <c r="AB9" s="80"/>
    </row>
    <row r="10" spans="2:28" ht="20.100000000000001" customHeight="1" x14ac:dyDescent="0.15">
      <c r="B10" s="23"/>
      <c r="C10" s="24"/>
      <c r="D10" s="23"/>
      <c r="E10" s="24"/>
      <c r="F10" s="29"/>
      <c r="G10" s="30"/>
      <c r="H10" s="49"/>
      <c r="I10" s="49"/>
      <c r="J10" s="49"/>
      <c r="K10" s="49"/>
      <c r="L10" s="49"/>
      <c r="M10" s="49"/>
      <c r="N10" s="81"/>
      <c r="O10" s="82"/>
      <c r="P10" s="83"/>
      <c r="Q10" s="84"/>
      <c r="R10" s="84"/>
      <c r="S10" s="84"/>
      <c r="T10" s="84"/>
      <c r="U10" s="85"/>
      <c r="V10" s="49"/>
      <c r="W10" s="49"/>
      <c r="X10" s="49"/>
      <c r="Y10" s="75"/>
      <c r="Z10" s="76"/>
      <c r="AA10" s="75"/>
      <c r="AB10" s="76"/>
    </row>
    <row r="11" spans="2:28" ht="20.100000000000001" customHeight="1" x14ac:dyDescent="0.15">
      <c r="B11" s="25"/>
      <c r="C11" s="26"/>
      <c r="D11" s="25"/>
      <c r="E11" s="26"/>
      <c r="F11" s="31"/>
      <c r="G11" s="32"/>
      <c r="H11" s="50"/>
      <c r="I11" s="51"/>
      <c r="J11" s="52"/>
      <c r="K11" s="50"/>
      <c r="L11" s="51"/>
      <c r="M11" s="52"/>
      <c r="N11" s="50"/>
      <c r="O11" s="52"/>
      <c r="P11" s="21"/>
      <c r="Q11" s="19"/>
      <c r="R11" s="19"/>
      <c r="S11" s="19"/>
      <c r="T11" s="19"/>
      <c r="U11" s="20"/>
      <c r="V11" s="50"/>
      <c r="W11" s="51"/>
      <c r="X11" s="52"/>
      <c r="Y11" s="77"/>
      <c r="Z11" s="78"/>
      <c r="AA11" s="77"/>
      <c r="AB11" s="78"/>
    </row>
    <row r="12" spans="2:28" ht="20.100000000000001" customHeight="1" x14ac:dyDescent="0.15">
      <c r="B12" s="27"/>
      <c r="C12" s="28"/>
      <c r="D12" s="27"/>
      <c r="E12" s="28"/>
      <c r="F12" s="33"/>
      <c r="G12" s="34"/>
      <c r="H12" s="53"/>
      <c r="I12" s="53"/>
      <c r="J12" s="53"/>
      <c r="K12" s="53"/>
      <c r="L12" s="53"/>
      <c r="M12" s="53"/>
      <c r="N12" s="17"/>
      <c r="O12" s="5" t="str">
        <f>IF(N12&lt;&gt;"","mL/min","")</f>
        <v/>
      </c>
      <c r="P12" s="22"/>
      <c r="Q12" s="18"/>
      <c r="R12" s="18"/>
      <c r="S12" s="18"/>
      <c r="T12" s="18"/>
      <c r="U12" s="5" t="str">
        <f>IF(T12&lt;&gt;"","分","")</f>
        <v/>
      </c>
      <c r="V12" s="53"/>
      <c r="W12" s="53"/>
      <c r="X12" s="53"/>
      <c r="Y12" s="79"/>
      <c r="Z12" s="80"/>
      <c r="AA12" s="79"/>
      <c r="AB12" s="80"/>
    </row>
    <row r="13" spans="2:28" ht="20.100000000000001" customHeight="1" x14ac:dyDescent="0.15">
      <c r="B13" s="23"/>
      <c r="C13" s="24"/>
      <c r="D13" s="23"/>
      <c r="E13" s="24"/>
      <c r="F13" s="29"/>
      <c r="G13" s="30"/>
      <c r="H13" s="49"/>
      <c r="I13" s="49"/>
      <c r="J13" s="49"/>
      <c r="K13" s="49"/>
      <c r="L13" s="49"/>
      <c r="M13" s="49"/>
      <c r="N13" s="81"/>
      <c r="O13" s="82"/>
      <c r="P13" s="83"/>
      <c r="Q13" s="84"/>
      <c r="R13" s="84"/>
      <c r="S13" s="84"/>
      <c r="T13" s="84"/>
      <c r="U13" s="85"/>
      <c r="V13" s="49"/>
      <c r="W13" s="49"/>
      <c r="X13" s="49"/>
      <c r="Y13" s="75"/>
      <c r="Z13" s="76"/>
      <c r="AA13" s="75"/>
      <c r="AB13" s="76"/>
    </row>
    <row r="14" spans="2:28" ht="20.100000000000001" customHeight="1" x14ac:dyDescent="0.15">
      <c r="B14" s="25"/>
      <c r="C14" s="26"/>
      <c r="D14" s="25"/>
      <c r="E14" s="26"/>
      <c r="F14" s="31"/>
      <c r="G14" s="32"/>
      <c r="H14" s="50"/>
      <c r="I14" s="51"/>
      <c r="J14" s="52"/>
      <c r="K14" s="50"/>
      <c r="L14" s="51"/>
      <c r="M14" s="52"/>
      <c r="N14" s="50"/>
      <c r="O14" s="52"/>
      <c r="P14" s="21"/>
      <c r="Q14" s="19"/>
      <c r="R14" s="19"/>
      <c r="S14" s="19"/>
      <c r="T14" s="19"/>
      <c r="U14" s="20"/>
      <c r="V14" s="50"/>
      <c r="W14" s="51"/>
      <c r="X14" s="52"/>
      <c r="Y14" s="77"/>
      <c r="Z14" s="78"/>
      <c r="AA14" s="77"/>
      <c r="AB14" s="78"/>
    </row>
    <row r="15" spans="2:28" ht="20.100000000000001" customHeight="1" x14ac:dyDescent="0.15">
      <c r="B15" s="27"/>
      <c r="C15" s="28"/>
      <c r="D15" s="27"/>
      <c r="E15" s="28"/>
      <c r="F15" s="33"/>
      <c r="G15" s="34"/>
      <c r="H15" s="53"/>
      <c r="I15" s="53"/>
      <c r="J15" s="53"/>
      <c r="K15" s="53"/>
      <c r="L15" s="53"/>
      <c r="M15" s="53"/>
      <c r="N15" s="17"/>
      <c r="O15" s="5" t="str">
        <f>IF(N15&lt;&gt;"","mL/min","")</f>
        <v/>
      </c>
      <c r="P15" s="22"/>
      <c r="Q15" s="18"/>
      <c r="R15" s="18"/>
      <c r="S15" s="18"/>
      <c r="T15" s="18"/>
      <c r="U15" s="5" t="str">
        <f>IF(T15&lt;&gt;"","分","")</f>
        <v/>
      </c>
      <c r="V15" s="53"/>
      <c r="W15" s="53"/>
      <c r="X15" s="53"/>
      <c r="Y15" s="79"/>
      <c r="Z15" s="80"/>
      <c r="AA15" s="79"/>
      <c r="AB15" s="80"/>
    </row>
    <row r="16" spans="2:28" ht="20.100000000000001" customHeight="1" x14ac:dyDescent="0.15">
      <c r="B16" s="23"/>
      <c r="C16" s="24"/>
      <c r="D16" s="23"/>
      <c r="E16" s="24"/>
      <c r="F16" s="29"/>
      <c r="G16" s="30"/>
      <c r="H16" s="49"/>
      <c r="I16" s="49"/>
      <c r="J16" s="49"/>
      <c r="K16" s="49"/>
      <c r="L16" s="49"/>
      <c r="M16" s="49"/>
      <c r="N16" s="81"/>
      <c r="O16" s="82"/>
      <c r="P16" s="83"/>
      <c r="Q16" s="84"/>
      <c r="R16" s="84"/>
      <c r="S16" s="84"/>
      <c r="T16" s="84"/>
      <c r="U16" s="85"/>
      <c r="V16" s="49"/>
      <c r="W16" s="49"/>
      <c r="X16" s="49"/>
      <c r="Y16" s="75"/>
      <c r="Z16" s="76"/>
      <c r="AA16" s="75"/>
      <c r="AB16" s="76"/>
    </row>
    <row r="17" spans="2:28" ht="20.100000000000001" customHeight="1" x14ac:dyDescent="0.15">
      <c r="B17" s="25"/>
      <c r="C17" s="26"/>
      <c r="D17" s="25"/>
      <c r="E17" s="26"/>
      <c r="F17" s="31"/>
      <c r="G17" s="32"/>
      <c r="H17" s="50"/>
      <c r="I17" s="51"/>
      <c r="J17" s="52"/>
      <c r="K17" s="50"/>
      <c r="L17" s="51"/>
      <c r="M17" s="52"/>
      <c r="N17" s="50"/>
      <c r="O17" s="52"/>
      <c r="P17" s="21"/>
      <c r="Q17" s="19"/>
      <c r="R17" s="19"/>
      <c r="S17" s="19"/>
      <c r="T17" s="19"/>
      <c r="U17" s="20"/>
      <c r="V17" s="50"/>
      <c r="W17" s="51"/>
      <c r="X17" s="52"/>
      <c r="Y17" s="77"/>
      <c r="Z17" s="78"/>
      <c r="AA17" s="77"/>
      <c r="AB17" s="78"/>
    </row>
    <row r="18" spans="2:28" ht="20.100000000000001" customHeight="1" x14ac:dyDescent="0.15">
      <c r="B18" s="27"/>
      <c r="C18" s="28"/>
      <c r="D18" s="27"/>
      <c r="E18" s="28"/>
      <c r="F18" s="33"/>
      <c r="G18" s="34"/>
      <c r="H18" s="53"/>
      <c r="I18" s="53"/>
      <c r="J18" s="53"/>
      <c r="K18" s="53"/>
      <c r="L18" s="53"/>
      <c r="M18" s="53"/>
      <c r="N18" s="17"/>
      <c r="O18" s="5" t="str">
        <f>IF(N18&lt;&gt;"","mL/min","")</f>
        <v/>
      </c>
      <c r="P18" s="22"/>
      <c r="Q18" s="18"/>
      <c r="R18" s="18"/>
      <c r="S18" s="18"/>
      <c r="T18" s="18"/>
      <c r="U18" s="5" t="str">
        <f>IF(T18&lt;&gt;"","分","")</f>
        <v/>
      </c>
      <c r="V18" s="53"/>
      <c r="W18" s="53"/>
      <c r="X18" s="53"/>
      <c r="Y18" s="79"/>
      <c r="Z18" s="80"/>
      <c r="AA18" s="79"/>
      <c r="AB18" s="80"/>
    </row>
    <row r="19" spans="2:28" ht="20.100000000000001" customHeight="1" x14ac:dyDescent="0.15">
      <c r="B19" s="23"/>
      <c r="C19" s="24"/>
      <c r="D19" s="23"/>
      <c r="E19" s="24"/>
      <c r="F19" s="29"/>
      <c r="G19" s="30"/>
      <c r="H19" s="49"/>
      <c r="I19" s="49"/>
      <c r="J19" s="49"/>
      <c r="K19" s="49"/>
      <c r="L19" s="49"/>
      <c r="M19" s="49"/>
      <c r="N19" s="81"/>
      <c r="O19" s="82"/>
      <c r="P19" s="83"/>
      <c r="Q19" s="84"/>
      <c r="R19" s="84"/>
      <c r="S19" s="84"/>
      <c r="T19" s="84"/>
      <c r="U19" s="85"/>
      <c r="V19" s="49"/>
      <c r="W19" s="49"/>
      <c r="X19" s="49"/>
      <c r="Y19" s="75"/>
      <c r="Z19" s="76"/>
      <c r="AA19" s="75"/>
      <c r="AB19" s="76"/>
    </row>
    <row r="20" spans="2:28" ht="20.100000000000001" customHeight="1" x14ac:dyDescent="0.15">
      <c r="B20" s="25"/>
      <c r="C20" s="26"/>
      <c r="D20" s="25"/>
      <c r="E20" s="26"/>
      <c r="F20" s="31"/>
      <c r="G20" s="32"/>
      <c r="H20" s="50"/>
      <c r="I20" s="51"/>
      <c r="J20" s="52"/>
      <c r="K20" s="50"/>
      <c r="L20" s="51"/>
      <c r="M20" s="52"/>
      <c r="N20" s="50"/>
      <c r="O20" s="52"/>
      <c r="P20" s="21"/>
      <c r="Q20" s="19"/>
      <c r="R20" s="19"/>
      <c r="S20" s="19"/>
      <c r="T20" s="19"/>
      <c r="U20" s="20"/>
      <c r="V20" s="50"/>
      <c r="W20" s="51"/>
      <c r="X20" s="52"/>
      <c r="Y20" s="77"/>
      <c r="Z20" s="78"/>
      <c r="AA20" s="77"/>
      <c r="AB20" s="78"/>
    </row>
    <row r="21" spans="2:28" ht="20.100000000000001" customHeight="1" x14ac:dyDescent="0.15">
      <c r="B21" s="27"/>
      <c r="C21" s="28"/>
      <c r="D21" s="27"/>
      <c r="E21" s="28"/>
      <c r="F21" s="33"/>
      <c r="G21" s="34"/>
      <c r="H21" s="53"/>
      <c r="I21" s="53"/>
      <c r="J21" s="53"/>
      <c r="K21" s="53"/>
      <c r="L21" s="53"/>
      <c r="M21" s="53"/>
      <c r="N21" s="17"/>
      <c r="O21" s="5" t="str">
        <f>IF(N21&lt;&gt;"","mL/min","")</f>
        <v/>
      </c>
      <c r="P21" s="22"/>
      <c r="Q21" s="18"/>
      <c r="R21" s="18"/>
      <c r="S21" s="18"/>
      <c r="T21" s="18"/>
      <c r="U21" s="5" t="str">
        <f>IF(T21&lt;&gt;"","分","")</f>
        <v/>
      </c>
      <c r="V21" s="53"/>
      <c r="W21" s="53"/>
      <c r="X21" s="53"/>
      <c r="Y21" s="79"/>
      <c r="Z21" s="80"/>
      <c r="AA21" s="79"/>
      <c r="AB21" s="80"/>
    </row>
    <row r="22" spans="2:28" ht="20.100000000000001" customHeight="1" x14ac:dyDescent="0.15">
      <c r="B22" s="23"/>
      <c r="C22" s="24"/>
      <c r="D22" s="23"/>
      <c r="E22" s="24"/>
      <c r="F22" s="29"/>
      <c r="G22" s="30"/>
      <c r="H22" s="49"/>
      <c r="I22" s="49"/>
      <c r="J22" s="49"/>
      <c r="K22" s="49"/>
      <c r="L22" s="49"/>
      <c r="M22" s="49"/>
      <c r="N22" s="81"/>
      <c r="O22" s="82"/>
      <c r="P22" s="83"/>
      <c r="Q22" s="84"/>
      <c r="R22" s="84"/>
      <c r="S22" s="84"/>
      <c r="T22" s="84"/>
      <c r="U22" s="85"/>
      <c r="V22" s="49"/>
      <c r="W22" s="49"/>
      <c r="X22" s="49"/>
      <c r="Y22" s="75"/>
      <c r="Z22" s="76"/>
      <c r="AA22" s="75"/>
      <c r="AB22" s="76"/>
    </row>
    <row r="23" spans="2:28" ht="20.100000000000001" customHeight="1" x14ac:dyDescent="0.15">
      <c r="B23" s="25"/>
      <c r="C23" s="26"/>
      <c r="D23" s="25"/>
      <c r="E23" s="26"/>
      <c r="F23" s="31"/>
      <c r="G23" s="32"/>
      <c r="H23" s="50"/>
      <c r="I23" s="51"/>
      <c r="J23" s="52"/>
      <c r="K23" s="50"/>
      <c r="L23" s="51"/>
      <c r="M23" s="52"/>
      <c r="N23" s="50"/>
      <c r="O23" s="52"/>
      <c r="P23" s="21"/>
      <c r="Q23" s="19"/>
      <c r="R23" s="19"/>
      <c r="S23" s="19"/>
      <c r="T23" s="19"/>
      <c r="U23" s="20"/>
      <c r="V23" s="50"/>
      <c r="W23" s="51"/>
      <c r="X23" s="52"/>
      <c r="Y23" s="77"/>
      <c r="Z23" s="78"/>
      <c r="AA23" s="77"/>
      <c r="AB23" s="78"/>
    </row>
    <row r="24" spans="2:28" ht="19.5" customHeight="1" x14ac:dyDescent="0.15">
      <c r="B24" s="27"/>
      <c r="C24" s="28"/>
      <c r="D24" s="27"/>
      <c r="E24" s="28"/>
      <c r="F24" s="33"/>
      <c r="G24" s="34"/>
      <c r="H24" s="53"/>
      <c r="I24" s="53"/>
      <c r="J24" s="53"/>
      <c r="K24" s="53"/>
      <c r="L24" s="53"/>
      <c r="M24" s="53"/>
      <c r="N24" s="17"/>
      <c r="O24" s="5" t="str">
        <f>IF(N24&lt;&gt;"","mL/min","")</f>
        <v/>
      </c>
      <c r="P24" s="22"/>
      <c r="Q24" s="18"/>
      <c r="R24" s="18"/>
      <c r="S24" s="18"/>
      <c r="T24" s="18"/>
      <c r="U24" s="5" t="str">
        <f>IF(T24&lt;&gt;"","分","")</f>
        <v/>
      </c>
      <c r="V24" s="53"/>
      <c r="W24" s="53"/>
      <c r="X24" s="53"/>
      <c r="Y24" s="79"/>
      <c r="Z24" s="80"/>
      <c r="AA24" s="79"/>
      <c r="AB24" s="80"/>
    </row>
    <row r="25" spans="2:28" ht="20.100000000000001" customHeight="1" x14ac:dyDescent="0.15">
      <c r="B25" s="23"/>
      <c r="C25" s="24"/>
      <c r="D25" s="23"/>
      <c r="E25" s="24"/>
      <c r="F25" s="29"/>
      <c r="G25" s="30"/>
      <c r="H25" s="49"/>
      <c r="I25" s="49"/>
      <c r="J25" s="49"/>
      <c r="K25" s="49"/>
      <c r="L25" s="49"/>
      <c r="M25" s="49"/>
      <c r="N25" s="81"/>
      <c r="O25" s="82"/>
      <c r="P25" s="83"/>
      <c r="Q25" s="84"/>
      <c r="R25" s="84"/>
      <c r="S25" s="84"/>
      <c r="T25" s="84"/>
      <c r="U25" s="85"/>
      <c r="V25" s="49"/>
      <c r="W25" s="49"/>
      <c r="X25" s="49"/>
      <c r="Y25" s="75"/>
      <c r="Z25" s="76"/>
      <c r="AA25" s="75"/>
      <c r="AB25" s="76"/>
    </row>
    <row r="26" spans="2:28" ht="20.100000000000001" customHeight="1" x14ac:dyDescent="0.15">
      <c r="B26" s="25"/>
      <c r="C26" s="26"/>
      <c r="D26" s="25"/>
      <c r="E26" s="26"/>
      <c r="F26" s="31"/>
      <c r="G26" s="32"/>
      <c r="H26" s="50"/>
      <c r="I26" s="51"/>
      <c r="J26" s="52"/>
      <c r="K26" s="50"/>
      <c r="L26" s="51"/>
      <c r="M26" s="52"/>
      <c r="N26" s="50"/>
      <c r="O26" s="52"/>
      <c r="P26" s="21"/>
      <c r="Q26" s="19"/>
      <c r="R26" s="19"/>
      <c r="S26" s="19"/>
      <c r="T26" s="19"/>
      <c r="U26" s="20"/>
      <c r="V26" s="50"/>
      <c r="W26" s="51"/>
      <c r="X26" s="52"/>
      <c r="Y26" s="77"/>
      <c r="Z26" s="78"/>
      <c r="AA26" s="77"/>
      <c r="AB26" s="78"/>
    </row>
    <row r="27" spans="2:28" ht="20.100000000000001" customHeight="1" x14ac:dyDescent="0.15">
      <c r="B27" s="27"/>
      <c r="C27" s="28"/>
      <c r="D27" s="27"/>
      <c r="E27" s="28"/>
      <c r="F27" s="33"/>
      <c r="G27" s="34"/>
      <c r="H27" s="53"/>
      <c r="I27" s="53"/>
      <c r="J27" s="53"/>
      <c r="K27" s="53"/>
      <c r="L27" s="53"/>
      <c r="M27" s="53"/>
      <c r="N27" s="17"/>
      <c r="O27" s="5" t="str">
        <f>IF(N27&lt;&gt;"","mL/min","")</f>
        <v/>
      </c>
      <c r="P27" s="22"/>
      <c r="Q27" s="18"/>
      <c r="R27" s="18"/>
      <c r="S27" s="18"/>
      <c r="T27" s="18"/>
      <c r="U27" s="5" t="str">
        <f>IF(T27&lt;&gt;"","分","")</f>
        <v/>
      </c>
      <c r="V27" s="53"/>
      <c r="W27" s="53"/>
      <c r="X27" s="53"/>
      <c r="Y27" s="79"/>
      <c r="Z27" s="80"/>
      <c r="AA27" s="79"/>
      <c r="AB27" s="80"/>
    </row>
    <row r="28" spans="2:28" ht="20.100000000000001" customHeight="1" x14ac:dyDescent="0.15">
      <c r="B28" s="23"/>
      <c r="C28" s="24"/>
      <c r="D28" s="23"/>
      <c r="E28" s="24"/>
      <c r="F28" s="29"/>
      <c r="G28" s="30"/>
      <c r="H28" s="49"/>
      <c r="I28" s="49"/>
      <c r="J28" s="49"/>
      <c r="K28" s="49"/>
      <c r="L28" s="49"/>
      <c r="M28" s="49"/>
      <c r="N28" s="81"/>
      <c r="O28" s="82"/>
      <c r="P28" s="83"/>
      <c r="Q28" s="84"/>
      <c r="R28" s="84"/>
      <c r="S28" s="84"/>
      <c r="T28" s="84"/>
      <c r="U28" s="85"/>
      <c r="V28" s="49"/>
      <c r="W28" s="49"/>
      <c r="X28" s="49"/>
      <c r="Y28" s="75"/>
      <c r="Z28" s="76"/>
      <c r="AA28" s="75"/>
      <c r="AB28" s="76"/>
    </row>
    <row r="29" spans="2:28" ht="20.100000000000001" customHeight="1" x14ac:dyDescent="0.15">
      <c r="B29" s="25"/>
      <c r="C29" s="26"/>
      <c r="D29" s="25"/>
      <c r="E29" s="26"/>
      <c r="F29" s="31"/>
      <c r="G29" s="32"/>
      <c r="H29" s="50"/>
      <c r="I29" s="51"/>
      <c r="J29" s="52"/>
      <c r="K29" s="50"/>
      <c r="L29" s="51"/>
      <c r="M29" s="52"/>
      <c r="N29" s="50"/>
      <c r="O29" s="52"/>
      <c r="P29" s="21"/>
      <c r="Q29" s="19"/>
      <c r="R29" s="19"/>
      <c r="S29" s="19"/>
      <c r="T29" s="19"/>
      <c r="U29" s="20"/>
      <c r="V29" s="50"/>
      <c r="W29" s="51"/>
      <c r="X29" s="52"/>
      <c r="Y29" s="77"/>
      <c r="Z29" s="78"/>
      <c r="AA29" s="77"/>
      <c r="AB29" s="78"/>
    </row>
    <row r="30" spans="2:28" ht="20.100000000000001" customHeight="1" x14ac:dyDescent="0.15">
      <c r="B30" s="27"/>
      <c r="C30" s="28"/>
      <c r="D30" s="27"/>
      <c r="E30" s="28"/>
      <c r="F30" s="33"/>
      <c r="G30" s="34"/>
      <c r="H30" s="53"/>
      <c r="I30" s="53"/>
      <c r="J30" s="53"/>
      <c r="K30" s="53"/>
      <c r="L30" s="53"/>
      <c r="M30" s="53"/>
      <c r="N30" s="17"/>
      <c r="O30" s="5" t="str">
        <f>IF(N30&lt;&gt;"","mL/min","")</f>
        <v/>
      </c>
      <c r="P30" s="22"/>
      <c r="Q30" s="18"/>
      <c r="R30" s="18"/>
      <c r="S30" s="18"/>
      <c r="T30" s="18"/>
      <c r="U30" s="5" t="str">
        <f>IF(T30&lt;&gt;"","分","")</f>
        <v/>
      </c>
      <c r="V30" s="53"/>
      <c r="W30" s="53"/>
      <c r="X30" s="53"/>
      <c r="Y30" s="79"/>
      <c r="Z30" s="80"/>
      <c r="AA30" s="79"/>
      <c r="AB30" s="80"/>
    </row>
    <row r="31" spans="2:28" ht="20.100000000000001" customHeight="1" x14ac:dyDescent="0.15">
      <c r="B31" s="23"/>
      <c r="C31" s="24"/>
      <c r="D31" s="23"/>
      <c r="E31" s="24"/>
      <c r="F31" s="29"/>
      <c r="G31" s="30"/>
      <c r="H31" s="49"/>
      <c r="I31" s="49"/>
      <c r="J31" s="49"/>
      <c r="K31" s="49"/>
      <c r="L31" s="49"/>
      <c r="M31" s="49"/>
      <c r="N31" s="81"/>
      <c r="O31" s="82"/>
      <c r="P31" s="83"/>
      <c r="Q31" s="84"/>
      <c r="R31" s="84"/>
      <c r="S31" s="84"/>
      <c r="T31" s="84"/>
      <c r="U31" s="85"/>
      <c r="V31" s="49"/>
      <c r="W31" s="49"/>
      <c r="X31" s="49"/>
      <c r="Y31" s="75"/>
      <c r="Z31" s="76"/>
      <c r="AA31" s="75"/>
      <c r="AB31" s="76"/>
    </row>
    <row r="32" spans="2:28" ht="20.100000000000001" customHeight="1" x14ac:dyDescent="0.15">
      <c r="B32" s="25"/>
      <c r="C32" s="26"/>
      <c r="D32" s="25"/>
      <c r="E32" s="26"/>
      <c r="F32" s="31"/>
      <c r="G32" s="32"/>
      <c r="H32" s="50"/>
      <c r="I32" s="51"/>
      <c r="J32" s="52"/>
      <c r="K32" s="50"/>
      <c r="L32" s="51"/>
      <c r="M32" s="52"/>
      <c r="N32" s="50"/>
      <c r="O32" s="52"/>
      <c r="P32" s="21"/>
      <c r="Q32" s="19"/>
      <c r="R32" s="19"/>
      <c r="S32" s="19"/>
      <c r="T32" s="19"/>
      <c r="U32" s="20"/>
      <c r="V32" s="50"/>
      <c r="W32" s="51"/>
      <c r="X32" s="52"/>
      <c r="Y32" s="77"/>
      <c r="Z32" s="78"/>
      <c r="AA32" s="77"/>
      <c r="AB32" s="78"/>
    </row>
    <row r="33" spans="2:28" ht="20.100000000000001" customHeight="1" x14ac:dyDescent="0.15">
      <c r="B33" s="27"/>
      <c r="C33" s="28"/>
      <c r="D33" s="27"/>
      <c r="E33" s="28"/>
      <c r="F33" s="33"/>
      <c r="G33" s="34"/>
      <c r="H33" s="53"/>
      <c r="I33" s="53"/>
      <c r="J33" s="53"/>
      <c r="K33" s="53"/>
      <c r="L33" s="53"/>
      <c r="M33" s="53"/>
      <c r="N33" s="17"/>
      <c r="O33" s="5" t="str">
        <f>IF(N33&lt;&gt;"","mL/min","")</f>
        <v/>
      </c>
      <c r="P33" s="22"/>
      <c r="Q33" s="18"/>
      <c r="R33" s="18"/>
      <c r="S33" s="18"/>
      <c r="T33" s="18"/>
      <c r="U33" s="5" t="str">
        <f>IF(T33&lt;&gt;"","分","")</f>
        <v/>
      </c>
      <c r="V33" s="53"/>
      <c r="W33" s="53"/>
      <c r="X33" s="53"/>
      <c r="Y33" s="79"/>
      <c r="Z33" s="80"/>
      <c r="AA33" s="79"/>
      <c r="AB33" s="80"/>
    </row>
  </sheetData>
  <mergeCells count="172">
    <mergeCell ref="AA28:AB30"/>
    <mergeCell ref="K29:M29"/>
    <mergeCell ref="N29:O29"/>
    <mergeCell ref="Y28:Z30"/>
    <mergeCell ref="K30:M30"/>
    <mergeCell ref="V29:X29"/>
    <mergeCell ref="V30:X30"/>
    <mergeCell ref="AA25:AB27"/>
    <mergeCell ref="H26:J26"/>
    <mergeCell ref="K26:M26"/>
    <mergeCell ref="N26:O26"/>
    <mergeCell ref="H25:J25"/>
    <mergeCell ref="K25:M25"/>
    <mergeCell ref="H27:J27"/>
    <mergeCell ref="K27:M27"/>
    <mergeCell ref="P25:U25"/>
    <mergeCell ref="P13:U13"/>
    <mergeCell ref="D13:E15"/>
    <mergeCell ref="H13:J13"/>
    <mergeCell ref="Y13:Z15"/>
    <mergeCell ref="AA13:AB15"/>
    <mergeCell ref="H14:J14"/>
    <mergeCell ref="D7:E9"/>
    <mergeCell ref="H7:J7"/>
    <mergeCell ref="K7:M7"/>
    <mergeCell ref="N7:O7"/>
    <mergeCell ref="P7:U7"/>
    <mergeCell ref="N8:O8"/>
    <mergeCell ref="N11:O11"/>
    <mergeCell ref="K8:M8"/>
    <mergeCell ref="AA7:AB9"/>
    <mergeCell ref="V13:X13"/>
    <mergeCell ref="N13:O13"/>
    <mergeCell ref="B13:C15"/>
    <mergeCell ref="F13:G15"/>
    <mergeCell ref="H15:J15"/>
    <mergeCell ref="K15:M15"/>
    <mergeCell ref="K13:M13"/>
    <mergeCell ref="H16:J16"/>
    <mergeCell ref="K16:M16"/>
    <mergeCell ref="N16:O16"/>
    <mergeCell ref="B16:C18"/>
    <mergeCell ref="F16:G18"/>
    <mergeCell ref="H17:J17"/>
    <mergeCell ref="D16:E18"/>
    <mergeCell ref="H18:J18"/>
    <mergeCell ref="K18:M18"/>
    <mergeCell ref="B1:AB2"/>
    <mergeCell ref="C3:E3"/>
    <mergeCell ref="G3:L3"/>
    <mergeCell ref="P4:U4"/>
    <mergeCell ref="Y7:Z9"/>
    <mergeCell ref="P10:U10"/>
    <mergeCell ref="Y10:Z12"/>
    <mergeCell ref="AA10:AB12"/>
    <mergeCell ref="H11:J11"/>
    <mergeCell ref="K11:M11"/>
    <mergeCell ref="D10:E12"/>
    <mergeCell ref="K10:M10"/>
    <mergeCell ref="N10:O10"/>
    <mergeCell ref="H10:J10"/>
    <mergeCell ref="F4:G6"/>
    <mergeCell ref="Y4:Z6"/>
    <mergeCell ref="AA4:AB6"/>
    <mergeCell ref="B7:C9"/>
    <mergeCell ref="F7:G9"/>
    <mergeCell ref="B4:C6"/>
    <mergeCell ref="D4:E6"/>
    <mergeCell ref="H9:J9"/>
    <mergeCell ref="K9:M9"/>
    <mergeCell ref="H12:J12"/>
    <mergeCell ref="P16:U16"/>
    <mergeCell ref="K14:M14"/>
    <mergeCell ref="N14:O14"/>
    <mergeCell ref="Y16:Z18"/>
    <mergeCell ref="AA16:AB18"/>
    <mergeCell ref="K17:M17"/>
    <mergeCell ref="N17:O17"/>
    <mergeCell ref="V14:X14"/>
    <mergeCell ref="V15:X15"/>
    <mergeCell ref="V16:X16"/>
    <mergeCell ref="V17:X17"/>
    <mergeCell ref="V18:X18"/>
    <mergeCell ref="P19:U19"/>
    <mergeCell ref="Y19:Z21"/>
    <mergeCell ref="AA19:AB21"/>
    <mergeCell ref="H20:J20"/>
    <mergeCell ref="K20:M20"/>
    <mergeCell ref="N20:O20"/>
    <mergeCell ref="V19:X19"/>
    <mergeCell ref="V20:X20"/>
    <mergeCell ref="V21:X21"/>
    <mergeCell ref="N19:O19"/>
    <mergeCell ref="H21:J21"/>
    <mergeCell ref="K21:M21"/>
    <mergeCell ref="H19:J19"/>
    <mergeCell ref="K19:M19"/>
    <mergeCell ref="D22:E24"/>
    <mergeCell ref="H22:J22"/>
    <mergeCell ref="K22:M22"/>
    <mergeCell ref="N22:O22"/>
    <mergeCell ref="B22:C24"/>
    <mergeCell ref="F22:G24"/>
    <mergeCell ref="H24:J24"/>
    <mergeCell ref="K24:M24"/>
    <mergeCell ref="B19:C21"/>
    <mergeCell ref="F19:G21"/>
    <mergeCell ref="D19:E21"/>
    <mergeCell ref="P22:U22"/>
    <mergeCell ref="Y22:Z24"/>
    <mergeCell ref="AA22:AB24"/>
    <mergeCell ref="H23:J23"/>
    <mergeCell ref="K23:M23"/>
    <mergeCell ref="N23:O23"/>
    <mergeCell ref="V22:X22"/>
    <mergeCell ref="V23:X23"/>
    <mergeCell ref="V24:X24"/>
    <mergeCell ref="AA31:AB33"/>
    <mergeCell ref="H32:J32"/>
    <mergeCell ref="K32:M32"/>
    <mergeCell ref="K33:M33"/>
    <mergeCell ref="V31:X31"/>
    <mergeCell ref="V32:X32"/>
    <mergeCell ref="V33:X33"/>
    <mergeCell ref="H33:J33"/>
    <mergeCell ref="K31:M31"/>
    <mergeCell ref="N31:O31"/>
    <mergeCell ref="N32:O32"/>
    <mergeCell ref="P31:U31"/>
    <mergeCell ref="B31:C33"/>
    <mergeCell ref="F31:G33"/>
    <mergeCell ref="D25:E27"/>
    <mergeCell ref="B25:C27"/>
    <mergeCell ref="F25:G27"/>
    <mergeCell ref="B28:C30"/>
    <mergeCell ref="D31:E33"/>
    <mergeCell ref="H31:J31"/>
    <mergeCell ref="Y31:Z33"/>
    <mergeCell ref="D28:E30"/>
    <mergeCell ref="H28:J28"/>
    <mergeCell ref="H29:J29"/>
    <mergeCell ref="K28:M28"/>
    <mergeCell ref="N28:O28"/>
    <mergeCell ref="P28:U28"/>
    <mergeCell ref="F28:G30"/>
    <mergeCell ref="H30:J30"/>
    <mergeCell ref="Y25:Z27"/>
    <mergeCell ref="V28:X28"/>
    <mergeCell ref="V25:X25"/>
    <mergeCell ref="V26:X26"/>
    <mergeCell ref="V27:X27"/>
    <mergeCell ref="N25:O25"/>
    <mergeCell ref="B10:C12"/>
    <mergeCell ref="F10:G12"/>
    <mergeCell ref="V4:X6"/>
    <mergeCell ref="V7:X7"/>
    <mergeCell ref="V8:X8"/>
    <mergeCell ref="V9:X9"/>
    <mergeCell ref="V10:X10"/>
    <mergeCell ref="V11:X11"/>
    <mergeCell ref="V12:X12"/>
    <mergeCell ref="P6:Q6"/>
    <mergeCell ref="R5:S5"/>
    <mergeCell ref="R6:S6"/>
    <mergeCell ref="T5:U5"/>
    <mergeCell ref="T6:U6"/>
    <mergeCell ref="H4:J6"/>
    <mergeCell ref="K4:M6"/>
    <mergeCell ref="N4:O6"/>
    <mergeCell ref="P5:Q5"/>
    <mergeCell ref="H8:J8"/>
    <mergeCell ref="K12:M12"/>
  </mergeCells>
  <phoneticPr fontId="1"/>
  <printOptions horizontalCentered="1" verticalCentered="1"/>
  <pageMargins left="0" right="0" top="0" bottom="0" header="0" footer="0"/>
  <pageSetup paperSize="9" scale="9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  <SharedWithUsers xmlns="c150e9fd-535a-4b9a-a5f4-a818706e335b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553B6C1-324F-48C5-9215-68FC69D42448}"/>
</file>

<file path=customXml/itemProps2.xml><?xml version="1.0" encoding="utf-8"?>
<ds:datastoreItem xmlns:ds="http://schemas.openxmlformats.org/officeDocument/2006/customXml" ds:itemID="{2F131447-3583-410C-B178-FE4EA5B8C0F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DC61BAD-8B08-48D8-B974-BD0FB6159CE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D67537E-6C4C-4692-A808-87DA28F971F2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090204</dc:creator>
  <cp:lastModifiedBy>堀内 英史</cp:lastModifiedBy>
  <cp:lastPrinted>2011-09-15T08:16:06Z</cp:lastPrinted>
  <dcterms:created xsi:type="dcterms:W3CDTF">2011-09-14T10:17:34Z</dcterms:created>
  <dcterms:modified xsi:type="dcterms:W3CDTF">2026-06-09T04:20:54Z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堀内 英史</vt:lpwstr>
  </property>
  <property fmtid="{D5CDD505-2E9C-101B-9397-08002B2CF9AE}" pid="3" name="Order">
    <vt:lpwstr>31848600.0000000</vt:lpwstr>
  </property>
  <property fmtid="{D5CDD505-2E9C-101B-9397-08002B2CF9AE}" pid="4" name="_ExtendedDescription">
    <vt:lpwstr/>
  </property>
  <property fmtid="{D5CDD505-2E9C-101B-9397-08002B2CF9AE}" pid="5" name="SharedWithUsers">
    <vt:lpwstr/>
  </property>
  <property fmtid="{D5CDD505-2E9C-101B-9397-08002B2CF9AE}" pid="6" name="display_urn:schemas-microsoft-com:office:office#Author">
    <vt:lpwstr>堀内 英史</vt:lpwstr>
  </property>
  <property fmtid="{D5CDD505-2E9C-101B-9397-08002B2CF9AE}" pid="7" name="ComplianceAssetId">
    <vt:lpwstr/>
  </property>
  <property fmtid="{D5CDD505-2E9C-101B-9397-08002B2CF9AE}" pid="8" name="TriggerFlowInfo">
    <vt:lpwstr/>
  </property>
  <property fmtid="{D5CDD505-2E9C-101B-9397-08002B2CF9AE}" pid="9" name="ContentTypeId">
    <vt:lpwstr>0x0101007FA6D4543145724180696487D743FC46</vt:lpwstr>
  </property>
  <property fmtid="{D5CDD505-2E9C-101B-9397-08002B2CF9AE}" pid="10" name="MediaServiceImageTags">
    <vt:lpwstr/>
  </property>
</Properties>
</file>