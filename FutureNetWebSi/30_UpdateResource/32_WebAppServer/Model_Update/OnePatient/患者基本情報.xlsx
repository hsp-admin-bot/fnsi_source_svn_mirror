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F97004B0-E547-4474-9FB5-F2705A02C747}" xr6:coauthVersionLast="47" xr6:coauthVersionMax="47" xr10:uidLastSave="{00000000-0000-0000-0000-000000000000}"/>
  <bookViews>
    <workbookView xWindow="-120" yWindow="-120" windowWidth="29040" windowHeight="17520" firstSheet="4" activeTab="4" xr2:uid="{00000000-000D-0000-FFFF-FFFF00000000}"/>
  </bookViews>
  <sheets>
    <sheet name="グループ" sheetId="7" state="veryHidden" r:id="rId1"/>
    <sheet name="パラメータ" sheetId="6" state="veryHidden" r:id="rId2"/>
    <sheet name="設定" sheetId="5" state="veryHidden" r:id="rId3"/>
    <sheet name="更新履歴" sheetId="8" state="veryHidden" r:id="rId4"/>
    <sheet name="レイアウト" sheetId="4" r:id="rId5"/>
  </sheets>
  <definedNames>
    <definedName name="_xlnm.Print_Area" localSheetId="4">レイアウト!$A$1:$M$58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4" l="1"/>
  <c r="B19" i="4"/>
  <c r="J5" i="4"/>
  <c r="B21" i="4"/>
  <c r="B10" i="4"/>
  <c r="B9" i="4"/>
  <c r="B8" i="4"/>
</calcChain>
</file>

<file path=xl/sharedStrings.xml><?xml version="1.0" encoding="utf-8"?>
<sst xmlns="http://schemas.openxmlformats.org/spreadsheetml/2006/main" count="2655" uniqueCount="553">
  <si>
    <t>OnePatient</t>
  </si>
  <si>
    <t>【患者基本情報】</t>
    <rPh sb="1" eb="3">
      <t>カンジャ</t>
    </rPh>
    <rPh sb="3" eb="5">
      <t>キホン</t>
    </rPh>
    <rPh sb="5" eb="7">
      <t>ジョウホウ</t>
    </rPh>
    <phoneticPr fontId="2"/>
  </si>
  <si>
    <t>患者ID</t>
    <rPh sb="0" eb="2">
      <t>カンジャ</t>
    </rPh>
    <phoneticPr fontId="2"/>
  </si>
  <si>
    <t>フリガナ</t>
    <phoneticPr fontId="2"/>
  </si>
  <si>
    <t>患者氏名</t>
    <rPh sb="0" eb="2">
      <t>カンジャ</t>
    </rPh>
    <rPh sb="2" eb="4">
      <t>シメイ</t>
    </rPh>
    <phoneticPr fontId="2"/>
  </si>
  <si>
    <t>生年月日</t>
    <rPh sb="0" eb="2">
      <t>セイネン</t>
    </rPh>
    <rPh sb="2" eb="4">
      <t>ガッピ</t>
    </rPh>
    <phoneticPr fontId="2"/>
  </si>
  <si>
    <t>血液型</t>
    <rPh sb="0" eb="2">
      <t>ケツエキ</t>
    </rPh>
    <rPh sb="2" eb="3">
      <t>ガタ</t>
    </rPh>
    <phoneticPr fontId="2"/>
  </si>
  <si>
    <t>＜本人連絡先＞</t>
    <rPh sb="1" eb="3">
      <t>ホンニン</t>
    </rPh>
    <rPh sb="3" eb="6">
      <t>レンラクサキ</t>
    </rPh>
    <phoneticPr fontId="2"/>
  </si>
  <si>
    <t>住所</t>
    <rPh sb="0" eb="2">
      <t>ジュウショ</t>
    </rPh>
    <phoneticPr fontId="2"/>
  </si>
  <si>
    <t>電話番号</t>
    <rPh sb="0" eb="2">
      <t>デンワ</t>
    </rPh>
    <rPh sb="2" eb="4">
      <t>バンゴウ</t>
    </rPh>
    <phoneticPr fontId="2"/>
  </si>
  <si>
    <t>携帯番号</t>
    <rPh sb="0" eb="2">
      <t>ケイタイ</t>
    </rPh>
    <rPh sb="2" eb="4">
      <t>バンゴウ</t>
    </rPh>
    <phoneticPr fontId="2"/>
  </si>
  <si>
    <t>透析導入日</t>
    <rPh sb="0" eb="2">
      <t>トウセキ</t>
    </rPh>
    <rPh sb="2" eb="4">
      <t>ドウニュウ</t>
    </rPh>
    <rPh sb="4" eb="5">
      <t>ビ</t>
    </rPh>
    <phoneticPr fontId="2"/>
  </si>
  <si>
    <t>導入施設</t>
    <rPh sb="0" eb="2">
      <t>ドウニュウ</t>
    </rPh>
    <rPh sb="2" eb="4">
      <t>シセツ</t>
    </rPh>
    <phoneticPr fontId="2"/>
  </si>
  <si>
    <t>原疾患</t>
    <rPh sb="0" eb="1">
      <t>ゲン</t>
    </rPh>
    <rPh sb="1" eb="3">
      <t>シッカン</t>
    </rPh>
    <phoneticPr fontId="2"/>
  </si>
  <si>
    <t>重症度</t>
    <rPh sb="0" eb="2">
      <t>ジュウショウ</t>
    </rPh>
    <rPh sb="2" eb="3">
      <t>ド</t>
    </rPh>
    <phoneticPr fontId="2"/>
  </si>
  <si>
    <t>搬送区分</t>
    <rPh sb="0" eb="2">
      <t>ハンソウ</t>
    </rPh>
    <rPh sb="2" eb="4">
      <t>クブン</t>
    </rPh>
    <phoneticPr fontId="2"/>
  </si>
  <si>
    <t>透析困難</t>
    <rPh sb="0" eb="2">
      <t>トウセキ</t>
    </rPh>
    <rPh sb="2" eb="4">
      <t>コンナン</t>
    </rPh>
    <phoneticPr fontId="2"/>
  </si>
  <si>
    <t>透析回数</t>
    <rPh sb="0" eb="2">
      <t>トウセキ</t>
    </rPh>
    <rPh sb="2" eb="4">
      <t>カイスウ</t>
    </rPh>
    <phoneticPr fontId="2"/>
  </si>
  <si>
    <t>＜緊急連絡先＞</t>
    <rPh sb="1" eb="3">
      <t>キンキュウ</t>
    </rPh>
    <rPh sb="3" eb="6">
      <t>レンラクサキ</t>
    </rPh>
    <phoneticPr fontId="2"/>
  </si>
  <si>
    <t>氏名</t>
    <rPh sb="0" eb="2">
      <t>シメイ</t>
    </rPh>
    <phoneticPr fontId="2"/>
  </si>
  <si>
    <t>続柄</t>
    <rPh sb="0" eb="2">
      <t>ゾクガラ</t>
    </rPh>
    <phoneticPr fontId="2"/>
  </si>
  <si>
    <t>〒</t>
    <phoneticPr fontId="2"/>
  </si>
  <si>
    <t>＜入外情報＞</t>
    <rPh sb="1" eb="2">
      <t>ニュウ</t>
    </rPh>
    <rPh sb="2" eb="3">
      <t>ガイ</t>
    </rPh>
    <rPh sb="3" eb="5">
      <t>ジョウホウ</t>
    </rPh>
    <phoneticPr fontId="2"/>
  </si>
  <si>
    <t>入外区分</t>
    <rPh sb="0" eb="1">
      <t>ニュウ</t>
    </rPh>
    <rPh sb="1" eb="2">
      <t>ガイ</t>
    </rPh>
    <rPh sb="2" eb="4">
      <t>クブン</t>
    </rPh>
    <phoneticPr fontId="2"/>
  </si>
  <si>
    <t>診療科</t>
    <rPh sb="0" eb="3">
      <t>シンリョウカ</t>
    </rPh>
    <phoneticPr fontId="2"/>
  </si>
  <si>
    <t>病棟名</t>
    <rPh sb="0" eb="2">
      <t>ビョウトウ</t>
    </rPh>
    <rPh sb="2" eb="3">
      <t>メイ</t>
    </rPh>
    <phoneticPr fontId="2"/>
  </si>
  <si>
    <t>主治医</t>
    <rPh sb="0" eb="3">
      <t>シュジイ</t>
    </rPh>
    <phoneticPr fontId="2"/>
  </si>
  <si>
    <t>＜禁忌＞</t>
    <rPh sb="1" eb="3">
      <t>キンキ</t>
    </rPh>
    <phoneticPr fontId="2"/>
  </si>
  <si>
    <t>感染症</t>
    <rPh sb="0" eb="3">
      <t>カンセンショウ</t>
    </rPh>
    <phoneticPr fontId="2"/>
  </si>
  <si>
    <t>＜メモ＞</t>
    <phoneticPr fontId="2"/>
  </si>
  <si>
    <t>グループ</t>
  </si>
  <si>
    <t/>
  </si>
  <si>
    <t>0</t>
  </si>
  <si>
    <t>staff0002</t>
  </si>
  <si>
    <t>2025/06/30 10:57:30</t>
  </si>
  <si>
    <t>帳票設定</t>
  </si>
  <si>
    <t xml:space="preserve">有り_x000D_
</t>
  </si>
  <si>
    <t>##患者情報.本人情報.患者ID</t>
  </si>
  <si>
    <t>##患者情報.本人情報.フリガナ</t>
  </si>
  <si>
    <t>##患者情報.本人情報.患者名</t>
  </si>
  <si>
    <t>##患者情報.本人情報.性別</t>
  </si>
  <si>
    <t>##患者情報.本人情報.生年月日</t>
  </si>
  <si>
    <t>##患者情報.本人情報.年齢</t>
  </si>
  <si>
    <t>##患者情報.本人情報.年齢</t>
    <phoneticPr fontId="1"/>
  </si>
  <si>
    <t>##患者情報.本人情報.血液型ABORH</t>
  </si>
  <si>
    <t>##患者情報.本人情報.郵便番号</t>
  </si>
  <si>
    <t>##患者情報.本人情報.住所</t>
  </si>
  <si>
    <t>##患者情報.本人情報.電話番号1</t>
  </si>
  <si>
    <t>##患者情報.本人情報.電話番号2</t>
  </si>
  <si>
    <t>##患者情報.診療情報.透析導入日</t>
  </si>
  <si>
    <t>##患者情報.診療情報.透析導入施設</t>
  </si>
  <si>
    <t>##患者情報.診療情報.当院開始日</t>
  </si>
  <si>
    <t>##患者情報.原疾患.病名</t>
  </si>
  <si>
    <t>##患者情報.透析困難・重症度・搬送区分.重症度</t>
  </si>
  <si>
    <t>##患者情報.透析困難・重症度・搬送区分.搬送区分</t>
  </si>
  <si>
    <t>##患者情報.透析困難・重症度・搬送区分.透析困難理由</t>
  </si>
  <si>
    <t>##患者情報.診療情報.透析回数</t>
  </si>
  <si>
    <t>##患者情報.連絡先.氏名</t>
  </si>
  <si>
    <t>##患者情報.連絡先.続柄</t>
  </si>
  <si>
    <t>##患者情報.連絡先.住所</t>
  </si>
  <si>
    <t>##患者情報.連絡先.郵便番号</t>
  </si>
  <si>
    <t>##患者情報.連絡先.電話番号1</t>
  </si>
  <si>
    <t>##患者情報.連絡先.電話番号2</t>
  </si>
  <si>
    <t>##患者情報.本人情報.入外区分</t>
  </si>
  <si>
    <t>##患者情報.診療情報.診療科</t>
  </si>
  <si>
    <t>##患者情報.診療情報.病棟名</t>
  </si>
  <si>
    <t>##患者情報.担当者.主治医1</t>
  </si>
  <si>
    <t>##患者情報.禁忌・アレルギー.内容</t>
  </si>
  <si>
    <t>##患者情報.感染症(+)(-)(不明).感染症検査日</t>
  </si>
  <si>
    <t>##患者情報.感染症(+)(-)(不明).感染症</t>
  </si>
  <si>
    <t>1</t>
  </si>
  <si>
    <t>N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</si>
  <si>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</si>
  <si>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</si>
  <si>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</si>
  <si>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</si>
  <si>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</si>
  <si>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</si>
  <si>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</si>
  <si>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</si>
  <si>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</si>
  <si>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</si>
  <si>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</si>
  <si>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</si>
  <si>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</si>
  <si>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</si>
  <si>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</si>
  <si>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</si>
  <si>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</si>
  <si>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</si>
  <si>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</si>
  <si>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</si>
  <si>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</si>
  <si>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</si>
  <si>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</si>
  <si>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</si>
  <si>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</si>
  <si>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</si>
  <si>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患者情報</t>
  </si>
  <si>
    <t>本人情報</t>
  </si>
  <si>
    <t>患者ID</t>
  </si>
  <si>
    <t>hosp_pat_id</t>
  </si>
  <si>
    <t>string</t>
  </si>
  <si>
    <t>123456789012</t>
  </si>
  <si>
    <t>G/標準</t>
  </si>
  <si>
    <t>False</t>
  </si>
  <si>
    <t>B3:I3</t>
  </si>
  <si>
    <t>フリガナ</t>
  </si>
  <si>
    <t>pat_name_kana</t>
  </si>
  <si>
    <t>ニッキソウ　タロウ</t>
  </si>
  <si>
    <t>B4:I4</t>
  </si>
  <si>
    <t>患者名</t>
  </si>
  <si>
    <t>pat_name</t>
  </si>
  <si>
    <t>日機装　太郎</t>
  </si>
  <si>
    <t>B5:D6</t>
  </si>
  <si>
    <t>性別</t>
  </si>
  <si>
    <t>pat_sex</t>
  </si>
  <si>
    <t>男性</t>
  </si>
  <si>
    <t>&lt;convTable cls=""&gt;&lt;conv code="0" item="不明" disp="不明" /&gt;&lt;conv code="1" item="男性" disp="男" /&gt;&lt;conv code="2" item="女性" disp="女" /&gt;&lt;/convTable&gt;</t>
  </si>
  <si>
    <t>E5:E6</t>
  </si>
  <si>
    <t>生年月日</t>
  </si>
  <si>
    <t>pat_birthday</t>
  </si>
  <si>
    <t>DateTime</t>
  </si>
  <si>
    <t>J5</t>
  </si>
  <si>
    <t>年齢</t>
  </si>
  <si>
    <t>pat_age</t>
  </si>
  <si>
    <t>decimal</t>
  </si>
  <si>
    <t>70</t>
  </si>
  <si>
    <t>K5</t>
  </si>
  <si>
    <t>血液型ABORH</t>
  </si>
  <si>
    <t>pat_blood_type_abo_rh</t>
  </si>
  <si>
    <t>A型 Rh-</t>
  </si>
  <si>
    <t>25</t>
  </si>
  <si>
    <t>G6:I6</t>
  </si>
  <si>
    <t>郵便番号</t>
  </si>
  <si>
    <t>pat_zip</t>
  </si>
  <si>
    <t>150-8677</t>
  </si>
  <si>
    <t>J8</t>
  </si>
  <si>
    <t>住所</t>
  </si>
  <si>
    <t>pat_address</t>
  </si>
  <si>
    <t>東京都渋谷区恵比寿3-43-2 日機装第１別館１F</t>
  </si>
  <si>
    <t>B9:I9</t>
  </si>
  <si>
    <t>電話番号1</t>
  </si>
  <si>
    <t>pat_tel1</t>
  </si>
  <si>
    <t>03-1234-5678</t>
  </si>
  <si>
    <t>B11:I11</t>
  </si>
  <si>
    <t>電話番号2</t>
  </si>
  <si>
    <t>pat_tel2</t>
  </si>
  <si>
    <t>090-1234-5678</t>
  </si>
  <si>
    <t>B12:I12</t>
  </si>
  <si>
    <t>診療情報</t>
  </si>
  <si>
    <t>透析導入日</t>
  </si>
  <si>
    <t>19</t>
  </si>
  <si>
    <t>dialysis_start_date</t>
  </si>
  <si>
    <t>B14:E14</t>
  </si>
  <si>
    <t>透析導入施設</t>
  </si>
  <si>
    <t>facility_name</t>
  </si>
  <si>
    <t>日機装病院</t>
  </si>
  <si>
    <t>G14:I14</t>
  </si>
  <si>
    <t>B15:E15</t>
  </si>
  <si>
    <t>原疾患</t>
  </si>
  <si>
    <t>病名</t>
  </si>
  <si>
    <t>26</t>
  </si>
  <si>
    <t>disease_name</t>
  </si>
  <si>
    <t>慢性糸球体腎炎</t>
  </si>
  <si>
    <t>B16:I16</t>
  </si>
  <si>
    <t>透析困難・重症度・搬送区分</t>
  </si>
  <si>
    <t>重症度</t>
  </si>
  <si>
    <t>severity_name</t>
  </si>
  <si>
    <t>定期（部分介助）</t>
  </si>
  <si>
    <t>B17:I17</t>
  </si>
  <si>
    <t>搬送区分</t>
  </si>
  <si>
    <t>transport_name</t>
  </si>
  <si>
    <t>車椅子</t>
  </si>
  <si>
    <t>B18:I18</t>
  </si>
  <si>
    <t>透析困難理由</t>
  </si>
  <si>
    <t>42</t>
  </si>
  <si>
    <t>pat_dial_diff_name</t>
  </si>
  <si>
    <t>高血圧</t>
  </si>
  <si>
    <t>True</t>
  </si>
  <si>
    <t>B19:I19</t>
  </si>
  <si>
    <t>患者情報.透析困難・重症度・搬送区分</t>
  </si>
  <si>
    <t>透析回数</t>
  </si>
  <si>
    <t>pat_dialysis_count</t>
  </si>
  <si>
    <t>100</t>
  </si>
  <si>
    <t>B21:I21</t>
  </si>
  <si>
    <t>連絡先</t>
  </si>
  <si>
    <t>氏名</t>
  </si>
  <si>
    <t>40</t>
  </si>
  <si>
    <t>other_name</t>
  </si>
  <si>
    <t>日機装　次郎</t>
  </si>
  <si>
    <t>B23:E23</t>
  </si>
  <si>
    <t>34</t>
  </si>
  <si>
    <t>患者情報.連絡先</t>
  </si>
  <si>
    <t>続柄</t>
  </si>
  <si>
    <t>relation_name</t>
  </si>
  <si>
    <t>弟</t>
  </si>
  <si>
    <t>G23:I23</t>
  </si>
  <si>
    <t>zip_cd</t>
  </si>
  <si>
    <t>C24:I24</t>
  </si>
  <si>
    <t>address</t>
  </si>
  <si>
    <t>東京都渋谷区恵比寿2-27-10 日機装第２別館</t>
  </si>
  <si>
    <t>B25:I25</t>
  </si>
  <si>
    <t>tel1</t>
  </si>
  <si>
    <t>03-9876-5432</t>
  </si>
  <si>
    <t>B27:I27</t>
  </si>
  <si>
    <t>tel2</t>
  </si>
  <si>
    <t>080-9876-5432</t>
  </si>
  <si>
    <t>B28:I28</t>
  </si>
  <si>
    <t>入外区分</t>
  </si>
  <si>
    <t>in_out_class</t>
  </si>
  <si>
    <t>外来</t>
  </si>
  <si>
    <t>B30:I30</t>
  </si>
  <si>
    <t>診療科</t>
  </si>
  <si>
    <t>main_course_name</t>
  </si>
  <si>
    <t>泌尿器科</t>
  </si>
  <si>
    <t>B31:E31</t>
  </si>
  <si>
    <t>病棟名</t>
  </si>
  <si>
    <t>ward_name</t>
  </si>
  <si>
    <t>A棟</t>
  </si>
  <si>
    <t>G31:I31</t>
  </si>
  <si>
    <t>担当者</t>
  </si>
  <si>
    <t>主治医1</t>
  </si>
  <si>
    <t>20</t>
  </si>
  <si>
    <t>doctor1_name</t>
  </si>
  <si>
    <t>テスト医師1</t>
  </si>
  <si>
    <t>B32:I32</t>
  </si>
  <si>
    <t>禁忌・アレルギー</t>
  </si>
  <si>
    <t>内容</t>
  </si>
  <si>
    <t>22</t>
  </si>
  <si>
    <t>content</t>
  </si>
  <si>
    <t>テスト薬剤（禁忌・アレルギー）</t>
  </si>
  <si>
    <t>A34:C34</t>
  </si>
  <si>
    <t>患者情報.禁忌・アレルギー</t>
  </si>
  <si>
    <t>感染症(+)(-)(不明)</t>
  </si>
  <si>
    <t>感染症検査日</t>
  </si>
  <si>
    <t>exam_date</t>
  </si>
  <si>
    <t>G39:I39</t>
  </si>
  <si>
    <t>患者情報.感染症(+)(-)(不明)</t>
  </si>
  <si>
    <t>感染症</t>
  </si>
  <si>
    <t>infection_name</t>
  </si>
  <si>
    <t>Hbc抗体</t>
  </si>
  <si>
    <t>J39</t>
  </si>
  <si>
    <t>2025/06/30 11:12:11</t>
  </si>
  <si>
    <t xml:space="preserve">新規追加_x000D_
改頁しない_x000D_
プレビューデータ:123456789012_x000D_
書式:G/標準_x000D_
縮小しない_x000D_
テンプレート内外:_x000D_
</t>
  </si>
  <si>
    <t xml:space="preserve">新規追加_x000D_
改頁しない_x000D_
プレビューデータ:ニッキソウ　タロウ_x000D_
書式:G/標準_x000D_
縮小しない_x000D_
テンプレート内外:_x000D_
</t>
  </si>
  <si>
    <t xml:space="preserve">新規追加_x000D_
改頁しない_x000D_
プレビューデータ:日機装　太郎_x000D_
書式:G/標準_x000D_
縮小しない_x000D_
テンプレート内外:_x000D_
</t>
  </si>
  <si>
    <t xml:space="preserve">新規追加_x000D_
改頁しない_x000D_
プレビューデータ:男性_x000D_
書式:G/標準_x000D_
データ変換:&lt;convTable cls=""&gt;&lt;conv code="0" item="不明" disp="不明" /&gt;&lt;conv code="1" item="男性" disp="男" /&gt;&lt;conv code="2" item="女性" disp="女" /&gt;&lt;/convTable&gt;_x000D_
縮小しない_x000D_
テンプレート内外:_x000D_
</t>
  </si>
  <si>
    <t xml:space="preserve">新規追加_x000D_
改頁しない_x000D_
プレビューデータ:2025/06/30_x000D_
書式:yyyy/mm/dd_x000D_
縮小しない_x000D_
テンプレート内外:_x000D_
</t>
  </si>
  <si>
    <t xml:space="preserve">新規追加_x000D_
改頁しない_x000D_
プレビューデータ:70_x000D_
書式:0_x000D_
縮小しない_x000D_
テンプレート内外:_x000D_
</t>
  </si>
  <si>
    <t xml:space="preserve">新規追加_x000D_
表示文字数:25_x000D_
改頁しない_x000D_
プレビューデータ:A型 Rh-_x000D_
書式:G/標準_x000D_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</si>
  <si>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 xml:space="preserve">新規追加_x000D_
改頁しない_x000D_
プレビューデータ:150-8677_x000D_
書式:G/標準_x000D_
縮小しない_x000D_
テンプレート内外:_x000D_
</t>
  </si>
  <si>
    <t xml:space="preserve">新規追加_x000D_
表示文字数:73_x000D_
改頁しない_x000D_
プレビューデータ:東京都渋谷区恵比寿3-43-2 日機装第１別館１F_x000D_
書式:G/標準_x000D_
縮小しない_x000D_
テンプレート内外:_x000D_
</t>
  </si>
  <si>
    <t xml:space="preserve">新規追加_x000D_
表示文字数:73_x000D_
改頁しない_x000D_
プレビューデータ:03-1234-5678_x000D_
書式:G/標準_x000D_
縮小しない_x000D_
テンプレート内外:_x000D_
</t>
  </si>
  <si>
    <t xml:space="preserve">新規追加_x000D_
表示文字数:73_x000D_
改頁しない_x000D_
プレビューデータ:090-1234-5678_x000D_
書式:G/標準_x000D_
縮小しない_x000D_
テンプレート内外:_x000D_
</t>
  </si>
  <si>
    <t xml:space="preserve">新規追加_x000D_
改頁しない_x000D_
プレビューデータ:2000/02/10_x000D_
書式:yyyy/mm/dd_x000D_
縮小しない_x000D_
テンプレート内外:_x000D_
</t>
  </si>
  <si>
    <t xml:space="preserve">新規追加_x000D_
表示文字数:25_x000D_
改頁しない_x000D_
プレビューデータ:日機装病院_x000D_
書式:G/標準_x000D_
縮小しない_x000D_
テンプレート内外:_x000D_
</t>
  </si>
  <si>
    <t xml:space="preserve">新規追加_x000D_
改頁しない_x000D_
プレビューデータ:2005/08/18_x000D_
書式:yyyy/mm/dd_x000D_
縮小しない_x000D_
テンプレート内外:_x000D_
</t>
  </si>
  <si>
    <t xml:space="preserve">新規追加_x000D_
表示文字数:73_x000D_
改頁しない_x000D_
プレビューデータ:慢性糸球体腎炎_x000D_
書式:G/標準_x000D_
縮小しない_x000D_
テンプレート内外:_x000D_
</t>
  </si>
  <si>
    <t xml:space="preserve">新規追加_x000D_
表示文字数:73_x000D_
改頁しない_x000D_
プレビューデータ:定期（部分介助）_x000D_
書式:G/標準_x000D_
縮小しない_x000D_
テンプレート内外:_x000D_
</t>
  </si>
  <si>
    <t xml:space="preserve">新規追加_x000D_
表示文字数:73_x000D_
改頁しない_x000D_
プレビューデータ:車椅子_x000D_
書式:G/標準_x000D_
縮小しない_x000D_
テンプレート内外:_x000D_
</t>
  </si>
  <si>
    <t xml:space="preserve">新規追加_x000D_
表示文字数:73_x000D_
改頁しない_x000D_
繰返場所:B19:I19_x000D_
グループ名:患者情報.透析困難・重症度・搬送区分_x000D_
プレビューデータ:高血圧_x000D_
書式:G/標準_x000D_
縮小しない_x000D_
テンプレート内外:_x000D_
</t>
  </si>
  <si>
    <t xml:space="preserve">新規追加_x000D_
改頁しない_x000D_
プレビューデータ:100_x000D_
書式:0_x000D_
縮小しない_x000D_
テンプレート内外:_x000D_
</t>
  </si>
  <si>
    <t xml:space="preserve">新規追加_x000D_
表示文字数:34_x000D_
改頁しない_x000D_
繰返場所:B23:E23_x000D_
グループ名:患者情報.連絡先_x000D_
プレビューデータ:日機装　次郎_x000D_
書式:G/標準_x000D_
縮小しない_x000D_
テンプレート内外:_x000D_
</t>
  </si>
  <si>
    <t xml:space="preserve">新規追加_x000D_
表示文字数:25_x000D_
改頁しない_x000D_
繰返場所:G23:I23_x000D_
グループ名:患者情報.連絡先_x000D_
プレビューデータ:弟_x000D_
書式:G/標準_x000D_
縮小しない_x000D_
テンプレート内外:_x000D_
</t>
  </si>
  <si>
    <t xml:space="preserve">新規追加_x000D_
表示文字数:70_x000D_
改頁しない_x000D_
繰返場所:C24:I24_x000D_
グループ名:患者情報.連絡先_x000D_
プレビューデータ:150-8677_x000D_
書式:G/標準_x000D_
縮小しない_x000D_
テンプレート内外:_x000D_
</t>
  </si>
  <si>
    <t xml:space="preserve">新規追加_x000D_
表示文字数:73_x000D_
改頁しない_x000D_
繰返場所:B25:I25_x000D_
グループ名:患者情報.連絡先_x000D_
プレビューデータ:東京都渋谷区恵比寿2-27-10 日機装第２別館_x000D_
書式:G/標準_x000D_
縮小しない_x000D_
テンプレート内外:_x000D_
</t>
  </si>
  <si>
    <t xml:space="preserve">新規追加_x000D_
表示文字数:73_x000D_
改頁しない_x000D_
繰返場所:B27:I27_x000D_
グループ名:患者情報.連絡先_x000D_
プレビューデータ:03-9876-5432_x000D_
書式:G/標準_x000D_
縮小しない_x000D_
テンプレート内外:_x000D_
</t>
  </si>
  <si>
    <t xml:space="preserve">新規追加_x000D_
表示文字数:73_x000D_
改頁しない_x000D_
繰返場所:B28:I28_x000D_
グループ名:患者情報.連絡先_x000D_
プレビューデータ:080-9876-5432_x000D_
書式:G/標準_x000D_
縮小しない_x000D_
テンプレート内外:_x000D_
</t>
  </si>
  <si>
    <t xml:space="preserve">新規追加_x000D_
表示文字数:73_x000D_
改頁しない_x000D_
プレビューデータ:外来_x000D_
書式:G/標準_x000D_
データ変換:&lt;convTable cls="入外区分"&gt;&lt;conv code="0" item="外来" disp="外来" /&gt;&lt;conv code="1" item="入院" disp="入院" /&gt;&lt;conv code="2" item="死亡" disp="死亡" /&gt;&lt;conv code="3" item="(不在)" disp="(不在)" /&gt;&lt;/convTable&gt;_x000D_
縮小しない_x000D_
テンプレート内外:_x000D_
</t>
  </si>
  <si>
    <t xml:space="preserve">新規追加_x000D_
表示文字数:34_x000D_
改頁しない_x000D_
プレビューデータ:泌尿器科_x000D_
書式:G/標準_x000D_
縮小しない_x000D_
テンプレート内外:_x000D_
</t>
  </si>
  <si>
    <t xml:space="preserve">新規追加_x000D_
表示文字数:25_x000D_
改頁しない_x000D_
プレビューデータ:A棟_x000D_
書式:G/標準_x000D_
縮小しない_x000D_
テンプレート内外:_x000D_
</t>
  </si>
  <si>
    <t xml:space="preserve">新規追加_x000D_
表示文字数:73_x000D_
改頁しない_x000D_
プレビューデータ:テスト医師1_x000D_
書式:G/標準_x000D_
縮小しない_x000D_
テンプレート内外:_x000D_
</t>
  </si>
  <si>
    <t xml:space="preserve">新規追加_x000D_
改頁しない_x000D_
繰返場所:A34:C34,A35:C35,A36:C36,D34:F34,D35:F35,D36:F36,G34:I34,G35:I35,G36:I36_x000D_
グループ名:患者情報.禁忌・アレルギー_x000D_
プレビューデータ:テスト薬剤（禁忌・アレルギー）_x000D_
書式:G/標準_x000D_
縮小しない_x000D_
テンプレート内外:_x000D_
</t>
  </si>
  <si>
    <t xml:space="preserve">新規追加_x000D_
改頁しない_x000D_
繰返場所:G39:I39_x000D_
グループ名:患者情報.感染症(+)(-)(不明)_x000D_
プレビューデータ:2011/05/01_x000D_
書式:yyyy/mm/dd_x000D_
縮小しない_x000D_
テンプレート内外:_x000D_
</t>
  </si>
  <si>
    <t xml:space="preserve">新規追加_x000D_
表示文字数:8_x000D_
改頁しない_x000D_
繰返場所:J39_x000D_
グループ名:患者情報.感染症(+)(-)(不明)_x000D_
プレビューデータ:Hbc抗体_x000D_
書式:G/標準_x000D_
縮小しない_x000D_
テンプレート内外:_x000D_
</t>
  </si>
  <si>
    <t>GroupPath</t>
  </si>
  <si>
    <t>RepeatCount</t>
  </si>
  <si>
    <t>患者情報.透析困難・重症度・搬送区分.患者情報.透析困難・重症度・搬送区分.B19:I19</t>
  </si>
  <si>
    <t>患者情報.連絡先.患者情報.連絡先.B23:E23</t>
  </si>
  <si>
    <t>患者情報.禁忌・アレルギー.患者情報.禁忌・アレルギー.A34:C34</t>
  </si>
  <si>
    <t>患者情報.感染症(+)(-)(不明).患者情報.感染症(+)(-)(不明).G39:I39</t>
  </si>
  <si>
    <t>2025/06/30 11:12:12</t>
  </si>
  <si>
    <t xml:space="preserve">改頁しない_x000D_
</t>
  </si>
  <si>
    <t>集計設定</t>
  </si>
  <si>
    <t xml:space="preserve">縦の合計: ⇒ 0_x000D_
横の合計: ⇒ 0_x000D_
</t>
  </si>
  <si>
    <t>2025/06/30 11:36:50</t>
  </si>
  <si>
    <t xml:space="preserve">設定変更_x000D_
データ変換:&lt;convTable cls=""&gt;&lt;conv code="0" item="外来" disp="外来" /&gt;&lt;conv code="1" item="入院" disp="入院" /&gt;&lt;conv code="2" item="死亡" disp="死亡" /&gt;&lt;conv code="3" item="(不在)" disp="(不在)" /&gt;&lt;/convTable&gt; ⇒ &lt;convTable cls="入外区分"&gt;&lt;conv code="0" item="外来" disp="外来" /&gt;&lt;conv code="1" item="入院" disp="入院" /&gt;&lt;conv code="2" item="死亡" disp="死亡" /&gt;&lt;conv code="3" item="(不在)" disp="(不在)" /&gt;&lt;/convTable&gt;_x000D_
</t>
  </si>
  <si>
    <t xml:space="preserve">設定変更_x000D_
繰返場所:G39:I39 ⇒ G39:I39,G40:I40,G41:I41,G42:I42,G43:I43,G44:I44,G45:I45,G46:I46,G47:I47,G48:I48,G49:I49,G50:I50_x000D_
</t>
  </si>
  <si>
    <t xml:space="preserve">設定変更_x000D_
表示文字数:8 ⇒ _x000D_
繰返場所:J39 ⇒ J39,J40,J41,J42,J43,J44,J45,J46,J47,J48,J49,J50_x000D_
縮小しない_x000D_
</t>
  </si>
  <si>
    <t>2025/06/30 11:37:06</t>
  </si>
  <si>
    <t>##患者情報.感染症(+)(-)(不明).感染症結果</t>
  </si>
  <si>
    <t>A39:C39</t>
  </si>
  <si>
    <t>感染症結果</t>
  </si>
  <si>
    <t>infect</t>
  </si>
  <si>
    <t>(不明)</t>
  </si>
  <si>
    <t>D39:F39</t>
  </si>
  <si>
    <t>2025/06/30 11:42:04</t>
  </si>
  <si>
    <t xml:space="preserve">新規追加_x000D_
改頁しない_x000D_
繰返場所:A39:C39,A40:C40,A41:C41,A42:C42,A43:C43,A44:C44,A45:C45,A46:C46,A47:C47,A48:C48,A49:C49,A50:C50_x000D_
グループ名:患者情報.感染症(+)(-)(不明)_x000D_
プレビューデータ:Hbc抗体_x000D_
書式:G/標準_x000D_
縮小しない_x000D_
テンプレート内外:_x000D_
</t>
  </si>
  <si>
    <t xml:space="preserve">新規追加_x000D_
改頁しない_x000D_
繰返場所:D39:F39,D40:F40,D41:F41,D42:F42,D43:F43,D44:F44,D45:F45,D46:F46,D47:F47,D48:F48,D49:F49,D50:F50_x000D_
グループ名:患者情報.感染症(+)(-)(不明)_x000D_
プレビューデータ:(不明)_x000D_
書式:G/標準_x000D_
データ変換:&lt;convTable cls=""&gt;&lt;conv code="0" item="不明" disp="不明" /&gt;&lt;conv code="1" item="(-)" disp="(-)" /&gt;&lt;conv code="2" item="(+)" disp="(+)" /&gt;&lt;/convTable&gt;_x000D_
縮小しない_x000D_
テンプレート内外:_x000D_
</t>
  </si>
  <si>
    <t>削除</t>
  </si>
  <si>
    <t>8</t>
  </si>
  <si>
    <t>2025/06/30 11:43:43</t>
  </si>
  <si>
    <t xml:space="preserve">設定変更_x000D_
表示文字数: ⇒ 8_x000D_
縮小しない_x000D_
</t>
  </si>
  <si>
    <t>2025/06/30 11:44:12</t>
  </si>
  <si>
    <t xml:space="preserve">設定変更_x000D_
表示文字数:25 ⇒ _x000D_
縮小しない_x000D_
</t>
  </si>
  <si>
    <t>2025/06/30 11:46:15</t>
  </si>
  <si>
    <t xml:space="preserve">設定変更_x000D_
改頁しない_x000D_
</t>
  </si>
  <si>
    <t>令和7年6月30日</t>
  </si>
  <si>
    <t>ggge"年"m"月"d"日"</t>
  </si>
  <si>
    <t>2025/06/30 11:52:15</t>
  </si>
  <si>
    <t xml:space="preserve">設定変更_x000D_
プレビューデータ:2025/06/30 ⇒ 令和7年6月30日_x000D_
書式:yyyy/mm/dd ⇒ ggge"年"m"月"d"日"_x000D_
</t>
  </si>
  <si>
    <t xml:space="preserve">設定変更_x000D_
表示文字数:73 ⇒ _x000D_
縮小しない_x000D_
</t>
  </si>
  <si>
    <t>2025/06/30 11:52:16</t>
  </si>
  <si>
    <t>定期日常点検・交換部品記録簿設定</t>
  </si>
  <si>
    <t xml:space="preserve">帳票区分: ⇒ 1_x000D_
</t>
  </si>
  <si>
    <t>2025/06/30 11:53:16</t>
  </si>
  <si>
    <t>2025/06/30 11:54:27</t>
  </si>
  <si>
    <t>##患者情報.本人情報.生年月日</t>
    <phoneticPr fontId="1"/>
  </si>
  <si>
    <t>B3:J3</t>
  </si>
  <si>
    <t>B4:J4</t>
  </si>
  <si>
    <t>G5:H5</t>
  </si>
  <si>
    <t>L5</t>
  </si>
  <si>
    <t>G6:J6</t>
  </si>
  <si>
    <t>K8</t>
  </si>
  <si>
    <t>B9:J9</t>
  </si>
  <si>
    <t>82</t>
  </si>
  <si>
    <t>B11:J11</t>
  </si>
  <si>
    <t>B12:J12</t>
  </si>
  <si>
    <t>G14:J14</t>
  </si>
  <si>
    <t>B16:J16</t>
  </si>
  <si>
    <t>B17:J17</t>
  </si>
  <si>
    <t>B18:J18</t>
  </si>
  <si>
    <t>B19:J19</t>
  </si>
  <si>
    <t>B21:J21</t>
  </si>
  <si>
    <t>G23:J23</t>
  </si>
  <si>
    <t>C24:J24</t>
  </si>
  <si>
    <t>79</t>
  </si>
  <si>
    <t>B25:J25</t>
  </si>
  <si>
    <t>B27:J27</t>
  </si>
  <si>
    <t>B28:J28</t>
  </si>
  <si>
    <t>B30:J30</t>
  </si>
  <si>
    <t>G31:J31</t>
  </si>
  <si>
    <t>B32:J32</t>
  </si>
  <si>
    <t>G39:J39</t>
  </si>
  <si>
    <t>2025/06/30 11:57:35</t>
  </si>
  <si>
    <t xml:space="preserve">新規追加_x000D_
改頁しない_x000D_
プレビューデータ:令和7年6月30日_x000D_
書式:ggge"年"m"月"d"日"_x000D_
縮小しない_x000D_
テンプレート内外:_x000D_
</t>
  </si>
  <si>
    <t xml:space="preserve">設定変更_x000D_
プレビューデータ:70 ⇒ 令和7年6月30日_x000D_
書式:0 ⇒ ggge"年"m"月"d"日"_x000D_
</t>
  </si>
  <si>
    <t xml:space="preserve">新規追加_x000D_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</si>
  <si>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 xml:space="preserve">新規追加_x000D_
改頁しない_x000D_
プレビューデータ:東京都渋谷区恵比寿3-43-2 日機装第１別館１F_x000D_
書式:G/標準_x000D_
縮小しない_x000D_
テンプレート内外:_x000D_
</t>
  </si>
  <si>
    <t xml:space="preserve">新規追加_x000D_
表示文字数:82_x000D_
改頁しない_x000D_
プレビューデータ:03-1234-5678_x000D_
書式:G/標準_x000D_
縮小しない_x000D_
テンプレート内外:_x000D_
</t>
  </si>
  <si>
    <t xml:space="preserve">新規追加_x000D_
表示文字数:82_x000D_
改頁しない_x000D_
プレビューデータ:090-1234-5678_x000D_
書式:G/標準_x000D_
縮小しない_x000D_
テンプレート内外:_x000D_
</t>
  </si>
  <si>
    <t xml:space="preserve">新規追加_x000D_
表示文字数:34_x000D_
改頁しない_x000D_
プレビューデータ:日機装病院_x000D_
書式:G/標準_x000D_
縮小しない_x000D_
テンプレート内外:_x000D_
</t>
  </si>
  <si>
    <t xml:space="preserve">新規追加_x000D_
表示文字数:82_x000D_
改頁しない_x000D_
プレビューデータ:慢性糸球体腎炎_x000D_
書式:G/標準_x000D_
縮小しない_x000D_
テンプレート内外:_x000D_
</t>
  </si>
  <si>
    <t xml:space="preserve">新規追加_x000D_
表示文字数:82_x000D_
改頁しない_x000D_
プレビューデータ:定期（部分介助）_x000D_
書式:G/標準_x000D_
縮小しない_x000D_
テンプレート内外:_x000D_
</t>
  </si>
  <si>
    <t xml:space="preserve">新規追加_x000D_
表示文字数:82_x000D_
改頁しない_x000D_
プレビューデータ:車椅子_x000D_
書式:G/標準_x000D_
縮小しない_x000D_
テンプレート内外:_x000D_
</t>
  </si>
  <si>
    <t xml:space="preserve">新規追加_x000D_
表示文字数:82_x000D_
改頁しない_x000D_
繰返場所:B19:J19_x000D_
グループ名:患者情報.透析困難・重症度・搬送区分_x000D_
プレビューデータ:高血圧_x000D_
書式:G/標準_x000D_
縮小しない_x000D_
テンプレート内外:_x000D_
</t>
  </si>
  <si>
    <t xml:space="preserve">新規追加_x000D_
表示文字数:34_x000D_
改頁しない_x000D_
繰返場所:G23:J23_x000D_
グループ名:患者情報.連絡先_x000D_
プレビューデータ:弟_x000D_
書式:G/標準_x000D_
縮小しない_x000D_
テンプレート内外:_x000D_
</t>
  </si>
  <si>
    <t xml:space="preserve">新規追加_x000D_
表示文字数:79_x000D_
改頁しない_x000D_
繰返場所:C24:J24_x000D_
グループ名:患者情報.連絡先_x000D_
プレビューデータ:150-8677_x000D_
書式:G/標準_x000D_
縮小しない_x000D_
テンプレート内外:_x000D_
</t>
  </si>
  <si>
    <t xml:space="preserve">新規追加_x000D_
表示文字数:82_x000D_
改頁しない_x000D_
繰返場所:B25:J25_x000D_
グループ名:患者情報.連絡先_x000D_
プレビューデータ:東京都渋谷区恵比寿2-27-10 日機装第２別館_x000D_
書式:G/標準_x000D_
縮小しない_x000D_
テンプレート内外:_x000D_
</t>
  </si>
  <si>
    <t xml:space="preserve">新規追加_x000D_
表示文字数:82_x000D_
改頁しない_x000D_
繰返場所:B27:J27_x000D_
グループ名:患者情報.連絡先_x000D_
プレビューデータ:03-9876-5432_x000D_
書式:G/標準_x000D_
縮小しない_x000D_
テンプレート内外:_x000D_
</t>
  </si>
  <si>
    <t xml:space="preserve">新規追加_x000D_
表示文字数:82_x000D_
改頁しない_x000D_
繰返場所:B28:J28_x000D_
グループ名:患者情報.連絡先_x000D_
プレビューデータ:080-9876-5432_x000D_
書式:G/標準_x000D_
縮小しない_x000D_
テンプレート内外:_x000D_
</t>
  </si>
  <si>
    <t xml:space="preserve">新規追加_x000D_
表示文字数:82_x000D_
改頁しない_x000D_
プレビューデータ:外来_x000D_
書式:G/標準_x000D_
データ変換:&lt;convTable cls="入外区分"&gt;&lt;conv code="0" item="外来" disp="外来" /&gt;&lt;conv code="1" item="入院" disp="入院" /&gt;&lt;conv code="2" item="死亡" disp="死亡" /&gt;&lt;conv code="3" item="(不在)" disp="(不在)" /&gt;&lt;/convTable&gt;_x000D_
縮小しない_x000D_
テンプレート内外:_x000D_
</t>
  </si>
  <si>
    <t xml:space="preserve">新規追加_x000D_
表示文字数:34_x000D_
改頁しない_x000D_
プレビューデータ:A棟_x000D_
書式:G/標準_x000D_
縮小しない_x000D_
テンプレート内外:_x000D_
</t>
  </si>
  <si>
    <t xml:space="preserve">新規追加_x000D_
表示文字数:82_x000D_
改頁しない_x000D_
プレビューデータ:テスト医師1_x000D_
書式:G/標準_x000D_
縮小しない_x000D_
テンプレート内外:_x000D_
</t>
  </si>
  <si>
    <t xml:space="preserve">新規追加_x000D_
改頁しない_x000D_
繰返場所:G39:J39,G40:J40,G41:J41,G42:J42,G43:J43,G44:J44,G45:J45,G46:J46,G47:J47,G48:J48,G49:J49,G50:J50_x000D_
グループ名:患者情報.感染症(+)(-)(不明)_x000D_
プレビューデータ:2025/06/30_x000D_
書式:yyyy/mm/dd_x000D_
縮小しない_x000D_
テンプレート内外:_x000D_
</t>
  </si>
  <si>
    <t>患者情報.透析困難・重症度・搬送区分.患者情報.透析困難・重症度・搬送区分.B19:J19</t>
  </si>
  <si>
    <t>2025/06/30 11:58:59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</si>
  <si>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</si>
  <si>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>##患者情報.禁忌・アレルギー.禁忌アレルギー区分</t>
  </si>
  <si>
    <t>##患者情報.禁忌・アレルギー.備考</t>
  </si>
  <si>
    <t>D34:F34</t>
  </si>
  <si>
    <t>備考</t>
  </si>
  <si>
    <t>memo</t>
  </si>
  <si>
    <t>禁忌・アレルギーです。</t>
  </si>
  <si>
    <t>G34:J34</t>
  </si>
  <si>
    <t>2025/06/30 12:14:17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</si>
  <si>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</si>
  <si>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 xml:space="preserve">設定変更_x000D_
繰返場所:A34:C34,A35:C35,A36:C36,D34:F34,D35:F35,D36:F36,G34:I34,G35:I35,G36:I36 ⇒ A34:C34,A35:C35,A36:C36_x000D_
</t>
  </si>
  <si>
    <t xml:space="preserve">新規追加_x000D_
表示文字数:29_x000D_
改頁しない_x000D_
繰返場所:D34:F34,D35:F35,D36:F36_x000D_
グループ名:患者情報.禁忌・アレルギー_x000D_
プレビューデータ:禁忌_x000D_
書式:G/標準_x000D_
データ変換:&lt;convTable cls="禁忌アレルギー区分"&gt;&lt;conv code="1" item="禁忌" disp="禁忌" /&gt;&lt;conv code="2" item="アレルギー" disp="アレルギー" /&gt;&lt;/convTable&gt;_x000D_
縮小しない_x000D_
テンプレート内外:_x000D_
</t>
  </si>
  <si>
    <t xml:space="preserve">新規追加_x000D_
表示文字数:25_x000D_
改頁しない_x000D_
繰返場所:G34:J34,G35:J35,G36:J36_x000D_
グループ名:患者情報.禁忌・アレルギー_x000D_
プレビューデータ:禁忌・アレルギーです。_x000D_
書式:G/標準_x000D_
縮小しない_x000D_
テンプレート内外:_x000D_
</t>
  </si>
  <si>
    <t>改頁しない</t>
  </si>
  <si>
    <t>##患者情報.本人情報.住所</t>
    <phoneticPr fontId="1"/>
  </si>
  <si>
    <t>K9</t>
  </si>
  <si>
    <t>2025/06/30 13:20:45</t>
  </si>
  <si>
    <t xml:space="preserve">設定変更_x000D_
データ変換:&lt;convTable cls=""&gt;&lt;conv code="1" item="禁忌" disp="禁忌" /&gt;&lt;conv code="2" item="アレルギー" disp="アレルギー" /&gt;&lt;/convTable&gt; ⇒ &lt;convTable cls="禁忌アレルギー区分"&gt;&lt;conv code="1" item="禁忌" disp="禁忌" /&gt;&lt;conv code="2" item="アレルギー" disp="アレルギー" /&gt;&lt;/convTable&gt;_x000D_
</t>
  </si>
  <si>
    <t>2025/06/30 13:21:57</t>
  </si>
  <si>
    <t>2025/06/30 13:24:19</t>
  </si>
  <si>
    <t>2025/06/30 13:26:42</t>
  </si>
  <si>
    <t xml:space="preserve">設定変更_x000D_
プレビューデータ:禁忌 ⇒ 禁忌・アレルギーです。_x000D_
データ変換:&lt;convTable cls=""&gt;&lt;conv code="1" item="禁忌" disp="禁忌" /&gt;&lt;conv code="2" item="アレルギー" disp="アレルギー" /&gt;&lt;/convTable&gt; ⇒ _x000D_
</t>
  </si>
  <si>
    <t>##印刷情報.共通情報.印刷日時</t>
  </si>
  <si>
    <t>##印刷情報.共通情報.ログイン者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</si>
  <si>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</si>
  <si>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印刷情報</t>
  </si>
  <si>
    <t>共通情報</t>
  </si>
  <si>
    <t>印刷日時</t>
  </si>
  <si>
    <t>prt_dt</t>
  </si>
  <si>
    <t>yyyy/mm/dd hh:mm</t>
  </si>
  <si>
    <t>C55:E55</t>
  </si>
  <si>
    <t>ログイン者</t>
  </si>
  <si>
    <t>login</t>
  </si>
  <si>
    <t>確認テスト</t>
  </si>
  <si>
    <t>F55:G55</t>
  </si>
  <si>
    <t>2025/06/30 13:31:40</t>
  </si>
  <si>
    <t xml:space="preserve">新規追加_x000D_
改頁しない_x000D_
プレビューデータ:2025/06/30 13:31_x000D_
書式:yyyy/mm/dd hh:mm_x000D_
縮小しない_x000D_
テンプレート内外:_x000D_
</t>
  </si>
  <si>
    <t xml:space="preserve">新規追加_x000D_
改頁しない_x000D_
プレビューデータ:確認テスト_x000D_
書式:G/標準_x000D_
縮小しない_x000D_
テンプレート内外:_x000D_
</t>
  </si>
  <si>
    <t>##患者情報.診療情報.透析回数</t>
    <phoneticPr fontId="1"/>
  </si>
  <si>
    <t>K21</t>
  </si>
  <si>
    <t>2025/06/30 13:34:22</t>
  </si>
  <si>
    <t xml:space="preserve">新規追加_x000D_
改頁しない_x000D_
プレビューデータ:100_x000D_
書式:G/標準_x000D_
縮小しない_x000D_
テンプレート内外:_x000D_
</t>
  </si>
  <si>
    <t>2025/06/30 13:35:53</t>
  </si>
  <si>
    <t>yyyy"年"m"月"d"日"</t>
  </si>
  <si>
    <t>2025/06/30 13:37:48</t>
  </si>
  <si>
    <t xml:space="preserve">設定変更_x000D_
プレビューデータ:令和7年6月30日 ⇒ 2025年6月30日_x000D_
書式:ggge"年"m"月"d"日" ⇒ yyyy"年"m"月"d"日"_x000D_
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</si>
  <si>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(RH+)" /&gt;&lt;conv code="11" item="A型 Rh+" disp="A型 (RH+)" /&gt;&lt;conv code="21" item="B型 Rh+" disp="B型 (RH+)" /&gt;&lt;conv code="31" item="O型 Rh+" disp="O型 (RH+)" /&gt;&lt;conv code="41" item="AB型 Rh+" disp="AB型 (RH+)" /&gt;&lt;conv code="2" item="不明 Rh-" disp="不明 (RH)" /&gt;&lt;conv code="12" item="A型 Rh-" disp="A型 (RH-+)" /&gt;&lt;conv code="22" item="B型 Rh-" disp="B型 (RH-)" /&gt;&lt;conv code="32" item="O型 Rh-" disp="O型 (RH-)" /&gt;&lt;conv code="42" item="AB型 Rh-" disp="AB型 (RH-)" /&gt;&lt;/convTable&gt;</t>
  </si>
  <si>
    <t>2025/06/30 13:42:13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</si>
  <si>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(RH+)" /&gt;&lt;conv code="11" item="A型 Rh+" disp="A型 (RH+)" /&gt;&lt;conv code="21" item="B型 Rh+" disp="B型 (RH+)" /&gt;&lt;conv code="31" item="O型 Rh+" disp="O型 (RH+)" /&gt;&lt;conv code="41" item="AB型 Rh+" disp="AB型 (RH+)" /&gt;&lt;conv code="2" item="不明 Rh-" disp="不明 (RH)" /&gt;&lt;conv code="12" item="A型 Rh-" disp="A型 (RH-+)" /&gt;&lt;conv code="22" item="B型 Rh-" disp="B型 (RH-)" /&gt;&lt;conv code="32" item="O型 Rh-" disp="O型 (RH-)" /&gt;&lt;conv code="42" item="AB型 Rh-" disp="AB型 (RH-)" /&gt;&lt;/convTable&gt;_x000D_
</t>
  </si>
  <si>
    <t xml:space="preserve">設定変更_x000D_
プレビューデータ:2000/02/10 ⇒ 2025年6月30日_x000D_
書式:yyyy/mm/dd ⇒ yyyy"年"m"月"d"日"_x000D_
</t>
  </si>
  <si>
    <t xml:space="preserve">設定変更_x000D_
プレビューデータ:2005/08/18 ⇒ 2025年6月30日_x000D_
書式:yyyy/mm/dd ⇒ yyyy"年"m"月"d"日"_x000D_
</t>
  </si>
  <si>
    <t>2025/06/30 13:44:22</t>
  </si>
  <si>
    <t>7月30日2025年</t>
  </si>
  <si>
    <t>G5:I5</t>
  </si>
  <si>
    <t>2025/06/30 14:08:07</t>
  </si>
  <si>
    <t xml:space="preserve">新規追加_x000D_
改頁しない_x000D_
プレビューデータ:7月30日2025年_x000D_
書式:yyyy"年"m"月"d"日"_x000D_
縮小しない_x000D_
テンプレート内外:_x000D_
</t>
  </si>
  <si>
    <t>##印刷情報.共通情報.印刷日時</t>
    <phoneticPr fontId="1"/>
  </si>
  <si>
    <t>A34:C34,A35:C35,A36:C36,A37:C37,A38:C38,A39:C39</t>
  </si>
  <si>
    <t>D34:F34,D35:F35,D36:F36,D37:F37,D38:F38,D39:F39</t>
  </si>
  <si>
    <t>A42:C42</t>
  </si>
  <si>
    <t>D42:F42</t>
  </si>
  <si>
    <t>21月30日2025年</t>
  </si>
  <si>
    <t>G42:J42</t>
  </si>
  <si>
    <t>2025/06/30 14:21</t>
  </si>
  <si>
    <t>D58:E58</t>
  </si>
  <si>
    <t>F58:G58</t>
  </si>
  <si>
    <t>2025/06/30 14:25:10</t>
  </si>
  <si>
    <t xml:space="preserve">設定変更_x000D_
繰返場所:A34:C34,A35:C35,A36:C36 ⇒ A34:C34,A35:C35,A36:C36,A37:C37,A38:C38,A39:C39_x000D_
</t>
  </si>
  <si>
    <t xml:space="preserve">設定変更_x000D_
繰返場所:D34:F34,D35:F35,D36:F36 ⇒ D34:F34,D35:F35,D36:F36,D37:F37,D38:F38,D39:F39_x000D_
</t>
  </si>
  <si>
    <t xml:space="preserve">新規追加_x000D_
改頁しない_x000D_
繰返場所:A42:C42_x000D_
グループ名:患者情報.感染症(+)(-)(不明)_x000D_
プレビューデータ:Hbc抗体_x000D_
書式:G/標準_x000D_
縮小しない_x000D_
テンプレート内外:_x000D_
</t>
  </si>
  <si>
    <t xml:space="preserve">新規追加_x000D_
改頁しない_x000D_
繰返場所:D42:F42_x000D_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テンプレート内外:_x000D_
</t>
  </si>
  <si>
    <t xml:space="preserve">新規追加_x000D_
改頁しない_x000D_
繰返場所:G42:J42_x000D_
グループ名:患者情報.感染症(+)(-)(不明)_x000D_
プレビューデータ:21月30日2025年_x000D_
書式:yyyy"年"m"月"d"日"_x000D_
縮小しない_x000D_
テンプレート内外:_x000D_
</t>
  </si>
  <si>
    <t xml:space="preserve">新規追加_x000D_
改頁しない_x000D_
プレビューデータ:2025/06/30 14:21_x000D_
書式:yyyy/mm/dd hh:mm_x000D_
縮小しない_x000D_
テンプレート内外:_x000D_
</t>
  </si>
  <si>
    <t>6</t>
  </si>
  <si>
    <t>患者情報.感染症(+)(-)(不明).患者情報.感染症(+)(-)(不明).A42:C42</t>
  </si>
  <si>
    <t>2025/06/30 14:25:11</t>
  </si>
  <si>
    <t>##印刷情報.共通情報.単位ページ番号</t>
  </si>
  <si>
    <t>##印刷情報.共通情報.単位ページ総数</t>
  </si>
  <si>
    <t>##患者情報.透析困難・重症度・搬送区分.透析困難理由</t>
    <phoneticPr fontId="1"/>
  </si>
  <si>
    <t>単位ページ番号</t>
  </si>
  <si>
    <t>currentPage</t>
  </si>
  <si>
    <t>K2</t>
  </si>
  <si>
    <t>単位ページ総数</t>
  </si>
  <si>
    <t>totalPages</t>
  </si>
  <si>
    <t>L2</t>
  </si>
  <si>
    <t>K19</t>
  </si>
  <si>
    <t>A42:C42,A43:C43,A44:C44,A45:C45,A46:C46,A47:C47,A48:C48,A49:C49,A50:C50,A51:C51,A52:C52,A53:C53</t>
  </si>
  <si>
    <t>D42:F42,D43:F43,D44:F44,D45:F45,D46:F46,D47:F47,D48:F48,D49:F49,D50:F50,D51:F51,D52:F52,D53:F53</t>
  </si>
  <si>
    <t>G42:J42,G43:J43,G44:J44,G45:J45,G46:J46,G47:J47,G48:J48,G49:J49,G50:J50,G51:J51,G52:J52,G53:J53</t>
  </si>
  <si>
    <t>F58</t>
  </si>
  <si>
    <t>2025/06/30 14:35:03</t>
  </si>
  <si>
    <t xml:space="preserve">新規追加_x000D_
改頁しない_x000D_
プレビューデータ:1_x000D_
書式:G/標準_x000D_
縮小しない_x000D_
テンプレート内外:_x000D_
</t>
  </si>
  <si>
    <t xml:space="preserve">新規追加_x000D_
改頁しない_x000D_
繰返場所:K19_x000D_
グループ名:患者情報.透析困難・重症度・搬送区分_x000D_
プレビューデータ:高血圧_x000D_
書式:G/標準_x000D_
縮小しない_x000D_
テンプレート内外:_x000D_
</t>
  </si>
  <si>
    <t xml:space="preserve">設定変更_x000D_
繰返場所:A42:C42 ⇒ A42:C42,A43:C43,A44:C44,A45:C45,A46:C46,A47:C47,A48:C48,A49:C49,A50:C50,A51:C51,A52:C52,A53:C53_x000D_
</t>
  </si>
  <si>
    <t xml:space="preserve">設定変更_x000D_
繰返場所:D42:F42 ⇒ D42:F42,D43:F43,D44:F44,D45:F45,D46:F46,D47:F47,D48:F48,D49:F49,D50:F50,D51:F51,D52:F52,D53:F53_x000D_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</si>
  <si>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 xml:space="preserve">設定変更_x000D_
繰返場所:G42:J42 ⇒ G42:J42,G43:J43,G44:J44,G45:J45,G46:J46,G47:J47,G48:J48,G49:J49,G50:J50,G51:J51,G52:J52,G53:J53_x000D_
</t>
  </si>
  <si>
    <t>12</t>
  </si>
  <si>
    <t>2025/06/30 14:35:33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</si>
  <si>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</si>
  <si>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>2025/06/30 14:36:36</t>
  </si>
  <si>
    <t>2025/06/30 14:37:33</t>
  </si>
  <si>
    <t>2025/06/30 14:41:36</t>
  </si>
  <si>
    <t>2025/06/30 14:46:11</t>
  </si>
  <si>
    <t>2025/06/30 14:48:40</t>
  </si>
  <si>
    <t xml:space="preserve">設定変更_x000D_
表示文字数: ⇒ 32_x000D_
縮小しない_x000D_
</t>
  </si>
  <si>
    <t>23</t>
  </si>
  <si>
    <t>2025/06/30 14:53:53</t>
  </si>
  <si>
    <t xml:space="preserve">設定変更_x000D_
表示文字数: ⇒ 23_x000D_
縮小しない_x000D_
</t>
  </si>
  <si>
    <t>2025/06/30 14:55:01</t>
  </si>
  <si>
    <t>2025/06/30 14:57:17</t>
  </si>
  <si>
    <t xml:space="preserve">設定変更_x000D_
表示文字数:32 ⇒ 60_x000D_
</t>
  </si>
  <si>
    <t>2025/06/30 14:58:30</t>
  </si>
  <si>
    <t>2025/06/30 14:58:31</t>
  </si>
  <si>
    <t>2025/06/30 14:59:23</t>
  </si>
  <si>
    <t>2025/06/30 14:59:24</t>
  </si>
  <si>
    <t>2025/06/30 15:00:46</t>
  </si>
  <si>
    <t>2025/06/30 15:02:12</t>
  </si>
  <si>
    <t>2025/06/30 15:11:23</t>
  </si>
  <si>
    <t xml:space="preserve">設定変更_x000D_
表示文字数:29 ⇒ _x000D_
</t>
  </si>
  <si>
    <t>2025/06/30 15:12:49</t>
  </si>
  <si>
    <t xml:space="preserve">設定変更_x000D_
表示文字数:60 ⇒ _x000D_
</t>
  </si>
  <si>
    <t xml:space="preserve">設定変更_x000D_
表示文字数: ⇒ _x000D_
</t>
  </si>
  <si>
    <t>2025/06/30 15:20:06</t>
  </si>
  <si>
    <t>2025/06/30 15:21:08</t>
  </si>
  <si>
    <t>2025/06/30 15:21:58</t>
  </si>
  <si>
    <t>2025/06/30 15:23:06</t>
  </si>
  <si>
    <t>2025/06/30 15:24:41</t>
  </si>
  <si>
    <t>2025/06/30 15:27:32</t>
  </si>
  <si>
    <t>2025/06/30 15:28:29</t>
  </si>
  <si>
    <t>2025/06/30 15:30:11</t>
  </si>
  <si>
    <t>2025/06/30 15:54:08</t>
  </si>
  <si>
    <t>2025/06/30 15:54:53</t>
  </si>
  <si>
    <t>2025/06/30 15:56:01</t>
  </si>
  <si>
    <t>2025/06/30 15:56:31</t>
  </si>
  <si>
    <t>2025/06/30 15:57:29</t>
  </si>
  <si>
    <t>2025/06/30 15:58:07</t>
  </si>
  <si>
    <t>2025/06/30 16:00:14</t>
  </si>
  <si>
    <t>2025/06/30 16:00:39</t>
  </si>
  <si>
    <t>2025/06/30 16:01:03</t>
  </si>
  <si>
    <t>2025/06/30 16:02:11</t>
  </si>
  <si>
    <t>2025/06/30 16:02:54</t>
  </si>
  <si>
    <t>2025/06/30 16:05:25</t>
  </si>
  <si>
    <t>2025/06/30 16:06:35</t>
  </si>
  <si>
    <t>2025/06/30 16:08:28</t>
  </si>
  <si>
    <t>2025/06/30 16:09:09</t>
  </si>
  <si>
    <t>2025/06/30 16:09:59</t>
  </si>
  <si>
    <t>2025/06/30 16:10:38</t>
  </si>
  <si>
    <t>2025/06/30 16:11:26</t>
  </si>
  <si>
    <t>2025/06/30 16:11:56</t>
  </si>
  <si>
    <t>2025/06/30 16:14:14</t>
  </si>
  <si>
    <t>2025/06/30 16:16:35</t>
  </si>
  <si>
    <t>##患者情報.患者メモ.内容1</t>
  </si>
  <si>
    <t>&lt;convTable cls=""&gt;&lt;conv code="0" item="不明" disp="不明" /&gt;&lt;conv code="1" item="(-)" disp="(-)" /&gt;&lt;conv code="2" item="(+)" disp="(+)" /&gt;&lt;/convTable&gt;</t>
  </si>
  <si>
    <t>患者メモ</t>
  </si>
  <si>
    <t>内容1</t>
  </si>
  <si>
    <t>13</t>
  </si>
  <si>
    <t>memo01_content</t>
  </si>
  <si>
    <t>105</t>
  </si>
  <si>
    <t>A55:J56</t>
  </si>
  <si>
    <t>2</t>
  </si>
  <si>
    <t>2025/06/30 16:41:38</t>
  </si>
  <si>
    <t xml:space="preserve">新規追加_x000D_
表示文字数:105_x000D_
改頁しない_x000D_
プレビューデータ:_x000D_
書式:G/標準_x000D_
縮小しない_x000D_
テンプレート内外:_x000D_
</t>
  </si>
  <si>
    <t>##患者情報.入外・転入出.施設(転出先)</t>
  </si>
  <si>
    <t>G15:J15</t>
  </si>
  <si>
    <t>2025/06/30 17:14:38</t>
  </si>
  <si>
    <t xml:space="preserve">新規追加_x000D_
表示文字数:25_x000D_
改頁しない_x000D_
繰返場所:G15:J15_x000D_
グループ名:患者情報.入外・転入出_x000D_
プレビューデータ:日機装第一クリニック_x000D_
書式:G/標準_x000D_
縮小しない_x000D_
テンプレート内外:_x000D_
</t>
  </si>
  <si>
    <t>患者情報.入外・転入出.患者情報.入外・転入出.G15:J15</t>
  </si>
  <si>
    <t>2025/06/30 17:14:39</t>
  </si>
  <si>
    <t>2025/07/01 09:22:10</t>
  </si>
  <si>
    <t>2025/07/01 09:27:08</t>
  </si>
  <si>
    <t>staff0000</t>
  </si>
  <si>
    <t>2025/07/01 13:24:37</t>
  </si>
  <si>
    <t>2025年7月31日</t>
  </si>
  <si>
    <t>B14:E15</t>
  </si>
  <si>
    <t>31</t>
  </si>
  <si>
    <t>G14:J15</t>
  </si>
  <si>
    <t>2025/07/31 08:21:15</t>
  </si>
  <si>
    <t xml:space="preserve">新規追加_x000D_
改頁しない_x000D_
プレビューデータ:2025年7月31日_x000D_
書式:yyyy"年"m"月"d"日"_x000D_
縮小しない_x000D_
テンプレート内外:_x000D_
</t>
  </si>
  <si>
    <t xml:space="preserve">新規追加_x000D_
表示文字数:31_x000D_
改頁しない_x000D_
プレビューデータ:日機装病院_x000D_
書式:G/標準_x000D_
縮小しない_x000D_
テンプレート内外:_x000D_
</t>
  </si>
  <si>
    <t>CanBarCode</t>
  </si>
  <si>
    <t>BarCode</t>
  </si>
  <si>
    <t>120386</t>
  </si>
  <si>
    <t>2026/06/08 19:08:31</t>
  </si>
  <si>
    <t xml:space="preserve">出力値のない列は省略する設定: ⇒ 0_x000D_
出力値のない行は省略する設定: ⇒ 0_x000D_
</t>
  </si>
  <si>
    <t>35152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</si>
</sst>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gge&quot;年&quot;m&quot;月&quot;d&quot;日&quot;"/>
    <numFmt numFmtId="177" formatCode="yyyy/mm/dd\ hh:mm"/>
  </numFmts>
  <fonts count="9" x14ac:knownFonts="1">
    <font>
      <sz val="11"/>
      <color theme="1"/>
      <name val="ＭＳ Ｐゴシック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7" fillId="3" borderId="0" xfId="0" applyNumberFormat="1" applyFont="1" applyFill="1" applyAlignment="1">
      <alignment vertical="center" shrinkToFit="1"/>
    </xf>
    <xf numFmtId="0" fontId="7" fillId="3" borderId="0" xfId="0" applyFont="1" applyFill="1">
      <alignment vertical="center"/>
    </xf>
    <xf numFmtId="176" fontId="7" fillId="3" borderId="0" xfId="0" applyNumberFormat="1" applyFont="1" applyFill="1" applyAlignment="1">
      <alignment vertical="center" shrinkToFit="1"/>
    </xf>
    <xf numFmtId="1" fontId="7" fillId="3" borderId="0" xfId="0" applyNumberFormat="1" applyFont="1" applyFill="1" applyAlignment="1">
      <alignment vertical="center" shrinkToFit="1"/>
    </xf>
    <xf numFmtId="0" fontId="4" fillId="0" borderId="0" xfId="0" applyFont="1" applyAlignment="1">
      <alignment vertical="center"/>
    </xf>
    <xf numFmtId="0" fontId="4" fillId="2" borderId="19" xfId="0" applyFont="1" applyFill="1" applyBorder="1" applyAlignment="1">
      <alignment horizontal="center" vertical="center"/>
    </xf>
    <xf numFmtId="177" fontId="4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right" vertical="center" shrinkToFit="1"/>
    </xf>
    <xf numFmtId="0" fontId="4" fillId="0" borderId="0" xfId="0" applyNumberFormat="1" applyFont="1" applyAlignment="1">
      <alignment vertical="center" shrinkToFit="1"/>
    </xf>
    <xf numFmtId="0" fontId="7" fillId="0" borderId="0" xfId="0" applyFont="1" applyAlignment="1"/>
    <xf numFmtId="0" fontId="7" fillId="3" borderId="0" xfId="0" applyFont="1" applyFill="1" applyAlignment="1"/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176" fontId="4" fillId="0" borderId="10" xfId="0" applyNumberFormat="1" applyFont="1" applyBorder="1" applyAlignment="1">
      <alignment horizontal="left" shrinkToFit="1"/>
    </xf>
    <xf numFmtId="0" fontId="4" fillId="2" borderId="12" xfId="0" applyFont="1" applyFill="1" applyBorder="1" applyAlignment="1">
      <alignment horizontal="center"/>
    </xf>
    <xf numFmtId="177" fontId="4" fillId="0" borderId="0" xfId="0" applyNumberFormat="1" applyFont="1" applyAlignment="1">
      <alignment horizontal="center" vertical="center" shrinkToFit="1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8" xfId="0" applyNumberFormat="1" applyFont="1" applyBorder="1" applyAlignment="1">
      <alignment horizontal="left" shrinkToFit="1"/>
    </xf>
    <xf numFmtId="0" fontId="4" fillId="0" borderId="1" xfId="0" applyNumberFormat="1" applyFont="1" applyBorder="1" applyAlignment="1">
      <alignment horizontal="left" shrinkToFit="1"/>
    </xf>
    <xf numFmtId="0" fontId="4" fillId="0" borderId="1" xfId="0" applyNumberFormat="1" applyFont="1" applyBorder="1" applyAlignment="1">
      <alignment horizontal="left"/>
    </xf>
    <xf numFmtId="0" fontId="4" fillId="0" borderId="1" xfId="0" applyNumberFormat="1" applyFont="1" applyBorder="1" applyAlignment="1">
      <alignment horizontal="center"/>
    </xf>
    <xf numFmtId="0" fontId="4" fillId="0" borderId="9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NumberFormat="1" applyFont="1" applyBorder="1" applyAlignment="1">
      <alignment horizontal="left" vertical="center"/>
    </xf>
    <xf numFmtId="0" fontId="4" fillId="0" borderId="6" xfId="0" applyNumberFormat="1" applyFont="1" applyBorder="1" applyAlignment="1">
      <alignment horizontal="left" vertical="center"/>
    </xf>
    <xf numFmtId="0" fontId="4" fillId="0" borderId="7" xfId="0" applyNumberFormat="1" applyFont="1" applyBorder="1" applyAlignment="1">
      <alignment horizontal="left" vertical="center"/>
    </xf>
    <xf numFmtId="0" fontId="4" fillId="0" borderId="11" xfId="0" applyNumberFormat="1" applyFont="1" applyBorder="1" applyAlignment="1">
      <alignment horizontal="left" vertical="center"/>
    </xf>
    <xf numFmtId="0" fontId="4" fillId="0" borderId="12" xfId="0" applyNumberFormat="1" applyFont="1" applyBorder="1" applyAlignment="1">
      <alignment horizontal="left" vertical="center"/>
    </xf>
    <xf numFmtId="0" fontId="4" fillId="0" borderId="15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6" xfId="0" applyNumberFormat="1" applyFont="1" applyBorder="1" applyAlignment="1">
      <alignment horizontal="left" shrinkToFit="1"/>
    </xf>
    <xf numFmtId="0" fontId="4" fillId="0" borderId="17" xfId="0" applyNumberFormat="1" applyFont="1" applyBorder="1" applyAlignment="1">
      <alignment horizontal="left" shrinkToFit="1"/>
    </xf>
    <xf numFmtId="31" fontId="4" fillId="0" borderId="17" xfId="0" applyNumberFormat="1" applyFont="1" applyBorder="1" applyAlignment="1">
      <alignment horizontal="left"/>
    </xf>
    <xf numFmtId="31" fontId="4" fillId="0" borderId="18" xfId="0" applyNumberFormat="1" applyFont="1" applyBorder="1" applyAlignment="1">
      <alignment horizontal="left"/>
    </xf>
    <xf numFmtId="0" fontId="4" fillId="0" borderId="12" xfId="0" applyNumberFormat="1" applyFont="1" applyBorder="1" applyAlignment="1">
      <alignment horizontal="left"/>
    </xf>
    <xf numFmtId="0" fontId="4" fillId="0" borderId="15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NumberFormat="1" applyFont="1" applyBorder="1" applyAlignment="1">
      <alignment horizontal="left"/>
    </xf>
    <xf numFmtId="0" fontId="4" fillId="0" borderId="6" xfId="0" applyNumberFormat="1" applyFont="1" applyBorder="1" applyAlignment="1">
      <alignment horizontal="left"/>
    </xf>
    <xf numFmtId="0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9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4" fillId="0" borderId="7" xfId="0" applyNumberFormat="1" applyFont="1" applyBorder="1" applyAlignment="1">
      <alignment horizontal="left"/>
    </xf>
    <xf numFmtId="0" fontId="4" fillId="2" borderId="8" xfId="0" applyFont="1" applyFill="1" applyBorder="1" applyAlignment="1">
      <alignment horizontal="center"/>
    </xf>
    <xf numFmtId="0" fontId="4" fillId="0" borderId="3" xfId="0" applyNumberFormat="1" applyFont="1" applyBorder="1" applyAlignment="1">
      <alignment horizontal="left"/>
    </xf>
    <xf numFmtId="1" fontId="4" fillId="0" borderId="12" xfId="0" applyNumberFormat="1" applyFont="1" applyBorder="1" applyAlignment="1">
      <alignment horizontal="left"/>
    </xf>
    <xf numFmtId="1" fontId="4" fillId="0" borderId="15" xfId="0" applyNumberFormat="1" applyFont="1" applyBorder="1" applyAlignment="1">
      <alignment horizontal="left"/>
    </xf>
    <xf numFmtId="0" fontId="4" fillId="2" borderId="22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31" fontId="4" fillId="0" borderId="23" xfId="0" applyNumberFormat="1" applyFont="1" applyBorder="1" applyAlignment="1">
      <alignment horizontal="left"/>
    </xf>
    <xf numFmtId="31" fontId="4" fillId="0" borderId="24" xfId="0" applyNumberFormat="1" applyFont="1" applyBorder="1" applyAlignment="1">
      <alignment horizontal="left"/>
    </xf>
    <xf numFmtId="31" fontId="4" fillId="0" borderId="25" xfId="0" applyNumberFormat="1" applyFont="1" applyBorder="1" applyAlignment="1">
      <alignment horizontal="left"/>
    </xf>
    <xf numFmtId="31" fontId="4" fillId="0" borderId="26" xfId="0" applyNumberFormat="1" applyFont="1" applyBorder="1" applyAlignment="1">
      <alignment horizontal="left"/>
    </xf>
    <xf numFmtId="31" fontId="4" fillId="0" borderId="27" xfId="0" applyNumberFormat="1" applyFont="1" applyBorder="1" applyAlignment="1">
      <alignment horizontal="left"/>
    </xf>
    <xf numFmtId="31" fontId="4" fillId="0" borderId="28" xfId="0" applyNumberFormat="1" applyFont="1" applyBorder="1" applyAlignment="1">
      <alignment horizontal="left"/>
    </xf>
    <xf numFmtId="0" fontId="4" fillId="2" borderId="29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0" borderId="23" xfId="0" applyNumberFormat="1" applyFont="1" applyBorder="1" applyAlignment="1">
      <alignment horizontal="left"/>
    </xf>
    <xf numFmtId="0" fontId="4" fillId="0" borderId="24" xfId="0" applyNumberFormat="1" applyFont="1" applyBorder="1" applyAlignment="1">
      <alignment horizontal="left"/>
    </xf>
    <xf numFmtId="0" fontId="4" fillId="0" borderId="30" xfId="0" applyNumberFormat="1" applyFont="1" applyBorder="1" applyAlignment="1">
      <alignment horizontal="left"/>
    </xf>
    <xf numFmtId="0" fontId="4" fillId="0" borderId="26" xfId="0" applyNumberFormat="1" applyFont="1" applyBorder="1" applyAlignment="1">
      <alignment horizontal="left"/>
    </xf>
    <xf numFmtId="0" fontId="4" fillId="0" borderId="27" xfId="0" applyNumberFormat="1" applyFont="1" applyBorder="1" applyAlignment="1">
      <alignment horizontal="left"/>
    </xf>
    <xf numFmtId="0" fontId="4" fillId="0" borderId="31" xfId="0" applyNumberFormat="1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6" xfId="0" applyNumberFormat="1" applyFont="1" applyBorder="1" applyAlignment="1">
      <alignment horizontal="left" shrinkToFit="1"/>
    </xf>
    <xf numFmtId="0" fontId="4" fillId="0" borderId="7" xfId="0" applyNumberFormat="1" applyFont="1" applyBorder="1" applyAlignment="1">
      <alignment horizontal="left" shrinkToFit="1"/>
    </xf>
    <xf numFmtId="0" fontId="4" fillId="0" borderId="9" xfId="0" applyNumberFormat="1" applyFont="1" applyBorder="1" applyAlignment="1">
      <alignment horizontal="left" shrinkToFit="1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5" fillId="0" borderId="12" xfId="0" applyNumberFormat="1" applyFont="1" applyBorder="1" applyAlignment="1">
      <alignment horizontal="left" vertical="center"/>
    </xf>
    <xf numFmtId="0" fontId="5" fillId="0" borderId="13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14" xfId="0" applyNumberFormat="1" applyFont="1" applyBorder="1" applyAlignment="1">
      <alignment horizontal="center" vertical="center"/>
    </xf>
    <xf numFmtId="0" fontId="4" fillId="0" borderId="12" xfId="0" applyNumberFormat="1" applyFont="1" applyBorder="1" applyAlignment="1">
      <alignment horizontal="left" shrinkToFit="1"/>
    </xf>
    <xf numFmtId="0" fontId="4" fillId="0" borderId="15" xfId="0" applyNumberFormat="1" applyFont="1" applyBorder="1" applyAlignment="1">
      <alignment horizontal="left" shrinkToFit="1"/>
    </xf>
    <xf numFmtId="0" fontId="8" fillId="0" borderId="0" xfId="0" applyFont="1" applyAlignment="1">
      <alignment horizontal="left"/>
    </xf>
    <xf numFmtId="0" fontId="4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31" fontId="4" fillId="0" borderId="2" xfId="0" applyNumberFormat="1" applyFont="1" applyBorder="1" applyAlignment="1">
      <alignment horizontal="left" shrinkToFit="1"/>
    </xf>
    <xf numFmtId="31" fontId="4" fillId="0" borderId="4" xfId="0" applyNumberFormat="1" applyFont="1" applyBorder="1" applyAlignment="1">
      <alignment horizontal="left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276</v>
      </c>
      <c r="B1" s="1" t="s">
        <v>73</v>
      </c>
      <c r="C1" s="1" t="s">
        <v>74</v>
      </c>
      <c r="D1" s="1" t="s">
        <v>91</v>
      </c>
      <c r="E1" s="1" t="s">
        <v>88</v>
      </c>
      <c r="F1" s="1" t="s">
        <v>86</v>
      </c>
      <c r="G1" s="1" t="s">
        <v>87</v>
      </c>
      <c r="H1" s="1" t="s">
        <v>277</v>
      </c>
      <c r="I1" s="1" t="s">
        <v>93</v>
      </c>
    </row>
    <row r="2" spans="1:9" x14ac:dyDescent="0.15">
      <c r="A2" s="1" t="s">
        <v>279</v>
      </c>
      <c r="B2" s="1" t="s">
        <v>98</v>
      </c>
      <c r="C2" s="1" t="s">
        <v>186</v>
      </c>
      <c r="D2" s="1" t="s">
        <v>193</v>
      </c>
      <c r="E2" s="1" t="s">
        <v>31</v>
      </c>
      <c r="F2" s="1" t="s">
        <v>31</v>
      </c>
      <c r="G2" s="1" t="s">
        <v>31</v>
      </c>
      <c r="H2" s="1" t="s">
        <v>70</v>
      </c>
      <c r="I2" s="1" t="s">
        <v>31</v>
      </c>
    </row>
    <row r="3" spans="1:9" x14ac:dyDescent="0.15">
      <c r="A3" s="1" t="s">
        <v>280</v>
      </c>
      <c r="B3" s="1" t="s">
        <v>98</v>
      </c>
      <c r="C3" s="1" t="s">
        <v>227</v>
      </c>
      <c r="D3" s="1" t="s">
        <v>233</v>
      </c>
      <c r="E3" s="1" t="s">
        <v>70</v>
      </c>
      <c r="F3" s="1" t="s">
        <v>31</v>
      </c>
      <c r="G3" s="1" t="s">
        <v>31</v>
      </c>
      <c r="H3" s="1" t="s">
        <v>441</v>
      </c>
      <c r="I3" s="1" t="s">
        <v>31</v>
      </c>
    </row>
    <row r="4" spans="1:9" x14ac:dyDescent="0.15">
      <c r="A4" s="1" t="s">
        <v>366</v>
      </c>
      <c r="B4" s="1" t="s">
        <v>98</v>
      </c>
      <c r="C4" s="1" t="s">
        <v>166</v>
      </c>
      <c r="D4" s="1" t="s">
        <v>181</v>
      </c>
      <c r="E4" s="1" t="s">
        <v>31</v>
      </c>
      <c r="F4" s="1" t="s">
        <v>31</v>
      </c>
      <c r="G4" s="1" t="s">
        <v>31</v>
      </c>
      <c r="H4" s="1" t="s">
        <v>70</v>
      </c>
      <c r="I4" s="1" t="s">
        <v>31</v>
      </c>
    </row>
    <row r="5" spans="1:9" x14ac:dyDescent="0.15">
      <c r="A5" s="1" t="s">
        <v>442</v>
      </c>
      <c r="B5" s="1" t="s">
        <v>98</v>
      </c>
      <c r="C5" s="1" t="s">
        <v>234</v>
      </c>
      <c r="D5" s="1" t="s">
        <v>238</v>
      </c>
      <c r="E5" s="1" t="s">
        <v>31</v>
      </c>
      <c r="F5" s="1" t="s">
        <v>31</v>
      </c>
      <c r="G5" s="1" t="s">
        <v>31</v>
      </c>
      <c r="H5" s="1" t="s">
        <v>464</v>
      </c>
      <c r="I5" s="1" t="s">
        <v>31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0"/>
  <sheetViews>
    <sheetView workbookViewId="0"/>
  </sheetViews>
  <sheetFormatPr defaultRowHeight="13.5" x14ac:dyDescent="0.15"/>
  <cols>
    <col min="1" max="16384" width="9" style="1"/>
  </cols>
  <sheetData>
    <row r="1" spans="1:28" x14ac:dyDescent="0.1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95</v>
      </c>
      <c r="Y1" s="1" t="s">
        <v>547</v>
      </c>
      <c r="Z1" s="1" t="s">
        <v>548</v>
      </c>
      <c r="AA1" s="1" t="s">
        <v>96</v>
      </c>
      <c r="AB1" s="1" t="s">
        <v>97</v>
      </c>
    </row>
    <row r="2" spans="1:28" x14ac:dyDescent="0.15">
      <c r="A2" s="1" t="s">
        <v>444</v>
      </c>
      <c r="B2" s="1" t="s">
        <v>393</v>
      </c>
      <c r="C2" s="1" t="s">
        <v>394</v>
      </c>
      <c r="D2" s="1" t="s">
        <v>447</v>
      </c>
      <c r="E2" s="1" t="s">
        <v>31</v>
      </c>
      <c r="F2" s="1" t="s">
        <v>448</v>
      </c>
      <c r="G2" s="1" t="s">
        <v>102</v>
      </c>
      <c r="H2" s="1" t="s">
        <v>70</v>
      </c>
      <c r="I2" s="1" t="s">
        <v>104</v>
      </c>
      <c r="K2" s="1" t="s">
        <v>105</v>
      </c>
      <c r="L2" s="1" t="s">
        <v>31</v>
      </c>
      <c r="M2" s="1" t="s">
        <v>70</v>
      </c>
      <c r="N2" s="1" t="s">
        <v>31</v>
      </c>
      <c r="O2" s="1" t="s">
        <v>31</v>
      </c>
      <c r="P2" s="1" t="s">
        <v>31</v>
      </c>
      <c r="Q2" s="1" t="s">
        <v>31</v>
      </c>
      <c r="R2" s="1" t="s">
        <v>31</v>
      </c>
      <c r="S2" s="1" t="s">
        <v>449</v>
      </c>
      <c r="T2" s="1" t="s">
        <v>31</v>
      </c>
      <c r="U2" s="1" t="s">
        <v>31</v>
      </c>
      <c r="V2" s="1" t="s">
        <v>31</v>
      </c>
      <c r="W2" s="1" t="s">
        <v>31</v>
      </c>
      <c r="X2" s="1" t="s">
        <v>105</v>
      </c>
      <c r="Y2" s="1" t="s">
        <v>105</v>
      </c>
      <c r="Z2" s="1" t="s">
        <v>31</v>
      </c>
      <c r="AA2" s="1" t="s">
        <v>31</v>
      </c>
      <c r="AB2" s="1" t="s">
        <v>31</v>
      </c>
    </row>
    <row r="3" spans="1:28" x14ac:dyDescent="0.15">
      <c r="A3" s="1" t="s">
        <v>445</v>
      </c>
      <c r="B3" s="1" t="s">
        <v>393</v>
      </c>
      <c r="C3" s="1" t="s">
        <v>394</v>
      </c>
      <c r="D3" s="1" t="s">
        <v>450</v>
      </c>
      <c r="E3" s="1" t="s">
        <v>31</v>
      </c>
      <c r="F3" s="1" t="s">
        <v>451</v>
      </c>
      <c r="G3" s="1" t="s">
        <v>102</v>
      </c>
      <c r="H3" s="1" t="s">
        <v>70</v>
      </c>
      <c r="I3" s="1" t="s">
        <v>104</v>
      </c>
      <c r="K3" s="1" t="s">
        <v>105</v>
      </c>
      <c r="L3" s="1" t="s">
        <v>31</v>
      </c>
      <c r="M3" s="1" t="s">
        <v>70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31</v>
      </c>
      <c r="S3" s="1" t="s">
        <v>452</v>
      </c>
      <c r="T3" s="1" t="s">
        <v>31</v>
      </c>
      <c r="U3" s="1" t="s">
        <v>31</v>
      </c>
      <c r="V3" s="1" t="s">
        <v>31</v>
      </c>
      <c r="W3" s="1" t="s">
        <v>31</v>
      </c>
      <c r="X3" s="1" t="s">
        <v>105</v>
      </c>
      <c r="Y3" s="1" t="s">
        <v>105</v>
      </c>
      <c r="Z3" s="1" t="s">
        <v>31</v>
      </c>
      <c r="AA3" s="1" t="s">
        <v>31</v>
      </c>
      <c r="AB3" s="1" t="s">
        <v>31</v>
      </c>
    </row>
    <row r="4" spans="1:28" x14ac:dyDescent="0.15">
      <c r="A4" s="1" t="s">
        <v>37</v>
      </c>
      <c r="B4" s="1" t="s">
        <v>98</v>
      </c>
      <c r="C4" s="1" t="s">
        <v>99</v>
      </c>
      <c r="D4" s="1" t="s">
        <v>100</v>
      </c>
      <c r="E4" s="1" t="s">
        <v>70</v>
      </c>
      <c r="F4" s="1" t="s">
        <v>101</v>
      </c>
      <c r="G4" s="1" t="s">
        <v>102</v>
      </c>
      <c r="H4" s="1" t="s">
        <v>103</v>
      </c>
      <c r="I4" s="1" t="s">
        <v>104</v>
      </c>
      <c r="K4" s="1" t="s">
        <v>105</v>
      </c>
      <c r="L4" s="1" t="s">
        <v>31</v>
      </c>
      <c r="M4" s="1" t="s">
        <v>70</v>
      </c>
      <c r="N4" s="1" t="s">
        <v>31</v>
      </c>
      <c r="O4" s="1" t="s">
        <v>31</v>
      </c>
      <c r="P4" s="1" t="s">
        <v>31</v>
      </c>
      <c r="Q4" s="1" t="s">
        <v>31</v>
      </c>
      <c r="R4" s="1" t="s">
        <v>31</v>
      </c>
      <c r="S4" s="1" t="s">
        <v>319</v>
      </c>
      <c r="T4" s="1" t="s">
        <v>31</v>
      </c>
      <c r="U4" s="1" t="s">
        <v>31</v>
      </c>
      <c r="V4" s="1" t="s">
        <v>31</v>
      </c>
      <c r="W4" s="1" t="s">
        <v>31</v>
      </c>
      <c r="X4" s="1" t="s">
        <v>105</v>
      </c>
      <c r="Y4" s="1" t="s">
        <v>105</v>
      </c>
      <c r="Z4" s="1" t="s">
        <v>31</v>
      </c>
      <c r="AA4" s="1" t="s">
        <v>31</v>
      </c>
      <c r="AB4" s="1" t="s">
        <v>31</v>
      </c>
    </row>
    <row r="5" spans="1:28" x14ac:dyDescent="0.15">
      <c r="A5" s="1" t="s">
        <v>38</v>
      </c>
      <c r="B5" s="1" t="s">
        <v>98</v>
      </c>
      <c r="C5" s="1" t="s">
        <v>99</v>
      </c>
      <c r="D5" s="1" t="s">
        <v>107</v>
      </c>
      <c r="E5" s="1" t="s">
        <v>70</v>
      </c>
      <c r="F5" s="1" t="s">
        <v>108</v>
      </c>
      <c r="G5" s="1" t="s">
        <v>102</v>
      </c>
      <c r="H5" s="1" t="s">
        <v>109</v>
      </c>
      <c r="I5" s="1" t="s">
        <v>104</v>
      </c>
      <c r="K5" s="1" t="s">
        <v>105</v>
      </c>
      <c r="L5" s="1" t="s">
        <v>31</v>
      </c>
      <c r="M5" s="1" t="s">
        <v>70</v>
      </c>
      <c r="N5" s="1" t="s">
        <v>31</v>
      </c>
      <c r="O5" s="1" t="s">
        <v>31</v>
      </c>
      <c r="P5" s="1" t="s">
        <v>31</v>
      </c>
      <c r="Q5" s="1" t="s">
        <v>31</v>
      </c>
      <c r="R5" s="1" t="s">
        <v>31</v>
      </c>
      <c r="S5" s="1" t="s">
        <v>320</v>
      </c>
      <c r="T5" s="1" t="s">
        <v>31</v>
      </c>
      <c r="U5" s="1" t="s">
        <v>31</v>
      </c>
      <c r="V5" s="1" t="s">
        <v>31</v>
      </c>
      <c r="W5" s="1" t="s">
        <v>31</v>
      </c>
      <c r="X5" s="1" t="s">
        <v>105</v>
      </c>
      <c r="Y5" s="1" t="s">
        <v>105</v>
      </c>
      <c r="Z5" s="1" t="s">
        <v>31</v>
      </c>
      <c r="AA5" s="1" t="s">
        <v>31</v>
      </c>
      <c r="AB5" s="1" t="s">
        <v>31</v>
      </c>
    </row>
    <row r="6" spans="1:28" x14ac:dyDescent="0.15">
      <c r="A6" s="1" t="s">
        <v>39</v>
      </c>
      <c r="B6" s="1" t="s">
        <v>98</v>
      </c>
      <c r="C6" s="1" t="s">
        <v>99</v>
      </c>
      <c r="D6" s="1" t="s">
        <v>111</v>
      </c>
      <c r="E6" s="1" t="s">
        <v>70</v>
      </c>
      <c r="F6" s="1" t="s">
        <v>112</v>
      </c>
      <c r="G6" s="1" t="s">
        <v>102</v>
      </c>
      <c r="H6" s="1" t="s">
        <v>113</v>
      </c>
      <c r="I6" s="1" t="s">
        <v>104</v>
      </c>
      <c r="K6" s="1" t="s">
        <v>105</v>
      </c>
      <c r="L6" s="1" t="s">
        <v>31</v>
      </c>
      <c r="M6" s="1" t="s">
        <v>31</v>
      </c>
      <c r="N6" s="1" t="s">
        <v>473</v>
      </c>
      <c r="O6" s="1" t="s">
        <v>31</v>
      </c>
      <c r="P6" s="1" t="s">
        <v>31</v>
      </c>
      <c r="Q6" s="1" t="s">
        <v>31</v>
      </c>
      <c r="R6" s="1" t="s">
        <v>31</v>
      </c>
      <c r="S6" s="1" t="s">
        <v>114</v>
      </c>
      <c r="T6" s="1" t="s">
        <v>31</v>
      </c>
      <c r="U6" s="1" t="s">
        <v>31</v>
      </c>
      <c r="V6" s="1" t="s">
        <v>31</v>
      </c>
      <c r="W6" s="1" t="s">
        <v>31</v>
      </c>
      <c r="X6" s="1" t="s">
        <v>105</v>
      </c>
      <c r="Y6" s="1" t="s">
        <v>105</v>
      </c>
      <c r="Z6" s="1" t="s">
        <v>31</v>
      </c>
      <c r="AA6" s="1" t="s">
        <v>31</v>
      </c>
      <c r="AB6" s="1" t="s">
        <v>70</v>
      </c>
    </row>
    <row r="7" spans="1:28" x14ac:dyDescent="0.15">
      <c r="A7" s="1" t="s">
        <v>40</v>
      </c>
      <c r="B7" s="1" t="s">
        <v>98</v>
      </c>
      <c r="C7" s="1" t="s">
        <v>99</v>
      </c>
      <c r="D7" s="1" t="s">
        <v>115</v>
      </c>
      <c r="E7" s="1" t="s">
        <v>70</v>
      </c>
      <c r="F7" s="1" t="s">
        <v>116</v>
      </c>
      <c r="G7" s="1" t="s">
        <v>102</v>
      </c>
      <c r="H7" s="1" t="s">
        <v>117</v>
      </c>
      <c r="I7" s="1" t="s">
        <v>104</v>
      </c>
      <c r="J7" s="1" t="s">
        <v>118</v>
      </c>
      <c r="K7" s="1" t="s">
        <v>105</v>
      </c>
      <c r="L7" s="1" t="s">
        <v>31</v>
      </c>
      <c r="M7" s="1" t="s">
        <v>31</v>
      </c>
      <c r="N7" s="1" t="s">
        <v>301</v>
      </c>
      <c r="O7" s="1" t="s">
        <v>31</v>
      </c>
      <c r="P7" s="1" t="s">
        <v>31</v>
      </c>
      <c r="Q7" s="1" t="s">
        <v>31</v>
      </c>
      <c r="R7" s="1" t="s">
        <v>31</v>
      </c>
      <c r="S7" s="1" t="s">
        <v>119</v>
      </c>
      <c r="T7" s="1" t="s">
        <v>31</v>
      </c>
      <c r="U7" s="1" t="s">
        <v>31</v>
      </c>
      <c r="V7" s="1" t="s">
        <v>31</v>
      </c>
      <c r="W7" s="1" t="s">
        <v>31</v>
      </c>
      <c r="X7" s="1" t="s">
        <v>105</v>
      </c>
      <c r="Y7" s="1" t="s">
        <v>105</v>
      </c>
      <c r="Z7" s="1" t="s">
        <v>31</v>
      </c>
      <c r="AA7" s="1" t="s">
        <v>31</v>
      </c>
      <c r="AB7" s="1" t="s">
        <v>70</v>
      </c>
    </row>
    <row r="8" spans="1:28" x14ac:dyDescent="0.15">
      <c r="A8" s="1" t="s">
        <v>41</v>
      </c>
      <c r="B8" s="1" t="s">
        <v>98</v>
      </c>
      <c r="C8" s="1" t="s">
        <v>99</v>
      </c>
      <c r="D8" s="1" t="s">
        <v>120</v>
      </c>
      <c r="E8" s="1" t="s">
        <v>70</v>
      </c>
      <c r="F8" s="1" t="s">
        <v>121</v>
      </c>
      <c r="G8" s="1" t="s">
        <v>122</v>
      </c>
      <c r="H8" s="1" t="s">
        <v>420</v>
      </c>
      <c r="I8" s="1" t="s">
        <v>411</v>
      </c>
      <c r="K8" s="1" t="s">
        <v>105</v>
      </c>
      <c r="L8" s="1" t="s">
        <v>31</v>
      </c>
      <c r="M8" s="1" t="s">
        <v>70</v>
      </c>
      <c r="N8" s="1" t="s">
        <v>31</v>
      </c>
      <c r="O8" s="1" t="s">
        <v>31</v>
      </c>
      <c r="P8" s="1" t="s">
        <v>31</v>
      </c>
      <c r="Q8" s="1" t="s">
        <v>31</v>
      </c>
      <c r="R8" s="1" t="s">
        <v>31</v>
      </c>
      <c r="S8" s="1" t="s">
        <v>421</v>
      </c>
      <c r="T8" s="1" t="s">
        <v>31</v>
      </c>
      <c r="U8" s="1" t="s">
        <v>31</v>
      </c>
      <c r="V8" s="1" t="s">
        <v>31</v>
      </c>
      <c r="W8" s="1" t="s">
        <v>31</v>
      </c>
      <c r="X8" s="1" t="s">
        <v>105</v>
      </c>
      <c r="Y8" s="1" t="s">
        <v>105</v>
      </c>
      <c r="Z8" s="1" t="s">
        <v>31</v>
      </c>
      <c r="AA8" s="1" t="s">
        <v>31</v>
      </c>
      <c r="AB8" s="1" t="s">
        <v>31</v>
      </c>
    </row>
    <row r="9" spans="1:28" x14ac:dyDescent="0.15">
      <c r="A9" s="1" t="s">
        <v>41</v>
      </c>
      <c r="B9" s="1" t="s">
        <v>98</v>
      </c>
      <c r="C9" s="1" t="s">
        <v>99</v>
      </c>
      <c r="D9" s="1" t="s">
        <v>120</v>
      </c>
      <c r="E9" s="1" t="s">
        <v>70</v>
      </c>
      <c r="F9" s="1" t="s">
        <v>121</v>
      </c>
      <c r="G9" s="1" t="s">
        <v>122</v>
      </c>
      <c r="H9" s="1" t="s">
        <v>308</v>
      </c>
      <c r="I9" s="1" t="s">
        <v>309</v>
      </c>
      <c r="K9" s="1" t="s">
        <v>105</v>
      </c>
      <c r="L9" s="1" t="s">
        <v>31</v>
      </c>
      <c r="M9" s="1" t="s">
        <v>70</v>
      </c>
      <c r="N9" s="1" t="s">
        <v>31</v>
      </c>
      <c r="O9" s="1" t="s">
        <v>31</v>
      </c>
      <c r="P9" s="1" t="s">
        <v>31</v>
      </c>
      <c r="Q9" s="1" t="s">
        <v>31</v>
      </c>
      <c r="R9" s="1" t="s">
        <v>31</v>
      </c>
      <c r="S9" s="1" t="s">
        <v>128</v>
      </c>
      <c r="T9" s="1" t="s">
        <v>31</v>
      </c>
      <c r="U9" s="1" t="s">
        <v>31</v>
      </c>
      <c r="V9" s="1" t="s">
        <v>31</v>
      </c>
      <c r="W9" s="1" t="s">
        <v>31</v>
      </c>
      <c r="X9" s="1" t="s">
        <v>105</v>
      </c>
      <c r="Y9" s="1" t="s">
        <v>105</v>
      </c>
      <c r="Z9" s="1" t="s">
        <v>31</v>
      </c>
      <c r="AA9" s="1" t="s">
        <v>31</v>
      </c>
      <c r="AB9" s="1" t="s">
        <v>31</v>
      </c>
    </row>
    <row r="10" spans="1:28" x14ac:dyDescent="0.15">
      <c r="A10" s="1" t="s">
        <v>42</v>
      </c>
      <c r="B10" s="1" t="s">
        <v>98</v>
      </c>
      <c r="C10" s="1" t="s">
        <v>99</v>
      </c>
      <c r="D10" s="1" t="s">
        <v>124</v>
      </c>
      <c r="E10" s="1" t="s">
        <v>70</v>
      </c>
      <c r="F10" s="1" t="s">
        <v>125</v>
      </c>
      <c r="G10" s="1" t="s">
        <v>126</v>
      </c>
      <c r="H10" s="1" t="s">
        <v>127</v>
      </c>
      <c r="I10" s="1" t="s">
        <v>32</v>
      </c>
      <c r="K10" s="1" t="s">
        <v>105</v>
      </c>
      <c r="L10" s="1" t="s">
        <v>31</v>
      </c>
      <c r="M10" s="1" t="s">
        <v>70</v>
      </c>
      <c r="N10" s="1" t="s">
        <v>31</v>
      </c>
      <c r="O10" s="1" t="s">
        <v>31</v>
      </c>
      <c r="P10" s="1" t="s">
        <v>31</v>
      </c>
      <c r="Q10" s="1" t="s">
        <v>31</v>
      </c>
      <c r="R10" s="1" t="s">
        <v>31</v>
      </c>
      <c r="S10" s="1" t="s">
        <v>322</v>
      </c>
      <c r="T10" s="1" t="s">
        <v>31</v>
      </c>
      <c r="U10" s="1" t="s">
        <v>31</v>
      </c>
      <c r="V10" s="1" t="s">
        <v>31</v>
      </c>
      <c r="W10" s="1" t="s">
        <v>31</v>
      </c>
      <c r="X10" s="1" t="s">
        <v>105</v>
      </c>
      <c r="Y10" s="1" t="s">
        <v>105</v>
      </c>
      <c r="Z10" s="1" t="s">
        <v>31</v>
      </c>
      <c r="AA10" s="1" t="s">
        <v>31</v>
      </c>
      <c r="AB10" s="1" t="s">
        <v>31</v>
      </c>
    </row>
    <row r="11" spans="1:28" x14ac:dyDescent="0.15">
      <c r="A11" s="1" t="s">
        <v>44</v>
      </c>
      <c r="B11" s="1" t="s">
        <v>98</v>
      </c>
      <c r="C11" s="1" t="s">
        <v>99</v>
      </c>
      <c r="D11" s="1" t="s">
        <v>129</v>
      </c>
      <c r="E11" s="1" t="s">
        <v>70</v>
      </c>
      <c r="F11" s="1" t="s">
        <v>130</v>
      </c>
      <c r="G11" s="1" t="s">
        <v>102</v>
      </c>
      <c r="H11" s="1" t="s">
        <v>131</v>
      </c>
      <c r="I11" s="1" t="s">
        <v>104</v>
      </c>
      <c r="J11" s="1" t="s">
        <v>414</v>
      </c>
      <c r="K11" s="1" t="s">
        <v>105</v>
      </c>
      <c r="L11" s="1" t="s">
        <v>31</v>
      </c>
      <c r="M11" s="1" t="s">
        <v>70</v>
      </c>
      <c r="N11" s="1" t="s">
        <v>31</v>
      </c>
      <c r="O11" s="1" t="s">
        <v>31</v>
      </c>
      <c r="P11" s="1" t="s">
        <v>31</v>
      </c>
      <c r="Q11" s="1" t="s">
        <v>31</v>
      </c>
      <c r="R11" s="1" t="s">
        <v>31</v>
      </c>
      <c r="S11" s="1" t="s">
        <v>323</v>
      </c>
      <c r="T11" s="1" t="s">
        <v>31</v>
      </c>
      <c r="U11" s="1" t="s">
        <v>31</v>
      </c>
      <c r="V11" s="1" t="s">
        <v>31</v>
      </c>
      <c r="W11" s="1" t="s">
        <v>31</v>
      </c>
      <c r="X11" s="1" t="s">
        <v>105</v>
      </c>
      <c r="Y11" s="1" t="s">
        <v>105</v>
      </c>
      <c r="Z11" s="1" t="s">
        <v>31</v>
      </c>
      <c r="AA11" s="1" t="s">
        <v>31</v>
      </c>
      <c r="AB11" s="1" t="s">
        <v>31</v>
      </c>
    </row>
    <row r="12" spans="1:28" x14ac:dyDescent="0.15">
      <c r="A12" s="1" t="s">
        <v>45</v>
      </c>
      <c r="B12" s="1" t="s">
        <v>98</v>
      </c>
      <c r="C12" s="1" t="s">
        <v>99</v>
      </c>
      <c r="D12" s="1" t="s">
        <v>134</v>
      </c>
      <c r="E12" s="1" t="s">
        <v>70</v>
      </c>
      <c r="F12" s="1" t="s">
        <v>135</v>
      </c>
      <c r="G12" s="1" t="s">
        <v>102</v>
      </c>
      <c r="H12" s="1" t="s">
        <v>136</v>
      </c>
      <c r="I12" s="1" t="s">
        <v>104</v>
      </c>
      <c r="K12" s="1" t="s">
        <v>105</v>
      </c>
      <c r="L12" s="1" t="s">
        <v>31</v>
      </c>
      <c r="M12" s="1" t="s">
        <v>70</v>
      </c>
      <c r="N12" s="1" t="s">
        <v>31</v>
      </c>
      <c r="O12" s="1" t="s">
        <v>31</v>
      </c>
      <c r="P12" s="1" t="s">
        <v>31</v>
      </c>
      <c r="Q12" s="1" t="s">
        <v>31</v>
      </c>
      <c r="R12" s="1" t="s">
        <v>31</v>
      </c>
      <c r="S12" s="1" t="s">
        <v>324</v>
      </c>
      <c r="T12" s="1" t="s">
        <v>31</v>
      </c>
      <c r="U12" s="1" t="s">
        <v>31</v>
      </c>
      <c r="V12" s="1" t="s">
        <v>31</v>
      </c>
      <c r="W12" s="1" t="s">
        <v>31</v>
      </c>
      <c r="X12" s="1" t="s">
        <v>105</v>
      </c>
      <c r="Y12" s="1" t="s">
        <v>105</v>
      </c>
      <c r="Z12" s="1" t="s">
        <v>31</v>
      </c>
      <c r="AA12" s="1" t="s">
        <v>31</v>
      </c>
      <c r="AB12" s="1" t="s">
        <v>31</v>
      </c>
    </row>
    <row r="13" spans="1:28" x14ac:dyDescent="0.15">
      <c r="A13" s="1" t="s">
        <v>46</v>
      </c>
      <c r="B13" s="1" t="s">
        <v>98</v>
      </c>
      <c r="C13" s="1" t="s">
        <v>99</v>
      </c>
      <c r="D13" s="1" t="s">
        <v>138</v>
      </c>
      <c r="E13" s="1" t="s">
        <v>70</v>
      </c>
      <c r="F13" s="1" t="s">
        <v>139</v>
      </c>
      <c r="G13" s="1" t="s">
        <v>102</v>
      </c>
      <c r="H13" s="1" t="s">
        <v>140</v>
      </c>
      <c r="I13" s="1" t="s">
        <v>104</v>
      </c>
      <c r="K13" s="1" t="s">
        <v>105</v>
      </c>
      <c r="L13" s="1" t="s">
        <v>31</v>
      </c>
      <c r="M13" s="1" t="s">
        <v>70</v>
      </c>
      <c r="N13" s="1" t="s">
        <v>31</v>
      </c>
      <c r="O13" s="1" t="s">
        <v>31</v>
      </c>
      <c r="P13" s="1" t="s">
        <v>31</v>
      </c>
      <c r="Q13" s="1" t="s">
        <v>31</v>
      </c>
      <c r="R13" s="1" t="s">
        <v>31</v>
      </c>
      <c r="S13" s="1" t="s">
        <v>383</v>
      </c>
      <c r="T13" s="1" t="s">
        <v>31</v>
      </c>
      <c r="U13" s="1" t="s">
        <v>31</v>
      </c>
      <c r="V13" s="1" t="s">
        <v>31</v>
      </c>
      <c r="W13" s="1" t="s">
        <v>31</v>
      </c>
      <c r="X13" s="1" t="s">
        <v>105</v>
      </c>
      <c r="Y13" s="1" t="s">
        <v>105</v>
      </c>
      <c r="Z13" s="1" t="s">
        <v>31</v>
      </c>
      <c r="AA13" s="1" t="s">
        <v>31</v>
      </c>
      <c r="AB13" s="1" t="s">
        <v>31</v>
      </c>
    </row>
    <row r="14" spans="1:28" x14ac:dyDescent="0.15">
      <c r="A14" s="1" t="s">
        <v>47</v>
      </c>
      <c r="B14" s="1" t="s">
        <v>98</v>
      </c>
      <c r="C14" s="1" t="s">
        <v>99</v>
      </c>
      <c r="D14" s="1" t="s">
        <v>142</v>
      </c>
      <c r="E14" s="1" t="s">
        <v>70</v>
      </c>
      <c r="F14" s="1" t="s">
        <v>143</v>
      </c>
      <c r="G14" s="1" t="s">
        <v>102</v>
      </c>
      <c r="H14" s="1" t="s">
        <v>144</v>
      </c>
      <c r="I14" s="1" t="s">
        <v>104</v>
      </c>
      <c r="K14" s="1" t="s">
        <v>105</v>
      </c>
      <c r="L14" s="1" t="s">
        <v>31</v>
      </c>
      <c r="M14" s="1" t="s">
        <v>31</v>
      </c>
      <c r="N14" s="1" t="s">
        <v>326</v>
      </c>
      <c r="O14" s="1" t="s">
        <v>31</v>
      </c>
      <c r="P14" s="1" t="s">
        <v>31</v>
      </c>
      <c r="Q14" s="1" t="s">
        <v>31</v>
      </c>
      <c r="R14" s="1" t="s">
        <v>31</v>
      </c>
      <c r="S14" s="1" t="s">
        <v>327</v>
      </c>
      <c r="T14" s="1" t="s">
        <v>31</v>
      </c>
      <c r="U14" s="1" t="s">
        <v>31</v>
      </c>
      <c r="V14" s="1" t="s">
        <v>31</v>
      </c>
      <c r="W14" s="1" t="s">
        <v>31</v>
      </c>
      <c r="X14" s="1" t="s">
        <v>105</v>
      </c>
      <c r="Y14" s="1" t="s">
        <v>105</v>
      </c>
      <c r="Z14" s="1" t="s">
        <v>31</v>
      </c>
      <c r="AA14" s="1" t="s">
        <v>31</v>
      </c>
      <c r="AB14" s="1" t="s">
        <v>70</v>
      </c>
    </row>
    <row r="15" spans="1:28" x14ac:dyDescent="0.15">
      <c r="A15" s="1" t="s">
        <v>48</v>
      </c>
      <c r="B15" s="1" t="s">
        <v>98</v>
      </c>
      <c r="C15" s="1" t="s">
        <v>99</v>
      </c>
      <c r="D15" s="1" t="s">
        <v>146</v>
      </c>
      <c r="E15" s="1" t="s">
        <v>70</v>
      </c>
      <c r="F15" s="1" t="s">
        <v>147</v>
      </c>
      <c r="G15" s="1" t="s">
        <v>102</v>
      </c>
      <c r="H15" s="1" t="s">
        <v>148</v>
      </c>
      <c r="I15" s="1" t="s">
        <v>104</v>
      </c>
      <c r="K15" s="1" t="s">
        <v>105</v>
      </c>
      <c r="L15" s="1" t="s">
        <v>31</v>
      </c>
      <c r="M15" s="1" t="s">
        <v>31</v>
      </c>
      <c r="N15" s="1" t="s">
        <v>326</v>
      </c>
      <c r="O15" s="1" t="s">
        <v>31</v>
      </c>
      <c r="P15" s="1" t="s">
        <v>31</v>
      </c>
      <c r="Q15" s="1" t="s">
        <v>31</v>
      </c>
      <c r="R15" s="1" t="s">
        <v>31</v>
      </c>
      <c r="S15" s="1" t="s">
        <v>328</v>
      </c>
      <c r="T15" s="1" t="s">
        <v>31</v>
      </c>
      <c r="U15" s="1" t="s">
        <v>31</v>
      </c>
      <c r="V15" s="1" t="s">
        <v>31</v>
      </c>
      <c r="W15" s="1" t="s">
        <v>31</v>
      </c>
      <c r="X15" s="1" t="s">
        <v>105</v>
      </c>
      <c r="Y15" s="1" t="s">
        <v>105</v>
      </c>
      <c r="Z15" s="1" t="s">
        <v>31</v>
      </c>
      <c r="AA15" s="1" t="s">
        <v>31</v>
      </c>
      <c r="AB15" s="1" t="s">
        <v>70</v>
      </c>
    </row>
    <row r="16" spans="1:28" x14ac:dyDescent="0.15">
      <c r="A16" s="1" t="s">
        <v>49</v>
      </c>
      <c r="B16" s="1" t="s">
        <v>98</v>
      </c>
      <c r="C16" s="1" t="s">
        <v>150</v>
      </c>
      <c r="D16" s="1" t="s">
        <v>151</v>
      </c>
      <c r="E16" s="1" t="s">
        <v>152</v>
      </c>
      <c r="F16" s="1" t="s">
        <v>153</v>
      </c>
      <c r="G16" s="1" t="s">
        <v>122</v>
      </c>
      <c r="H16" s="1" t="s">
        <v>540</v>
      </c>
      <c r="I16" s="1" t="s">
        <v>411</v>
      </c>
      <c r="K16" s="1" t="s">
        <v>105</v>
      </c>
      <c r="L16" s="1" t="s">
        <v>31</v>
      </c>
      <c r="M16" s="1" t="s">
        <v>31</v>
      </c>
      <c r="N16" s="1" t="s">
        <v>31</v>
      </c>
      <c r="O16" s="1" t="s">
        <v>31</v>
      </c>
      <c r="P16" s="1" t="s">
        <v>31</v>
      </c>
      <c r="Q16" s="1" t="s">
        <v>31</v>
      </c>
      <c r="R16" s="1" t="s">
        <v>31</v>
      </c>
      <c r="S16" s="1" t="s">
        <v>541</v>
      </c>
      <c r="T16" s="1" t="s">
        <v>31</v>
      </c>
      <c r="U16" s="1" t="s">
        <v>31</v>
      </c>
      <c r="V16" s="1" t="s">
        <v>31</v>
      </c>
      <c r="W16" s="1" t="s">
        <v>31</v>
      </c>
      <c r="X16" s="1" t="s">
        <v>105</v>
      </c>
      <c r="Y16" s="1" t="s">
        <v>105</v>
      </c>
      <c r="Z16" s="1" t="s">
        <v>31</v>
      </c>
      <c r="AA16" s="1" t="s">
        <v>31</v>
      </c>
      <c r="AB16" s="1" t="s">
        <v>31</v>
      </c>
    </row>
    <row r="17" spans="1:28" x14ac:dyDescent="0.15">
      <c r="A17" s="1" t="s">
        <v>50</v>
      </c>
      <c r="B17" s="1" t="s">
        <v>98</v>
      </c>
      <c r="C17" s="1" t="s">
        <v>150</v>
      </c>
      <c r="D17" s="1" t="s">
        <v>155</v>
      </c>
      <c r="E17" s="1" t="s">
        <v>152</v>
      </c>
      <c r="F17" s="1" t="s">
        <v>156</v>
      </c>
      <c r="G17" s="1" t="s">
        <v>102</v>
      </c>
      <c r="H17" s="1" t="s">
        <v>157</v>
      </c>
      <c r="I17" s="1" t="s">
        <v>104</v>
      </c>
      <c r="K17" s="1" t="s">
        <v>105</v>
      </c>
      <c r="L17" s="1" t="s">
        <v>31</v>
      </c>
      <c r="M17" s="1" t="s">
        <v>31</v>
      </c>
      <c r="N17" s="1" t="s">
        <v>542</v>
      </c>
      <c r="O17" s="1" t="s">
        <v>31</v>
      </c>
      <c r="P17" s="1" t="s">
        <v>31</v>
      </c>
      <c r="Q17" s="1" t="s">
        <v>31</v>
      </c>
      <c r="R17" s="1" t="s">
        <v>31</v>
      </c>
      <c r="S17" s="1" t="s">
        <v>543</v>
      </c>
      <c r="T17" s="1" t="s">
        <v>31</v>
      </c>
      <c r="U17" s="1" t="s">
        <v>31</v>
      </c>
      <c r="V17" s="1" t="s">
        <v>31</v>
      </c>
      <c r="W17" s="1" t="s">
        <v>31</v>
      </c>
      <c r="X17" s="1" t="s">
        <v>105</v>
      </c>
      <c r="Y17" s="1" t="s">
        <v>105</v>
      </c>
      <c r="Z17" s="1" t="s">
        <v>31</v>
      </c>
      <c r="AA17" s="1" t="s">
        <v>31</v>
      </c>
      <c r="AB17" s="1" t="s">
        <v>70</v>
      </c>
    </row>
    <row r="18" spans="1:28" x14ac:dyDescent="0.15">
      <c r="A18" s="1" t="s">
        <v>52</v>
      </c>
      <c r="B18" s="1" t="s">
        <v>98</v>
      </c>
      <c r="C18" s="1" t="s">
        <v>160</v>
      </c>
      <c r="D18" s="1" t="s">
        <v>161</v>
      </c>
      <c r="E18" s="1" t="s">
        <v>162</v>
      </c>
      <c r="F18" s="1" t="s">
        <v>163</v>
      </c>
      <c r="G18" s="1" t="s">
        <v>102</v>
      </c>
      <c r="H18" s="1" t="s">
        <v>164</v>
      </c>
      <c r="I18" s="1" t="s">
        <v>104</v>
      </c>
      <c r="K18" s="1" t="s">
        <v>105</v>
      </c>
      <c r="L18" s="1" t="s">
        <v>31</v>
      </c>
      <c r="M18" s="1" t="s">
        <v>31</v>
      </c>
      <c r="N18" s="1" t="s">
        <v>326</v>
      </c>
      <c r="O18" s="1" t="s">
        <v>31</v>
      </c>
      <c r="P18" s="1" t="s">
        <v>31</v>
      </c>
      <c r="Q18" s="1" t="s">
        <v>31</v>
      </c>
      <c r="R18" s="1" t="s">
        <v>31</v>
      </c>
      <c r="S18" s="1" t="s">
        <v>330</v>
      </c>
      <c r="T18" s="1" t="s">
        <v>31</v>
      </c>
      <c r="U18" s="1" t="s">
        <v>31</v>
      </c>
      <c r="V18" s="1" t="s">
        <v>31</v>
      </c>
      <c r="W18" s="1" t="s">
        <v>31</v>
      </c>
      <c r="X18" s="1" t="s">
        <v>105</v>
      </c>
      <c r="Y18" s="1" t="s">
        <v>105</v>
      </c>
      <c r="Z18" s="1" t="s">
        <v>31</v>
      </c>
      <c r="AA18" s="1" t="s">
        <v>31</v>
      </c>
      <c r="AB18" s="1" t="s">
        <v>70</v>
      </c>
    </row>
    <row r="19" spans="1:28" x14ac:dyDescent="0.15">
      <c r="A19" s="1" t="s">
        <v>53</v>
      </c>
      <c r="B19" s="1" t="s">
        <v>98</v>
      </c>
      <c r="C19" s="1" t="s">
        <v>166</v>
      </c>
      <c r="D19" s="1" t="s">
        <v>167</v>
      </c>
      <c r="E19" s="1" t="s">
        <v>70</v>
      </c>
      <c r="F19" s="1" t="s">
        <v>168</v>
      </c>
      <c r="G19" s="1" t="s">
        <v>102</v>
      </c>
      <c r="H19" s="1" t="s">
        <v>169</v>
      </c>
      <c r="I19" s="1" t="s">
        <v>104</v>
      </c>
      <c r="K19" s="1" t="s">
        <v>105</v>
      </c>
      <c r="L19" s="1" t="s">
        <v>31</v>
      </c>
      <c r="M19" s="1" t="s">
        <v>31</v>
      </c>
      <c r="N19" s="1" t="s">
        <v>326</v>
      </c>
      <c r="O19" s="1" t="s">
        <v>31</v>
      </c>
      <c r="P19" s="1" t="s">
        <v>31</v>
      </c>
      <c r="Q19" s="1" t="s">
        <v>31</v>
      </c>
      <c r="R19" s="1" t="s">
        <v>31</v>
      </c>
      <c r="S19" s="1" t="s">
        <v>331</v>
      </c>
      <c r="T19" s="1" t="s">
        <v>31</v>
      </c>
      <c r="U19" s="1" t="s">
        <v>31</v>
      </c>
      <c r="V19" s="1" t="s">
        <v>31</v>
      </c>
      <c r="W19" s="1" t="s">
        <v>31</v>
      </c>
      <c r="X19" s="1" t="s">
        <v>105</v>
      </c>
      <c r="Y19" s="1" t="s">
        <v>105</v>
      </c>
      <c r="Z19" s="1" t="s">
        <v>31</v>
      </c>
      <c r="AA19" s="1" t="s">
        <v>31</v>
      </c>
      <c r="AB19" s="1" t="s">
        <v>70</v>
      </c>
    </row>
    <row r="20" spans="1:28" x14ac:dyDescent="0.15">
      <c r="A20" s="1" t="s">
        <v>54</v>
      </c>
      <c r="B20" s="1" t="s">
        <v>98</v>
      </c>
      <c r="C20" s="1" t="s">
        <v>166</v>
      </c>
      <c r="D20" s="1" t="s">
        <v>171</v>
      </c>
      <c r="E20" s="1" t="s">
        <v>70</v>
      </c>
      <c r="F20" s="1" t="s">
        <v>172</v>
      </c>
      <c r="G20" s="1" t="s">
        <v>102</v>
      </c>
      <c r="H20" s="1" t="s">
        <v>173</v>
      </c>
      <c r="I20" s="1" t="s">
        <v>104</v>
      </c>
      <c r="K20" s="1" t="s">
        <v>105</v>
      </c>
      <c r="L20" s="1" t="s">
        <v>31</v>
      </c>
      <c r="M20" s="1" t="s">
        <v>31</v>
      </c>
      <c r="N20" s="1" t="s">
        <v>326</v>
      </c>
      <c r="O20" s="1" t="s">
        <v>31</v>
      </c>
      <c r="P20" s="1" t="s">
        <v>31</v>
      </c>
      <c r="Q20" s="1" t="s">
        <v>31</v>
      </c>
      <c r="R20" s="1" t="s">
        <v>31</v>
      </c>
      <c r="S20" s="1" t="s">
        <v>332</v>
      </c>
      <c r="T20" s="1" t="s">
        <v>31</v>
      </c>
      <c r="U20" s="1" t="s">
        <v>31</v>
      </c>
      <c r="V20" s="1" t="s">
        <v>31</v>
      </c>
      <c r="W20" s="1" t="s">
        <v>31</v>
      </c>
      <c r="X20" s="1" t="s">
        <v>105</v>
      </c>
      <c r="Y20" s="1" t="s">
        <v>105</v>
      </c>
      <c r="Z20" s="1" t="s">
        <v>31</v>
      </c>
      <c r="AA20" s="1" t="s">
        <v>31</v>
      </c>
      <c r="AB20" s="1" t="s">
        <v>70</v>
      </c>
    </row>
    <row r="21" spans="1:28" x14ac:dyDescent="0.15">
      <c r="A21" s="1" t="s">
        <v>55</v>
      </c>
      <c r="B21" s="1" t="s">
        <v>98</v>
      </c>
      <c r="C21" s="1" t="s">
        <v>166</v>
      </c>
      <c r="D21" s="1" t="s">
        <v>175</v>
      </c>
      <c r="E21" s="1" t="s">
        <v>176</v>
      </c>
      <c r="F21" s="1" t="s">
        <v>177</v>
      </c>
      <c r="G21" s="1" t="s">
        <v>102</v>
      </c>
      <c r="H21" s="1" t="s">
        <v>178</v>
      </c>
      <c r="I21" s="1" t="s">
        <v>104</v>
      </c>
      <c r="K21" s="1" t="s">
        <v>179</v>
      </c>
      <c r="L21" s="1" t="s">
        <v>453</v>
      </c>
      <c r="M21" s="1" t="s">
        <v>70</v>
      </c>
      <c r="N21" s="1" t="s">
        <v>31</v>
      </c>
      <c r="O21" s="1" t="s">
        <v>31</v>
      </c>
      <c r="P21" s="1" t="s">
        <v>31</v>
      </c>
      <c r="Q21" s="1" t="s">
        <v>31</v>
      </c>
      <c r="R21" s="1" t="s">
        <v>31</v>
      </c>
      <c r="S21" s="1" t="s">
        <v>453</v>
      </c>
      <c r="T21" s="1" t="s">
        <v>181</v>
      </c>
      <c r="U21" s="1" t="s">
        <v>31</v>
      </c>
      <c r="V21" s="1" t="s">
        <v>31</v>
      </c>
      <c r="W21" s="1" t="s">
        <v>31</v>
      </c>
      <c r="X21" s="1" t="s">
        <v>105</v>
      </c>
      <c r="Y21" s="1" t="s">
        <v>105</v>
      </c>
      <c r="Z21" s="1" t="s">
        <v>31</v>
      </c>
      <c r="AA21" s="1" t="s">
        <v>31</v>
      </c>
      <c r="AB21" s="1" t="s">
        <v>31</v>
      </c>
    </row>
    <row r="22" spans="1:28" x14ac:dyDescent="0.15">
      <c r="A22" s="1" t="s">
        <v>56</v>
      </c>
      <c r="B22" s="1" t="s">
        <v>98</v>
      </c>
      <c r="C22" s="1" t="s">
        <v>150</v>
      </c>
      <c r="D22" s="1" t="s">
        <v>182</v>
      </c>
      <c r="E22" s="1" t="s">
        <v>152</v>
      </c>
      <c r="F22" s="1" t="s">
        <v>183</v>
      </c>
      <c r="G22" s="1" t="s">
        <v>126</v>
      </c>
      <c r="H22" s="1" t="s">
        <v>184</v>
      </c>
      <c r="I22" s="1" t="s">
        <v>104</v>
      </c>
      <c r="K22" s="1" t="s">
        <v>105</v>
      </c>
      <c r="L22" s="1" t="s">
        <v>31</v>
      </c>
      <c r="M22" s="1" t="s">
        <v>31</v>
      </c>
      <c r="N22" s="1" t="s">
        <v>31</v>
      </c>
      <c r="O22" s="1" t="s">
        <v>31</v>
      </c>
      <c r="P22" s="1" t="s">
        <v>31</v>
      </c>
      <c r="Q22" s="1" t="s">
        <v>31</v>
      </c>
      <c r="R22" s="1" t="s">
        <v>31</v>
      </c>
      <c r="S22" s="1" t="s">
        <v>407</v>
      </c>
      <c r="T22" s="1" t="s">
        <v>31</v>
      </c>
      <c r="U22" s="1" t="s">
        <v>31</v>
      </c>
      <c r="V22" s="1" t="s">
        <v>31</v>
      </c>
      <c r="W22" s="1" t="s">
        <v>31</v>
      </c>
      <c r="X22" s="1" t="s">
        <v>105</v>
      </c>
      <c r="Y22" s="1" t="s">
        <v>105</v>
      </c>
      <c r="Z22" s="1" t="s">
        <v>31</v>
      </c>
      <c r="AA22" s="1" t="s">
        <v>31</v>
      </c>
      <c r="AB22" s="1" t="s">
        <v>31</v>
      </c>
    </row>
    <row r="23" spans="1:28" x14ac:dyDescent="0.15">
      <c r="A23" s="1" t="s">
        <v>57</v>
      </c>
      <c r="B23" s="1" t="s">
        <v>98</v>
      </c>
      <c r="C23" s="1" t="s">
        <v>186</v>
      </c>
      <c r="D23" s="1" t="s">
        <v>187</v>
      </c>
      <c r="E23" s="1" t="s">
        <v>188</v>
      </c>
      <c r="F23" s="1" t="s">
        <v>189</v>
      </c>
      <c r="G23" s="1" t="s">
        <v>102</v>
      </c>
      <c r="H23" s="1" t="s">
        <v>190</v>
      </c>
      <c r="I23" s="1" t="s">
        <v>104</v>
      </c>
      <c r="K23" s="1" t="s">
        <v>179</v>
      </c>
      <c r="L23" s="1" t="s">
        <v>191</v>
      </c>
      <c r="M23" s="1" t="s">
        <v>31</v>
      </c>
      <c r="N23" s="1" t="s">
        <v>192</v>
      </c>
      <c r="O23" s="1" t="s">
        <v>31</v>
      </c>
      <c r="P23" s="1" t="s">
        <v>31</v>
      </c>
      <c r="Q23" s="1" t="s">
        <v>31</v>
      </c>
      <c r="R23" s="1" t="s">
        <v>31</v>
      </c>
      <c r="S23" s="1" t="s">
        <v>191</v>
      </c>
      <c r="T23" s="1" t="s">
        <v>193</v>
      </c>
      <c r="U23" s="1" t="s">
        <v>31</v>
      </c>
      <c r="V23" s="1" t="s">
        <v>31</v>
      </c>
      <c r="W23" s="1" t="s">
        <v>31</v>
      </c>
      <c r="X23" s="1" t="s">
        <v>105</v>
      </c>
      <c r="Y23" s="1" t="s">
        <v>105</v>
      </c>
      <c r="Z23" s="1" t="s">
        <v>31</v>
      </c>
      <c r="AA23" s="1" t="s">
        <v>31</v>
      </c>
      <c r="AB23" s="1" t="s">
        <v>70</v>
      </c>
    </row>
    <row r="24" spans="1:28" x14ac:dyDescent="0.15">
      <c r="A24" s="1" t="s">
        <v>58</v>
      </c>
      <c r="B24" s="1" t="s">
        <v>98</v>
      </c>
      <c r="C24" s="1" t="s">
        <v>186</v>
      </c>
      <c r="D24" s="1" t="s">
        <v>194</v>
      </c>
      <c r="E24" s="1" t="s">
        <v>188</v>
      </c>
      <c r="F24" s="1" t="s">
        <v>195</v>
      </c>
      <c r="G24" s="1" t="s">
        <v>102</v>
      </c>
      <c r="H24" s="1" t="s">
        <v>196</v>
      </c>
      <c r="I24" s="1" t="s">
        <v>104</v>
      </c>
      <c r="K24" s="1" t="s">
        <v>179</v>
      </c>
      <c r="L24" s="1" t="s">
        <v>335</v>
      </c>
      <c r="M24" s="1" t="s">
        <v>31</v>
      </c>
      <c r="N24" s="1" t="s">
        <v>192</v>
      </c>
      <c r="O24" s="1" t="s">
        <v>31</v>
      </c>
      <c r="P24" s="1" t="s">
        <v>31</v>
      </c>
      <c r="Q24" s="1" t="s">
        <v>31</v>
      </c>
      <c r="R24" s="1" t="s">
        <v>31</v>
      </c>
      <c r="S24" s="1" t="s">
        <v>335</v>
      </c>
      <c r="T24" s="1" t="s">
        <v>193</v>
      </c>
      <c r="U24" s="1" t="s">
        <v>31</v>
      </c>
      <c r="V24" s="1" t="s">
        <v>31</v>
      </c>
      <c r="W24" s="1" t="s">
        <v>31</v>
      </c>
      <c r="X24" s="1" t="s">
        <v>105</v>
      </c>
      <c r="Y24" s="1" t="s">
        <v>105</v>
      </c>
      <c r="Z24" s="1" t="s">
        <v>31</v>
      </c>
      <c r="AA24" s="1" t="s">
        <v>31</v>
      </c>
      <c r="AB24" s="1" t="s">
        <v>70</v>
      </c>
    </row>
    <row r="25" spans="1:28" x14ac:dyDescent="0.15">
      <c r="A25" s="1" t="s">
        <v>60</v>
      </c>
      <c r="B25" s="1" t="s">
        <v>98</v>
      </c>
      <c r="C25" s="1" t="s">
        <v>186</v>
      </c>
      <c r="D25" s="1" t="s">
        <v>134</v>
      </c>
      <c r="E25" s="1" t="s">
        <v>188</v>
      </c>
      <c r="F25" s="1" t="s">
        <v>198</v>
      </c>
      <c r="G25" s="1" t="s">
        <v>102</v>
      </c>
      <c r="H25" s="1" t="s">
        <v>136</v>
      </c>
      <c r="I25" s="1" t="s">
        <v>104</v>
      </c>
      <c r="K25" s="1" t="s">
        <v>179</v>
      </c>
      <c r="L25" s="1" t="s">
        <v>336</v>
      </c>
      <c r="M25" s="1" t="s">
        <v>31</v>
      </c>
      <c r="N25" s="1" t="s">
        <v>337</v>
      </c>
      <c r="O25" s="1" t="s">
        <v>31</v>
      </c>
      <c r="P25" s="1" t="s">
        <v>31</v>
      </c>
      <c r="Q25" s="1" t="s">
        <v>31</v>
      </c>
      <c r="R25" s="1" t="s">
        <v>31</v>
      </c>
      <c r="S25" s="1" t="s">
        <v>336</v>
      </c>
      <c r="T25" s="1" t="s">
        <v>193</v>
      </c>
      <c r="U25" s="1" t="s">
        <v>31</v>
      </c>
      <c r="V25" s="1" t="s">
        <v>31</v>
      </c>
      <c r="W25" s="1" t="s">
        <v>31</v>
      </c>
      <c r="X25" s="1" t="s">
        <v>105</v>
      </c>
      <c r="Y25" s="1" t="s">
        <v>105</v>
      </c>
      <c r="Z25" s="1" t="s">
        <v>31</v>
      </c>
      <c r="AA25" s="1" t="s">
        <v>31</v>
      </c>
      <c r="AB25" s="1" t="s">
        <v>70</v>
      </c>
    </row>
    <row r="26" spans="1:28" x14ac:dyDescent="0.15">
      <c r="A26" s="1" t="s">
        <v>59</v>
      </c>
      <c r="B26" s="1" t="s">
        <v>98</v>
      </c>
      <c r="C26" s="1" t="s">
        <v>186</v>
      </c>
      <c r="D26" s="1" t="s">
        <v>138</v>
      </c>
      <c r="E26" s="1" t="s">
        <v>188</v>
      </c>
      <c r="F26" s="1" t="s">
        <v>200</v>
      </c>
      <c r="G26" s="1" t="s">
        <v>102</v>
      </c>
      <c r="H26" s="1" t="s">
        <v>201</v>
      </c>
      <c r="I26" s="1" t="s">
        <v>104</v>
      </c>
      <c r="K26" s="1" t="s">
        <v>179</v>
      </c>
      <c r="L26" s="1" t="s">
        <v>338</v>
      </c>
      <c r="M26" s="1" t="s">
        <v>31</v>
      </c>
      <c r="N26" s="1" t="s">
        <v>326</v>
      </c>
      <c r="O26" s="1" t="s">
        <v>31</v>
      </c>
      <c r="P26" s="1" t="s">
        <v>31</v>
      </c>
      <c r="Q26" s="1" t="s">
        <v>31</v>
      </c>
      <c r="R26" s="1" t="s">
        <v>31</v>
      </c>
      <c r="S26" s="1" t="s">
        <v>338</v>
      </c>
      <c r="T26" s="1" t="s">
        <v>193</v>
      </c>
      <c r="U26" s="1" t="s">
        <v>31</v>
      </c>
      <c r="V26" s="1" t="s">
        <v>31</v>
      </c>
      <c r="W26" s="1" t="s">
        <v>31</v>
      </c>
      <c r="X26" s="1" t="s">
        <v>105</v>
      </c>
      <c r="Y26" s="1" t="s">
        <v>105</v>
      </c>
      <c r="Z26" s="1" t="s">
        <v>31</v>
      </c>
      <c r="AA26" s="1" t="s">
        <v>31</v>
      </c>
      <c r="AB26" s="1" t="s">
        <v>70</v>
      </c>
    </row>
    <row r="27" spans="1:28" x14ac:dyDescent="0.15">
      <c r="A27" s="1" t="s">
        <v>61</v>
      </c>
      <c r="B27" s="1" t="s">
        <v>98</v>
      </c>
      <c r="C27" s="1" t="s">
        <v>186</v>
      </c>
      <c r="D27" s="1" t="s">
        <v>142</v>
      </c>
      <c r="E27" s="1" t="s">
        <v>188</v>
      </c>
      <c r="F27" s="1" t="s">
        <v>203</v>
      </c>
      <c r="G27" s="1" t="s">
        <v>102</v>
      </c>
      <c r="H27" s="1" t="s">
        <v>204</v>
      </c>
      <c r="I27" s="1" t="s">
        <v>104</v>
      </c>
      <c r="K27" s="1" t="s">
        <v>179</v>
      </c>
      <c r="L27" s="1" t="s">
        <v>339</v>
      </c>
      <c r="M27" s="1" t="s">
        <v>31</v>
      </c>
      <c r="N27" s="1" t="s">
        <v>326</v>
      </c>
      <c r="O27" s="1" t="s">
        <v>31</v>
      </c>
      <c r="P27" s="1" t="s">
        <v>31</v>
      </c>
      <c r="Q27" s="1" t="s">
        <v>31</v>
      </c>
      <c r="R27" s="1" t="s">
        <v>31</v>
      </c>
      <c r="S27" s="1" t="s">
        <v>339</v>
      </c>
      <c r="T27" s="1" t="s">
        <v>193</v>
      </c>
      <c r="U27" s="1" t="s">
        <v>31</v>
      </c>
      <c r="V27" s="1" t="s">
        <v>31</v>
      </c>
      <c r="W27" s="1" t="s">
        <v>31</v>
      </c>
      <c r="X27" s="1" t="s">
        <v>105</v>
      </c>
      <c r="Y27" s="1" t="s">
        <v>105</v>
      </c>
      <c r="Z27" s="1" t="s">
        <v>31</v>
      </c>
      <c r="AA27" s="1" t="s">
        <v>31</v>
      </c>
      <c r="AB27" s="1" t="s">
        <v>70</v>
      </c>
    </row>
    <row r="28" spans="1:28" x14ac:dyDescent="0.15">
      <c r="A28" s="1" t="s">
        <v>62</v>
      </c>
      <c r="B28" s="1" t="s">
        <v>98</v>
      </c>
      <c r="C28" s="1" t="s">
        <v>186</v>
      </c>
      <c r="D28" s="1" t="s">
        <v>146</v>
      </c>
      <c r="E28" s="1" t="s">
        <v>188</v>
      </c>
      <c r="F28" s="1" t="s">
        <v>206</v>
      </c>
      <c r="G28" s="1" t="s">
        <v>102</v>
      </c>
      <c r="H28" s="1" t="s">
        <v>207</v>
      </c>
      <c r="I28" s="1" t="s">
        <v>104</v>
      </c>
      <c r="K28" s="1" t="s">
        <v>179</v>
      </c>
      <c r="L28" s="1" t="s">
        <v>340</v>
      </c>
      <c r="M28" s="1" t="s">
        <v>31</v>
      </c>
      <c r="N28" s="1" t="s">
        <v>326</v>
      </c>
      <c r="O28" s="1" t="s">
        <v>31</v>
      </c>
      <c r="P28" s="1" t="s">
        <v>31</v>
      </c>
      <c r="Q28" s="1" t="s">
        <v>31</v>
      </c>
      <c r="R28" s="1" t="s">
        <v>31</v>
      </c>
      <c r="S28" s="1" t="s">
        <v>340</v>
      </c>
      <c r="T28" s="1" t="s">
        <v>193</v>
      </c>
      <c r="U28" s="1" t="s">
        <v>31</v>
      </c>
      <c r="V28" s="1" t="s">
        <v>31</v>
      </c>
      <c r="W28" s="1" t="s">
        <v>31</v>
      </c>
      <c r="X28" s="1" t="s">
        <v>105</v>
      </c>
      <c r="Y28" s="1" t="s">
        <v>105</v>
      </c>
      <c r="Z28" s="1" t="s">
        <v>31</v>
      </c>
      <c r="AA28" s="1" t="s">
        <v>31</v>
      </c>
      <c r="AB28" s="1" t="s">
        <v>70</v>
      </c>
    </row>
    <row r="29" spans="1:28" x14ac:dyDescent="0.15">
      <c r="A29" s="1" t="s">
        <v>63</v>
      </c>
      <c r="B29" s="1" t="s">
        <v>98</v>
      </c>
      <c r="C29" s="1" t="s">
        <v>99</v>
      </c>
      <c r="D29" s="1" t="s">
        <v>209</v>
      </c>
      <c r="E29" s="1" t="s">
        <v>70</v>
      </c>
      <c r="F29" s="1" t="s">
        <v>210</v>
      </c>
      <c r="G29" s="1" t="s">
        <v>102</v>
      </c>
      <c r="H29" s="1" t="s">
        <v>211</v>
      </c>
      <c r="I29" s="1" t="s">
        <v>104</v>
      </c>
      <c r="J29" s="1" t="s">
        <v>392</v>
      </c>
      <c r="K29" s="1" t="s">
        <v>105</v>
      </c>
      <c r="L29" s="1" t="s">
        <v>31</v>
      </c>
      <c r="M29" s="1" t="s">
        <v>31</v>
      </c>
      <c r="N29" s="1" t="s">
        <v>326</v>
      </c>
      <c r="O29" s="1" t="s">
        <v>31</v>
      </c>
      <c r="P29" s="1" t="s">
        <v>31</v>
      </c>
      <c r="Q29" s="1" t="s">
        <v>31</v>
      </c>
      <c r="R29" s="1" t="s">
        <v>31</v>
      </c>
      <c r="S29" s="1" t="s">
        <v>341</v>
      </c>
      <c r="T29" s="1" t="s">
        <v>31</v>
      </c>
      <c r="U29" s="1" t="s">
        <v>31</v>
      </c>
      <c r="V29" s="1" t="s">
        <v>31</v>
      </c>
      <c r="W29" s="1" t="s">
        <v>31</v>
      </c>
      <c r="X29" s="1" t="s">
        <v>105</v>
      </c>
      <c r="Y29" s="1" t="s">
        <v>105</v>
      </c>
      <c r="Z29" s="1" t="s">
        <v>31</v>
      </c>
      <c r="AA29" s="1" t="s">
        <v>31</v>
      </c>
      <c r="AB29" s="1" t="s">
        <v>70</v>
      </c>
    </row>
    <row r="30" spans="1:28" x14ac:dyDescent="0.15">
      <c r="A30" s="1" t="s">
        <v>64</v>
      </c>
      <c r="B30" s="1" t="s">
        <v>98</v>
      </c>
      <c r="C30" s="1" t="s">
        <v>150</v>
      </c>
      <c r="D30" s="1" t="s">
        <v>213</v>
      </c>
      <c r="E30" s="1" t="s">
        <v>152</v>
      </c>
      <c r="F30" s="1" t="s">
        <v>214</v>
      </c>
      <c r="G30" s="1" t="s">
        <v>102</v>
      </c>
      <c r="H30" s="1" t="s">
        <v>215</v>
      </c>
      <c r="I30" s="1" t="s">
        <v>104</v>
      </c>
      <c r="K30" s="1" t="s">
        <v>105</v>
      </c>
      <c r="L30" s="1" t="s">
        <v>31</v>
      </c>
      <c r="M30" s="1" t="s">
        <v>31</v>
      </c>
      <c r="N30" s="1" t="s">
        <v>192</v>
      </c>
      <c r="O30" s="1" t="s">
        <v>31</v>
      </c>
      <c r="P30" s="1" t="s">
        <v>31</v>
      </c>
      <c r="Q30" s="1" t="s">
        <v>31</v>
      </c>
      <c r="R30" s="1" t="s">
        <v>31</v>
      </c>
      <c r="S30" s="1" t="s">
        <v>216</v>
      </c>
      <c r="T30" s="1" t="s">
        <v>31</v>
      </c>
      <c r="U30" s="1" t="s">
        <v>31</v>
      </c>
      <c r="V30" s="1" t="s">
        <v>31</v>
      </c>
      <c r="W30" s="1" t="s">
        <v>31</v>
      </c>
      <c r="X30" s="1" t="s">
        <v>105</v>
      </c>
      <c r="Y30" s="1" t="s">
        <v>105</v>
      </c>
      <c r="Z30" s="1" t="s">
        <v>31</v>
      </c>
      <c r="AA30" s="1" t="s">
        <v>31</v>
      </c>
      <c r="AB30" s="1" t="s">
        <v>70</v>
      </c>
    </row>
    <row r="31" spans="1:28" x14ac:dyDescent="0.15">
      <c r="A31" s="1" t="s">
        <v>65</v>
      </c>
      <c r="B31" s="1" t="s">
        <v>98</v>
      </c>
      <c r="C31" s="1" t="s">
        <v>150</v>
      </c>
      <c r="D31" s="1" t="s">
        <v>217</v>
      </c>
      <c r="E31" s="1" t="s">
        <v>152</v>
      </c>
      <c r="F31" s="1" t="s">
        <v>218</v>
      </c>
      <c r="G31" s="1" t="s">
        <v>102</v>
      </c>
      <c r="H31" s="1" t="s">
        <v>219</v>
      </c>
      <c r="I31" s="1" t="s">
        <v>104</v>
      </c>
      <c r="K31" s="1" t="s">
        <v>105</v>
      </c>
      <c r="L31" s="1" t="s">
        <v>31</v>
      </c>
      <c r="M31" s="1" t="s">
        <v>31</v>
      </c>
      <c r="N31" s="1" t="s">
        <v>192</v>
      </c>
      <c r="O31" s="1" t="s">
        <v>31</v>
      </c>
      <c r="P31" s="1" t="s">
        <v>31</v>
      </c>
      <c r="Q31" s="1" t="s">
        <v>31</v>
      </c>
      <c r="R31" s="1" t="s">
        <v>31</v>
      </c>
      <c r="S31" s="1" t="s">
        <v>342</v>
      </c>
      <c r="T31" s="1" t="s">
        <v>31</v>
      </c>
      <c r="U31" s="1" t="s">
        <v>31</v>
      </c>
      <c r="V31" s="1" t="s">
        <v>31</v>
      </c>
      <c r="W31" s="1" t="s">
        <v>31</v>
      </c>
      <c r="X31" s="1" t="s">
        <v>105</v>
      </c>
      <c r="Y31" s="1" t="s">
        <v>105</v>
      </c>
      <c r="Z31" s="1" t="s">
        <v>31</v>
      </c>
      <c r="AA31" s="1" t="s">
        <v>31</v>
      </c>
      <c r="AB31" s="1" t="s">
        <v>70</v>
      </c>
    </row>
    <row r="32" spans="1:28" x14ac:dyDescent="0.15">
      <c r="A32" s="1" t="s">
        <v>66</v>
      </c>
      <c r="B32" s="1" t="s">
        <v>98</v>
      </c>
      <c r="C32" s="1" t="s">
        <v>221</v>
      </c>
      <c r="D32" s="1" t="s">
        <v>222</v>
      </c>
      <c r="E32" s="1" t="s">
        <v>223</v>
      </c>
      <c r="F32" s="1" t="s">
        <v>224</v>
      </c>
      <c r="G32" s="1" t="s">
        <v>102</v>
      </c>
      <c r="H32" s="1" t="s">
        <v>225</v>
      </c>
      <c r="I32" s="1" t="s">
        <v>104</v>
      </c>
      <c r="K32" s="1" t="s">
        <v>105</v>
      </c>
      <c r="L32" s="1" t="s">
        <v>31</v>
      </c>
      <c r="M32" s="1" t="s">
        <v>31</v>
      </c>
      <c r="N32" s="1" t="s">
        <v>326</v>
      </c>
      <c r="O32" s="1" t="s">
        <v>31</v>
      </c>
      <c r="P32" s="1" t="s">
        <v>31</v>
      </c>
      <c r="Q32" s="1" t="s">
        <v>31</v>
      </c>
      <c r="R32" s="1" t="s">
        <v>31</v>
      </c>
      <c r="S32" s="1" t="s">
        <v>343</v>
      </c>
      <c r="T32" s="1" t="s">
        <v>31</v>
      </c>
      <c r="U32" s="1" t="s">
        <v>31</v>
      </c>
      <c r="V32" s="1" t="s">
        <v>31</v>
      </c>
      <c r="W32" s="1" t="s">
        <v>31</v>
      </c>
      <c r="X32" s="1" t="s">
        <v>105</v>
      </c>
      <c r="Y32" s="1" t="s">
        <v>105</v>
      </c>
      <c r="Z32" s="1" t="s">
        <v>31</v>
      </c>
      <c r="AA32" s="1" t="s">
        <v>31</v>
      </c>
      <c r="AB32" s="1" t="s">
        <v>70</v>
      </c>
    </row>
    <row r="33" spans="1:28" x14ac:dyDescent="0.15">
      <c r="A33" s="1" t="s">
        <v>67</v>
      </c>
      <c r="B33" s="1" t="s">
        <v>98</v>
      </c>
      <c r="C33" s="1" t="s">
        <v>227</v>
      </c>
      <c r="D33" s="1" t="s">
        <v>228</v>
      </c>
      <c r="E33" s="1" t="s">
        <v>229</v>
      </c>
      <c r="F33" s="1" t="s">
        <v>230</v>
      </c>
      <c r="G33" s="1" t="s">
        <v>102</v>
      </c>
      <c r="H33" s="1" t="s">
        <v>231</v>
      </c>
      <c r="I33" s="1" t="s">
        <v>104</v>
      </c>
      <c r="K33" s="1" t="s">
        <v>179</v>
      </c>
      <c r="L33" s="1" t="s">
        <v>425</v>
      </c>
      <c r="M33" s="1" t="s">
        <v>31</v>
      </c>
      <c r="N33" s="1" t="s">
        <v>31</v>
      </c>
      <c r="O33" s="1" t="s">
        <v>31</v>
      </c>
      <c r="P33" s="1" t="s">
        <v>31</v>
      </c>
      <c r="Q33" s="1" t="s">
        <v>31</v>
      </c>
      <c r="R33" s="1" t="s">
        <v>31</v>
      </c>
      <c r="S33" s="1" t="s">
        <v>232</v>
      </c>
      <c r="T33" s="1" t="s">
        <v>233</v>
      </c>
      <c r="U33" s="1" t="s">
        <v>31</v>
      </c>
      <c r="V33" s="1" t="s">
        <v>31</v>
      </c>
      <c r="W33" s="1" t="s">
        <v>31</v>
      </c>
      <c r="X33" s="1" t="s">
        <v>105</v>
      </c>
      <c r="Y33" s="1" t="s">
        <v>105</v>
      </c>
      <c r="Z33" s="1" t="s">
        <v>31</v>
      </c>
      <c r="AA33" s="1" t="s">
        <v>31</v>
      </c>
      <c r="AB33" s="1" t="s">
        <v>70</v>
      </c>
    </row>
    <row r="34" spans="1:28" x14ac:dyDescent="0.15">
      <c r="A34" s="1" t="s">
        <v>370</v>
      </c>
      <c r="B34" s="1" t="s">
        <v>98</v>
      </c>
      <c r="C34" s="1" t="s">
        <v>227</v>
      </c>
      <c r="D34" s="1" t="s">
        <v>372</v>
      </c>
      <c r="E34" s="1" t="s">
        <v>229</v>
      </c>
      <c r="F34" s="1" t="s">
        <v>373</v>
      </c>
      <c r="G34" s="1" t="s">
        <v>102</v>
      </c>
      <c r="H34" s="1" t="s">
        <v>374</v>
      </c>
      <c r="I34" s="1" t="s">
        <v>104</v>
      </c>
      <c r="K34" s="1" t="s">
        <v>179</v>
      </c>
      <c r="L34" s="1" t="s">
        <v>426</v>
      </c>
      <c r="M34" s="1" t="s">
        <v>31</v>
      </c>
      <c r="N34" s="1" t="s">
        <v>31</v>
      </c>
      <c r="O34" s="1" t="s">
        <v>31</v>
      </c>
      <c r="P34" s="1" t="s">
        <v>31</v>
      </c>
      <c r="Q34" s="1" t="s">
        <v>31</v>
      </c>
      <c r="R34" s="1" t="s">
        <v>31</v>
      </c>
      <c r="S34" s="1" t="s">
        <v>371</v>
      </c>
      <c r="T34" s="1" t="s">
        <v>233</v>
      </c>
      <c r="U34" s="1" t="s">
        <v>31</v>
      </c>
      <c r="V34" s="1" t="s">
        <v>31</v>
      </c>
      <c r="W34" s="1" t="s">
        <v>31</v>
      </c>
      <c r="X34" s="1" t="s">
        <v>105</v>
      </c>
      <c r="Y34" s="1" t="s">
        <v>105</v>
      </c>
      <c r="Z34" s="1" t="s">
        <v>31</v>
      </c>
      <c r="AA34" s="1" t="s">
        <v>31</v>
      </c>
      <c r="AB34" s="1" t="s">
        <v>70</v>
      </c>
    </row>
    <row r="35" spans="1:28" x14ac:dyDescent="0.15">
      <c r="A35" s="1" t="s">
        <v>69</v>
      </c>
      <c r="B35" s="1" t="s">
        <v>98</v>
      </c>
      <c r="C35" s="1" t="s">
        <v>234</v>
      </c>
      <c r="D35" s="1" t="s">
        <v>239</v>
      </c>
      <c r="E35" s="1" t="s">
        <v>132</v>
      </c>
      <c r="F35" s="1" t="s">
        <v>240</v>
      </c>
      <c r="G35" s="1" t="s">
        <v>102</v>
      </c>
      <c r="H35" s="1" t="s">
        <v>241</v>
      </c>
      <c r="I35" s="1" t="s">
        <v>104</v>
      </c>
      <c r="K35" s="1" t="s">
        <v>179</v>
      </c>
      <c r="L35" s="1" t="s">
        <v>454</v>
      </c>
      <c r="M35" s="1" t="s">
        <v>70</v>
      </c>
      <c r="N35" s="1" t="s">
        <v>31</v>
      </c>
      <c r="O35" s="1" t="s">
        <v>31</v>
      </c>
      <c r="P35" s="1" t="s">
        <v>31</v>
      </c>
      <c r="Q35" s="1" t="s">
        <v>31</v>
      </c>
      <c r="R35" s="1" t="s">
        <v>31</v>
      </c>
      <c r="S35" s="1" t="s">
        <v>427</v>
      </c>
      <c r="T35" s="1" t="s">
        <v>238</v>
      </c>
      <c r="U35" s="1" t="s">
        <v>31</v>
      </c>
      <c r="V35" s="1" t="s">
        <v>31</v>
      </c>
      <c r="W35" s="1" t="s">
        <v>31</v>
      </c>
      <c r="X35" s="1" t="s">
        <v>105</v>
      </c>
      <c r="Y35" s="1" t="s">
        <v>105</v>
      </c>
      <c r="Z35" s="1" t="s">
        <v>31</v>
      </c>
      <c r="AA35" s="1" t="s">
        <v>31</v>
      </c>
      <c r="AB35" s="1" t="s">
        <v>31</v>
      </c>
    </row>
    <row r="36" spans="1:28" x14ac:dyDescent="0.15">
      <c r="A36" s="1" t="s">
        <v>291</v>
      </c>
      <c r="B36" s="1" t="s">
        <v>98</v>
      </c>
      <c r="C36" s="1" t="s">
        <v>234</v>
      </c>
      <c r="D36" s="1" t="s">
        <v>293</v>
      </c>
      <c r="E36" s="1" t="s">
        <v>132</v>
      </c>
      <c r="F36" s="1" t="s">
        <v>294</v>
      </c>
      <c r="G36" s="1" t="s">
        <v>102</v>
      </c>
      <c r="H36" s="1" t="s">
        <v>295</v>
      </c>
      <c r="I36" s="1" t="s">
        <v>104</v>
      </c>
      <c r="J36" s="1" t="s">
        <v>520</v>
      </c>
      <c r="K36" s="1" t="s">
        <v>179</v>
      </c>
      <c r="L36" s="1" t="s">
        <v>455</v>
      </c>
      <c r="M36" s="1" t="s">
        <v>70</v>
      </c>
      <c r="N36" s="1" t="s">
        <v>31</v>
      </c>
      <c r="O36" s="1" t="s">
        <v>31</v>
      </c>
      <c r="P36" s="1" t="s">
        <v>31</v>
      </c>
      <c r="Q36" s="1" t="s">
        <v>31</v>
      </c>
      <c r="R36" s="1" t="s">
        <v>31</v>
      </c>
      <c r="S36" s="1" t="s">
        <v>428</v>
      </c>
      <c r="T36" s="1" t="s">
        <v>238</v>
      </c>
      <c r="U36" s="1" t="s">
        <v>31</v>
      </c>
      <c r="V36" s="1" t="s">
        <v>31</v>
      </c>
      <c r="W36" s="1" t="s">
        <v>31</v>
      </c>
      <c r="X36" s="1" t="s">
        <v>105</v>
      </c>
      <c r="Y36" s="1" t="s">
        <v>105</v>
      </c>
      <c r="Z36" s="1" t="s">
        <v>31</v>
      </c>
      <c r="AA36" s="1" t="s">
        <v>31</v>
      </c>
      <c r="AB36" s="1" t="s">
        <v>31</v>
      </c>
    </row>
    <row r="37" spans="1:28" x14ac:dyDescent="0.15">
      <c r="A37" s="1" t="s">
        <v>68</v>
      </c>
      <c r="B37" s="1" t="s">
        <v>98</v>
      </c>
      <c r="C37" s="1" t="s">
        <v>234</v>
      </c>
      <c r="D37" s="1" t="s">
        <v>235</v>
      </c>
      <c r="E37" s="1" t="s">
        <v>132</v>
      </c>
      <c r="F37" s="1" t="s">
        <v>236</v>
      </c>
      <c r="G37" s="1" t="s">
        <v>122</v>
      </c>
      <c r="H37" s="1" t="s">
        <v>429</v>
      </c>
      <c r="I37" s="1" t="s">
        <v>411</v>
      </c>
      <c r="K37" s="1" t="s">
        <v>179</v>
      </c>
      <c r="L37" s="1" t="s">
        <v>456</v>
      </c>
      <c r="M37" s="1" t="s">
        <v>31</v>
      </c>
      <c r="N37" s="1" t="s">
        <v>31</v>
      </c>
      <c r="O37" s="1" t="s">
        <v>31</v>
      </c>
      <c r="P37" s="1" t="s">
        <v>31</v>
      </c>
      <c r="Q37" s="1" t="s">
        <v>31</v>
      </c>
      <c r="R37" s="1" t="s">
        <v>31</v>
      </c>
      <c r="S37" s="1" t="s">
        <v>430</v>
      </c>
      <c r="T37" s="1" t="s">
        <v>238</v>
      </c>
      <c r="U37" s="1" t="s">
        <v>31</v>
      </c>
      <c r="V37" s="1" t="s">
        <v>31</v>
      </c>
      <c r="W37" s="1" t="s">
        <v>31</v>
      </c>
      <c r="X37" s="1" t="s">
        <v>105</v>
      </c>
      <c r="Y37" s="1" t="s">
        <v>105</v>
      </c>
      <c r="Z37" s="1" t="s">
        <v>31</v>
      </c>
      <c r="AA37" s="1" t="s">
        <v>31</v>
      </c>
      <c r="AB37" s="1" t="s">
        <v>31</v>
      </c>
    </row>
    <row r="38" spans="1:28" x14ac:dyDescent="0.15">
      <c r="A38" s="1" t="s">
        <v>519</v>
      </c>
      <c r="B38" s="1" t="s">
        <v>98</v>
      </c>
      <c r="C38" s="1" t="s">
        <v>521</v>
      </c>
      <c r="D38" s="1" t="s">
        <v>522</v>
      </c>
      <c r="E38" s="1" t="s">
        <v>523</v>
      </c>
      <c r="F38" s="1" t="s">
        <v>524</v>
      </c>
      <c r="G38" s="1" t="s">
        <v>102</v>
      </c>
      <c r="H38" s="1" t="s">
        <v>31</v>
      </c>
      <c r="I38" s="1" t="s">
        <v>104</v>
      </c>
      <c r="K38" s="1" t="s">
        <v>105</v>
      </c>
      <c r="L38" s="1" t="s">
        <v>31</v>
      </c>
      <c r="M38" s="1" t="s">
        <v>31</v>
      </c>
      <c r="N38" s="1" t="s">
        <v>525</v>
      </c>
      <c r="O38" s="1" t="s">
        <v>31</v>
      </c>
      <c r="P38" s="1" t="s">
        <v>31</v>
      </c>
      <c r="Q38" s="1" t="s">
        <v>31</v>
      </c>
      <c r="R38" s="1" t="s">
        <v>31</v>
      </c>
      <c r="S38" s="1" t="s">
        <v>526</v>
      </c>
      <c r="T38" s="1" t="s">
        <v>31</v>
      </c>
      <c r="U38" s="1" t="s">
        <v>31</v>
      </c>
      <c r="V38" s="1" t="s">
        <v>31</v>
      </c>
      <c r="W38" s="1" t="s">
        <v>31</v>
      </c>
      <c r="X38" s="1" t="s">
        <v>105</v>
      </c>
      <c r="Y38" s="1" t="s">
        <v>105</v>
      </c>
      <c r="Z38" s="1" t="s">
        <v>31</v>
      </c>
      <c r="AA38" s="1" t="s">
        <v>31</v>
      </c>
      <c r="AB38" s="1" t="s">
        <v>527</v>
      </c>
    </row>
    <row r="39" spans="1:28" x14ac:dyDescent="0.15">
      <c r="A39" s="1" t="s">
        <v>390</v>
      </c>
      <c r="B39" s="1" t="s">
        <v>393</v>
      </c>
      <c r="C39" s="1" t="s">
        <v>394</v>
      </c>
      <c r="D39" s="1" t="s">
        <v>395</v>
      </c>
      <c r="E39" s="1" t="s">
        <v>31</v>
      </c>
      <c r="F39" s="1" t="s">
        <v>396</v>
      </c>
      <c r="G39" s="1" t="s">
        <v>122</v>
      </c>
      <c r="H39" s="1" t="s">
        <v>431</v>
      </c>
      <c r="I39" s="1" t="s">
        <v>397</v>
      </c>
      <c r="K39" s="1" t="s">
        <v>105</v>
      </c>
      <c r="L39" s="1" t="s">
        <v>31</v>
      </c>
      <c r="M39" s="1" t="s">
        <v>70</v>
      </c>
      <c r="N39" s="1" t="s">
        <v>31</v>
      </c>
      <c r="O39" s="1" t="s">
        <v>31</v>
      </c>
      <c r="P39" s="1" t="s">
        <v>31</v>
      </c>
      <c r="Q39" s="1" t="s">
        <v>31</v>
      </c>
      <c r="R39" s="1" t="s">
        <v>31</v>
      </c>
      <c r="S39" s="1" t="s">
        <v>432</v>
      </c>
      <c r="T39" s="1" t="s">
        <v>31</v>
      </c>
      <c r="U39" s="1" t="s">
        <v>31</v>
      </c>
      <c r="V39" s="1" t="s">
        <v>31</v>
      </c>
      <c r="W39" s="1" t="s">
        <v>31</v>
      </c>
      <c r="X39" s="1" t="s">
        <v>105</v>
      </c>
      <c r="Y39" s="1" t="s">
        <v>105</v>
      </c>
      <c r="Z39" s="1" t="s">
        <v>31</v>
      </c>
      <c r="AA39" s="1" t="s">
        <v>31</v>
      </c>
      <c r="AB39" s="1" t="s">
        <v>31</v>
      </c>
    </row>
    <row r="40" spans="1:28" x14ac:dyDescent="0.15">
      <c r="A40" s="1" t="s">
        <v>391</v>
      </c>
      <c r="B40" s="1" t="s">
        <v>393</v>
      </c>
      <c r="C40" s="1" t="s">
        <v>394</v>
      </c>
      <c r="D40" s="1" t="s">
        <v>399</v>
      </c>
      <c r="E40" s="1" t="s">
        <v>31</v>
      </c>
      <c r="F40" s="1" t="s">
        <v>400</v>
      </c>
      <c r="G40" s="1" t="s">
        <v>102</v>
      </c>
      <c r="H40" s="1" t="s">
        <v>401</v>
      </c>
      <c r="I40" s="1" t="s">
        <v>104</v>
      </c>
      <c r="K40" s="1" t="s">
        <v>105</v>
      </c>
      <c r="L40" s="1" t="s">
        <v>31</v>
      </c>
      <c r="M40" s="1" t="s">
        <v>70</v>
      </c>
      <c r="N40" s="1" t="s">
        <v>31</v>
      </c>
      <c r="O40" s="1" t="s">
        <v>31</v>
      </c>
      <c r="P40" s="1" t="s">
        <v>31</v>
      </c>
      <c r="Q40" s="1" t="s">
        <v>31</v>
      </c>
      <c r="R40" s="1" t="s">
        <v>31</v>
      </c>
      <c r="S40" s="1" t="s">
        <v>457</v>
      </c>
      <c r="T40" s="1" t="s">
        <v>31</v>
      </c>
      <c r="U40" s="1" t="s">
        <v>31</v>
      </c>
      <c r="V40" s="1" t="s">
        <v>31</v>
      </c>
      <c r="W40" s="1" t="s">
        <v>31</v>
      </c>
      <c r="X40" s="1" t="s">
        <v>105</v>
      </c>
      <c r="Y40" s="1" t="s">
        <v>105</v>
      </c>
      <c r="Z40" s="1" t="s">
        <v>31</v>
      </c>
      <c r="AA40" s="1" t="s">
        <v>31</v>
      </c>
      <c r="AB40" s="1" t="s">
        <v>31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0</v>
      </c>
      <c r="B1" s="1"/>
    </row>
    <row r="2" spans="1:2" x14ac:dyDescent="0.15">
      <c r="A2" s="1" t="s">
        <v>552</v>
      </c>
    </row>
    <row r="3" spans="1:2" x14ac:dyDescent="0.15">
      <c r="A3" s="1" t="s">
        <v>32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11" spans="1:2" x14ac:dyDescent="0.15">
      <c r="A11" s="1" t="s">
        <v>31</v>
      </c>
    </row>
    <row r="12" spans="1:2" x14ac:dyDescent="0.15">
      <c r="A12" s="1" t="s">
        <v>32</v>
      </c>
    </row>
    <row r="13" spans="1:2" x14ac:dyDescent="0.15">
      <c r="A13" s="1" t="s">
        <v>32</v>
      </c>
    </row>
    <row r="14" spans="1:2" x14ac:dyDescent="0.15">
      <c r="A14" s="1" t="s">
        <v>70</v>
      </c>
    </row>
    <row r="15" spans="1:2" x14ac:dyDescent="0.15">
      <c r="A15" s="1" t="s">
        <v>70</v>
      </c>
    </row>
    <row r="16" spans="1:2" x14ac:dyDescent="0.15">
      <c r="A16" s="1" t="s">
        <v>32</v>
      </c>
    </row>
    <row r="17" spans="1:3" x14ac:dyDescent="0.15">
      <c r="A17" s="1" t="s">
        <v>32</v>
      </c>
    </row>
    <row r="18" spans="1:3" x14ac:dyDescent="0.15">
      <c r="A18" s="1" t="s">
        <v>31</v>
      </c>
    </row>
    <row r="19" spans="1:3" x14ac:dyDescent="0.15">
      <c r="A19" s="1" t="s">
        <v>71</v>
      </c>
    </row>
    <row r="20" spans="1:3" x14ac:dyDescent="0.15">
      <c r="A20" s="1" t="s">
        <v>31</v>
      </c>
    </row>
    <row r="31" spans="1:3" x14ac:dyDescent="0.15">
      <c r="A31" s="1" t="s">
        <v>31</v>
      </c>
      <c r="B31" s="1" t="s">
        <v>31</v>
      </c>
      <c r="C31" s="1" t="s">
        <v>32</v>
      </c>
    </row>
    <row r="32" spans="1:3" x14ac:dyDescent="0.15">
      <c r="A32" s="1" t="s">
        <v>31</v>
      </c>
      <c r="B32" s="1" t="s">
        <v>31</v>
      </c>
      <c r="C32" s="1" t="s">
        <v>32</v>
      </c>
    </row>
    <row r="33" spans="1:3" x14ac:dyDescent="0.15">
      <c r="A33" s="1" t="s">
        <v>31</v>
      </c>
      <c r="B33" s="1"/>
      <c r="C33" s="1"/>
    </row>
    <row r="34" spans="1:3" x14ac:dyDescent="0.15">
      <c r="A34" s="1" t="s">
        <v>31</v>
      </c>
      <c r="B34" s="1"/>
      <c r="C34" s="1"/>
    </row>
    <row r="35" spans="1:3" x14ac:dyDescent="0.15">
      <c r="A35" s="1" t="s">
        <v>31</v>
      </c>
      <c r="B35" s="1"/>
      <c r="C35" s="1"/>
    </row>
    <row r="36" spans="1:3" x14ac:dyDescent="0.15">
      <c r="A36" s="1" t="s">
        <v>32</v>
      </c>
      <c r="B36" s="1"/>
      <c r="C36" s="1"/>
    </row>
    <row r="37" spans="1:3" x14ac:dyDescent="0.15">
      <c r="A37" s="1" t="s">
        <v>32</v>
      </c>
      <c r="B37" s="1"/>
      <c r="C37" s="1"/>
    </row>
    <row r="38" spans="1:3" x14ac:dyDescent="0.15">
      <c r="A38" s="1" t="s">
        <v>31</v>
      </c>
      <c r="B38" s="1"/>
      <c r="C38" s="1"/>
    </row>
    <row r="51" spans="1:1" x14ac:dyDescent="0.15">
      <c r="A51" s="1" t="s">
        <v>70</v>
      </c>
    </row>
    <row r="52" spans="1:1" x14ac:dyDescent="0.15">
      <c r="A52" s="1" t="s">
        <v>31</v>
      </c>
    </row>
    <row r="53" spans="1:1" x14ac:dyDescent="0.15">
      <c r="A53" s="1" t="s">
        <v>31</v>
      </c>
    </row>
    <row r="54" spans="1:1" x14ac:dyDescent="0.15">
      <c r="A54" s="1" t="s">
        <v>31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5"/>
  <sheetViews>
    <sheetView workbookViewId="0"/>
  </sheetViews>
  <sheetFormatPr defaultRowHeight="13.5" x14ac:dyDescent="0.15"/>
  <cols>
    <col min="1" max="16384" width="9" style="2"/>
  </cols>
  <sheetData>
    <row r="1" spans="1:5" ht="27" x14ac:dyDescent="0.15">
      <c r="A1" s="2" t="s">
        <v>33</v>
      </c>
      <c r="B1" s="2" t="s">
        <v>34</v>
      </c>
      <c r="C1" s="2" t="s">
        <v>35</v>
      </c>
      <c r="D1" s="2" t="s">
        <v>31</v>
      </c>
      <c r="E1" s="3" t="s">
        <v>36</v>
      </c>
    </row>
    <row r="2" spans="1:5" ht="189" x14ac:dyDescent="0.15">
      <c r="A2" s="2" t="s">
        <v>33</v>
      </c>
      <c r="B2" s="2" t="s">
        <v>243</v>
      </c>
      <c r="C2" s="2" t="s">
        <v>37</v>
      </c>
      <c r="D2" s="2" t="s">
        <v>106</v>
      </c>
      <c r="E2" s="3" t="s">
        <v>244</v>
      </c>
    </row>
    <row r="3" spans="1:5" ht="189" x14ac:dyDescent="0.15">
      <c r="A3" s="2" t="s">
        <v>33</v>
      </c>
      <c r="B3" s="2" t="s">
        <v>243</v>
      </c>
      <c r="C3" s="2" t="s">
        <v>38</v>
      </c>
      <c r="D3" s="2" t="s">
        <v>110</v>
      </c>
      <c r="E3" s="3" t="s">
        <v>245</v>
      </c>
    </row>
    <row r="4" spans="1:5" ht="189" x14ac:dyDescent="0.15">
      <c r="A4" s="2" t="s">
        <v>33</v>
      </c>
      <c r="B4" s="2" t="s">
        <v>243</v>
      </c>
      <c r="C4" s="2" t="s">
        <v>39</v>
      </c>
      <c r="D4" s="2" t="s">
        <v>114</v>
      </c>
      <c r="E4" s="3" t="s">
        <v>246</v>
      </c>
    </row>
    <row r="5" spans="1:5" ht="409.5" x14ac:dyDescent="0.15">
      <c r="A5" s="2" t="s">
        <v>33</v>
      </c>
      <c r="B5" s="2" t="s">
        <v>243</v>
      </c>
      <c r="C5" s="2" t="s">
        <v>40</v>
      </c>
      <c r="D5" s="2" t="s">
        <v>119</v>
      </c>
      <c r="E5" s="3" t="s">
        <v>247</v>
      </c>
    </row>
    <row r="6" spans="1:5" ht="202.5" x14ac:dyDescent="0.15">
      <c r="A6" s="2" t="s">
        <v>33</v>
      </c>
      <c r="B6" s="2" t="s">
        <v>243</v>
      </c>
      <c r="C6" s="2" t="s">
        <v>41</v>
      </c>
      <c r="D6" s="2" t="s">
        <v>123</v>
      </c>
      <c r="E6" s="3" t="s">
        <v>248</v>
      </c>
    </row>
    <row r="7" spans="1:5" ht="148.5" x14ac:dyDescent="0.15">
      <c r="A7" s="2" t="s">
        <v>33</v>
      </c>
      <c r="B7" s="2" t="s">
        <v>243</v>
      </c>
      <c r="C7" s="2" t="s">
        <v>42</v>
      </c>
      <c r="D7" s="2" t="s">
        <v>128</v>
      </c>
      <c r="E7" s="3" t="s">
        <v>249</v>
      </c>
    </row>
    <row r="8" spans="1:5" ht="409.5" x14ac:dyDescent="0.15">
      <c r="A8" s="2" t="s">
        <v>33</v>
      </c>
      <c r="B8" s="2" t="s">
        <v>243</v>
      </c>
      <c r="C8" s="2" t="s">
        <v>44</v>
      </c>
      <c r="D8" s="2" t="s">
        <v>133</v>
      </c>
      <c r="E8" s="3" t="s">
        <v>250</v>
      </c>
    </row>
    <row r="9" spans="1:5" ht="189" x14ac:dyDescent="0.15">
      <c r="A9" s="2" t="s">
        <v>33</v>
      </c>
      <c r="B9" s="2" t="s">
        <v>243</v>
      </c>
      <c r="C9" s="2" t="s">
        <v>45</v>
      </c>
      <c r="D9" s="2" t="s">
        <v>137</v>
      </c>
      <c r="E9" s="3" t="s">
        <v>251</v>
      </c>
    </row>
    <row r="10" spans="1:5" ht="256.5" x14ac:dyDescent="0.15">
      <c r="A10" s="2" t="s">
        <v>33</v>
      </c>
      <c r="B10" s="2" t="s">
        <v>243</v>
      </c>
      <c r="C10" s="2" t="s">
        <v>46</v>
      </c>
      <c r="D10" s="2" t="s">
        <v>141</v>
      </c>
      <c r="E10" s="3" t="s">
        <v>252</v>
      </c>
    </row>
    <row r="11" spans="1:5" ht="216" x14ac:dyDescent="0.15">
      <c r="A11" s="2" t="s">
        <v>33</v>
      </c>
      <c r="B11" s="2" t="s">
        <v>243</v>
      </c>
      <c r="C11" s="2" t="s">
        <v>47</v>
      </c>
      <c r="D11" s="2" t="s">
        <v>145</v>
      </c>
      <c r="E11" s="3" t="s">
        <v>253</v>
      </c>
    </row>
    <row r="12" spans="1:5" ht="229.5" x14ac:dyDescent="0.15">
      <c r="A12" s="2" t="s">
        <v>33</v>
      </c>
      <c r="B12" s="2" t="s">
        <v>243</v>
      </c>
      <c r="C12" s="2" t="s">
        <v>48</v>
      </c>
      <c r="D12" s="2" t="s">
        <v>149</v>
      </c>
      <c r="E12" s="3" t="s">
        <v>254</v>
      </c>
    </row>
    <row r="13" spans="1:5" ht="202.5" x14ac:dyDescent="0.15">
      <c r="A13" s="2" t="s">
        <v>33</v>
      </c>
      <c r="B13" s="2" t="s">
        <v>243</v>
      </c>
      <c r="C13" s="2" t="s">
        <v>49</v>
      </c>
      <c r="D13" s="2" t="s">
        <v>154</v>
      </c>
      <c r="E13" s="3" t="s">
        <v>255</v>
      </c>
    </row>
    <row r="14" spans="1:5" ht="202.5" x14ac:dyDescent="0.15">
      <c r="A14" s="2" t="s">
        <v>33</v>
      </c>
      <c r="B14" s="2" t="s">
        <v>243</v>
      </c>
      <c r="C14" s="2" t="s">
        <v>50</v>
      </c>
      <c r="D14" s="2" t="s">
        <v>158</v>
      </c>
      <c r="E14" s="3" t="s">
        <v>256</v>
      </c>
    </row>
    <row r="15" spans="1:5" ht="202.5" x14ac:dyDescent="0.15">
      <c r="A15" s="2" t="s">
        <v>33</v>
      </c>
      <c r="B15" s="2" t="s">
        <v>243</v>
      </c>
      <c r="C15" s="2" t="s">
        <v>51</v>
      </c>
      <c r="D15" s="2" t="s">
        <v>159</v>
      </c>
      <c r="E15" s="3" t="s">
        <v>257</v>
      </c>
    </row>
    <row r="16" spans="1:5" ht="216" x14ac:dyDescent="0.15">
      <c r="A16" s="2" t="s">
        <v>33</v>
      </c>
      <c r="B16" s="2" t="s">
        <v>243</v>
      </c>
      <c r="C16" s="2" t="s">
        <v>52</v>
      </c>
      <c r="D16" s="2" t="s">
        <v>165</v>
      </c>
      <c r="E16" s="3" t="s">
        <v>258</v>
      </c>
    </row>
    <row r="17" spans="1:5" ht="216" x14ac:dyDescent="0.15">
      <c r="A17" s="2" t="s">
        <v>33</v>
      </c>
      <c r="B17" s="2" t="s">
        <v>243</v>
      </c>
      <c r="C17" s="2" t="s">
        <v>53</v>
      </c>
      <c r="D17" s="2" t="s">
        <v>170</v>
      </c>
      <c r="E17" s="3" t="s">
        <v>259</v>
      </c>
    </row>
    <row r="18" spans="1:5" ht="202.5" x14ac:dyDescent="0.15">
      <c r="A18" s="2" t="s">
        <v>33</v>
      </c>
      <c r="B18" s="2" t="s">
        <v>243</v>
      </c>
      <c r="C18" s="2" t="s">
        <v>54</v>
      </c>
      <c r="D18" s="2" t="s">
        <v>174</v>
      </c>
      <c r="E18" s="3" t="s">
        <v>260</v>
      </c>
    </row>
    <row r="19" spans="1:5" ht="310.5" x14ac:dyDescent="0.15">
      <c r="A19" s="2" t="s">
        <v>33</v>
      </c>
      <c r="B19" s="2" t="s">
        <v>243</v>
      </c>
      <c r="C19" s="2" t="s">
        <v>55</v>
      </c>
      <c r="D19" s="2" t="s">
        <v>180</v>
      </c>
      <c r="E19" s="3" t="s">
        <v>261</v>
      </c>
    </row>
    <row r="20" spans="1:5" ht="148.5" x14ac:dyDescent="0.15">
      <c r="A20" s="2" t="s">
        <v>33</v>
      </c>
      <c r="B20" s="2" t="s">
        <v>243</v>
      </c>
      <c r="C20" s="2" t="s">
        <v>56</v>
      </c>
      <c r="D20" s="2" t="s">
        <v>185</v>
      </c>
      <c r="E20" s="3" t="s">
        <v>262</v>
      </c>
    </row>
    <row r="21" spans="1:5" ht="297" x14ac:dyDescent="0.15">
      <c r="A21" s="2" t="s">
        <v>33</v>
      </c>
      <c r="B21" s="2" t="s">
        <v>243</v>
      </c>
      <c r="C21" s="2" t="s">
        <v>57</v>
      </c>
      <c r="D21" s="2" t="s">
        <v>191</v>
      </c>
      <c r="E21" s="3" t="s">
        <v>263</v>
      </c>
    </row>
    <row r="22" spans="1:5" ht="256.5" x14ac:dyDescent="0.15">
      <c r="A22" s="2" t="s">
        <v>33</v>
      </c>
      <c r="B22" s="2" t="s">
        <v>243</v>
      </c>
      <c r="C22" s="2" t="s">
        <v>58</v>
      </c>
      <c r="D22" s="2" t="s">
        <v>197</v>
      </c>
      <c r="E22" s="3" t="s">
        <v>264</v>
      </c>
    </row>
    <row r="23" spans="1:5" ht="283.5" x14ac:dyDescent="0.15">
      <c r="A23" s="2" t="s">
        <v>33</v>
      </c>
      <c r="B23" s="2" t="s">
        <v>243</v>
      </c>
      <c r="C23" s="2" t="s">
        <v>60</v>
      </c>
      <c r="D23" s="2" t="s">
        <v>199</v>
      </c>
      <c r="E23" s="3" t="s">
        <v>265</v>
      </c>
    </row>
    <row r="24" spans="1:5" ht="324" x14ac:dyDescent="0.15">
      <c r="A24" s="2" t="s">
        <v>33</v>
      </c>
      <c r="B24" s="2" t="s">
        <v>243</v>
      </c>
      <c r="C24" s="2" t="s">
        <v>59</v>
      </c>
      <c r="D24" s="2" t="s">
        <v>202</v>
      </c>
      <c r="E24" s="3" t="s">
        <v>266</v>
      </c>
    </row>
    <row r="25" spans="1:5" ht="283.5" x14ac:dyDescent="0.15">
      <c r="A25" s="2" t="s">
        <v>33</v>
      </c>
      <c r="B25" s="2" t="s">
        <v>243</v>
      </c>
      <c r="C25" s="2" t="s">
        <v>61</v>
      </c>
      <c r="D25" s="2" t="s">
        <v>205</v>
      </c>
      <c r="E25" s="3" t="s">
        <v>267</v>
      </c>
    </row>
    <row r="26" spans="1:5" ht="297" x14ac:dyDescent="0.15">
      <c r="A26" s="2" t="s">
        <v>33</v>
      </c>
      <c r="B26" s="2" t="s">
        <v>243</v>
      </c>
      <c r="C26" s="2" t="s">
        <v>62</v>
      </c>
      <c r="D26" s="2" t="s">
        <v>208</v>
      </c>
      <c r="E26" s="3" t="s">
        <v>268</v>
      </c>
    </row>
    <row r="27" spans="1:5" ht="409.5" x14ac:dyDescent="0.15">
      <c r="A27" s="2" t="s">
        <v>33</v>
      </c>
      <c r="B27" s="2" t="s">
        <v>243</v>
      </c>
      <c r="C27" s="2" t="s">
        <v>63</v>
      </c>
      <c r="D27" s="2" t="s">
        <v>212</v>
      </c>
      <c r="E27" s="3" t="s">
        <v>269</v>
      </c>
    </row>
    <row r="28" spans="1:5" ht="202.5" x14ac:dyDescent="0.15">
      <c r="A28" s="2" t="s">
        <v>33</v>
      </c>
      <c r="B28" s="2" t="s">
        <v>243</v>
      </c>
      <c r="C28" s="2" t="s">
        <v>64</v>
      </c>
      <c r="D28" s="2" t="s">
        <v>216</v>
      </c>
      <c r="E28" s="3" t="s">
        <v>270</v>
      </c>
    </row>
    <row r="29" spans="1:5" ht="189" x14ac:dyDescent="0.15">
      <c r="A29" s="2" t="s">
        <v>33</v>
      </c>
      <c r="B29" s="2" t="s">
        <v>243</v>
      </c>
      <c r="C29" s="2" t="s">
        <v>65</v>
      </c>
      <c r="D29" s="2" t="s">
        <v>220</v>
      </c>
      <c r="E29" s="3" t="s">
        <v>271</v>
      </c>
    </row>
    <row r="30" spans="1:5" ht="202.5" x14ac:dyDescent="0.15">
      <c r="A30" s="2" t="s">
        <v>33</v>
      </c>
      <c r="B30" s="2" t="s">
        <v>243</v>
      </c>
      <c r="C30" s="2" t="s">
        <v>66</v>
      </c>
      <c r="D30" s="2" t="s">
        <v>226</v>
      </c>
      <c r="E30" s="3" t="s">
        <v>272</v>
      </c>
    </row>
    <row r="31" spans="1:5" ht="391.5" x14ac:dyDescent="0.15">
      <c r="A31" s="2" t="s">
        <v>33</v>
      </c>
      <c r="B31" s="2" t="s">
        <v>243</v>
      </c>
      <c r="C31" s="2" t="s">
        <v>67</v>
      </c>
      <c r="D31" s="2" t="s">
        <v>232</v>
      </c>
      <c r="E31" s="3" t="s">
        <v>273</v>
      </c>
    </row>
    <row r="32" spans="1:5" ht="297" x14ac:dyDescent="0.15">
      <c r="A32" s="2" t="s">
        <v>33</v>
      </c>
      <c r="B32" s="2" t="s">
        <v>243</v>
      </c>
      <c r="C32" s="2" t="s">
        <v>68</v>
      </c>
      <c r="D32" s="2" t="s">
        <v>237</v>
      </c>
      <c r="E32" s="3" t="s">
        <v>274</v>
      </c>
    </row>
    <row r="33" spans="1:5" ht="297" x14ac:dyDescent="0.15">
      <c r="A33" s="2" t="s">
        <v>33</v>
      </c>
      <c r="B33" s="2" t="s">
        <v>243</v>
      </c>
      <c r="C33" s="2" t="s">
        <v>69</v>
      </c>
      <c r="D33" s="2" t="s">
        <v>242</v>
      </c>
      <c r="E33" s="3" t="s">
        <v>275</v>
      </c>
    </row>
    <row r="34" spans="1:5" ht="40.5" x14ac:dyDescent="0.15">
      <c r="A34" s="2" t="s">
        <v>33</v>
      </c>
      <c r="B34" s="2" t="s">
        <v>282</v>
      </c>
      <c r="C34" s="2" t="s">
        <v>278</v>
      </c>
      <c r="D34" s="2" t="s">
        <v>30</v>
      </c>
      <c r="E34" s="3" t="s">
        <v>283</v>
      </c>
    </row>
    <row r="35" spans="1:5" ht="40.5" x14ac:dyDescent="0.15">
      <c r="A35" s="2" t="s">
        <v>33</v>
      </c>
      <c r="B35" s="2" t="s">
        <v>282</v>
      </c>
      <c r="C35" s="2" t="s">
        <v>279</v>
      </c>
      <c r="D35" s="2" t="s">
        <v>30</v>
      </c>
      <c r="E35" s="3" t="s">
        <v>283</v>
      </c>
    </row>
    <row r="36" spans="1:5" ht="40.5" x14ac:dyDescent="0.15">
      <c r="A36" s="2" t="s">
        <v>33</v>
      </c>
      <c r="B36" s="2" t="s">
        <v>282</v>
      </c>
      <c r="C36" s="2" t="s">
        <v>280</v>
      </c>
      <c r="D36" s="2" t="s">
        <v>30</v>
      </c>
      <c r="E36" s="3" t="s">
        <v>283</v>
      </c>
    </row>
    <row r="37" spans="1:5" ht="40.5" x14ac:dyDescent="0.15">
      <c r="A37" s="2" t="s">
        <v>33</v>
      </c>
      <c r="B37" s="2" t="s">
        <v>282</v>
      </c>
      <c r="C37" s="2" t="s">
        <v>281</v>
      </c>
      <c r="D37" s="2" t="s">
        <v>30</v>
      </c>
      <c r="E37" s="3" t="s">
        <v>283</v>
      </c>
    </row>
    <row r="38" spans="1:5" ht="67.5" x14ac:dyDescent="0.15">
      <c r="A38" s="2" t="s">
        <v>33</v>
      </c>
      <c r="B38" s="2" t="s">
        <v>282</v>
      </c>
      <c r="C38" s="2" t="s">
        <v>284</v>
      </c>
      <c r="D38" s="2" t="s">
        <v>31</v>
      </c>
      <c r="E38" s="3" t="s">
        <v>285</v>
      </c>
    </row>
    <row r="39" spans="1:5" ht="409.5" x14ac:dyDescent="0.15">
      <c r="A39" s="2" t="s">
        <v>33</v>
      </c>
      <c r="B39" s="2" t="s">
        <v>286</v>
      </c>
      <c r="C39" s="2" t="s">
        <v>63</v>
      </c>
      <c r="D39" s="2" t="s">
        <v>212</v>
      </c>
      <c r="E39" s="3" t="s">
        <v>287</v>
      </c>
    </row>
    <row r="40" spans="1:5" ht="202.5" x14ac:dyDescent="0.15">
      <c r="A40" s="2" t="s">
        <v>33</v>
      </c>
      <c r="B40" s="2" t="s">
        <v>286</v>
      </c>
      <c r="C40" s="2" t="s">
        <v>68</v>
      </c>
      <c r="D40" s="2" t="s">
        <v>237</v>
      </c>
      <c r="E40" s="3" t="s">
        <v>288</v>
      </c>
    </row>
    <row r="41" spans="1:5" ht="189" x14ac:dyDescent="0.15">
      <c r="A41" s="2" t="s">
        <v>33</v>
      </c>
      <c r="B41" s="2" t="s">
        <v>286</v>
      </c>
      <c r="C41" s="2" t="s">
        <v>69</v>
      </c>
      <c r="D41" s="2" t="s">
        <v>242</v>
      </c>
      <c r="E41" s="3" t="s">
        <v>289</v>
      </c>
    </row>
    <row r="42" spans="1:5" ht="409.5" x14ac:dyDescent="0.15">
      <c r="A42" s="2" t="s">
        <v>33</v>
      </c>
      <c r="B42" s="2" t="s">
        <v>290</v>
      </c>
      <c r="C42" s="2" t="s">
        <v>63</v>
      </c>
      <c r="D42" s="2" t="s">
        <v>212</v>
      </c>
      <c r="E42" s="3" t="s">
        <v>287</v>
      </c>
    </row>
    <row r="43" spans="1:5" ht="409.5" x14ac:dyDescent="0.15">
      <c r="A43" s="2" t="s">
        <v>33</v>
      </c>
      <c r="B43" s="2" t="s">
        <v>297</v>
      </c>
      <c r="C43" s="2" t="s">
        <v>63</v>
      </c>
      <c r="D43" s="2" t="s">
        <v>212</v>
      </c>
      <c r="E43" s="3" t="s">
        <v>287</v>
      </c>
    </row>
    <row r="44" spans="1:5" ht="405" x14ac:dyDescent="0.15">
      <c r="A44" s="2" t="s">
        <v>33</v>
      </c>
      <c r="B44" s="2" t="s">
        <v>297</v>
      </c>
      <c r="C44" s="2" t="s">
        <v>69</v>
      </c>
      <c r="D44" s="2" t="s">
        <v>292</v>
      </c>
      <c r="E44" s="3" t="s">
        <v>298</v>
      </c>
    </row>
    <row r="45" spans="1:5" ht="409.5" x14ac:dyDescent="0.15">
      <c r="A45" s="2" t="s">
        <v>33</v>
      </c>
      <c r="B45" s="2" t="s">
        <v>297</v>
      </c>
      <c r="C45" s="2" t="s">
        <v>291</v>
      </c>
      <c r="D45" s="2" t="s">
        <v>296</v>
      </c>
      <c r="E45" s="3" t="s">
        <v>299</v>
      </c>
    </row>
    <row r="46" spans="1:5" x14ac:dyDescent="0.15">
      <c r="A46" s="2" t="s">
        <v>33</v>
      </c>
      <c r="B46" s="2" t="s">
        <v>297</v>
      </c>
      <c r="C46" s="2" t="s">
        <v>69</v>
      </c>
      <c r="D46" s="2" t="s">
        <v>242</v>
      </c>
      <c r="E46" s="2" t="s">
        <v>300</v>
      </c>
    </row>
    <row r="47" spans="1:5" ht="81" x14ac:dyDescent="0.15">
      <c r="A47" s="2" t="s">
        <v>33</v>
      </c>
      <c r="B47" s="2" t="s">
        <v>302</v>
      </c>
      <c r="C47" s="2" t="s">
        <v>40</v>
      </c>
      <c r="D47" s="2" t="s">
        <v>119</v>
      </c>
      <c r="E47" s="3" t="s">
        <v>303</v>
      </c>
    </row>
    <row r="48" spans="1:5" ht="409.5" x14ac:dyDescent="0.15">
      <c r="A48" s="2" t="s">
        <v>33</v>
      </c>
      <c r="B48" s="2" t="s">
        <v>302</v>
      </c>
      <c r="C48" s="2" t="s">
        <v>63</v>
      </c>
      <c r="D48" s="2" t="s">
        <v>212</v>
      </c>
      <c r="E48" s="3" t="s">
        <v>287</v>
      </c>
    </row>
    <row r="49" spans="1:5" ht="81" x14ac:dyDescent="0.15">
      <c r="A49" s="2" t="s">
        <v>33</v>
      </c>
      <c r="B49" s="2" t="s">
        <v>304</v>
      </c>
      <c r="C49" s="2" t="s">
        <v>44</v>
      </c>
      <c r="D49" s="2" t="s">
        <v>133</v>
      </c>
      <c r="E49" s="3" t="s">
        <v>305</v>
      </c>
    </row>
    <row r="50" spans="1:5" ht="409.5" x14ac:dyDescent="0.15">
      <c r="A50" s="2" t="s">
        <v>33</v>
      </c>
      <c r="B50" s="2" t="s">
        <v>304</v>
      </c>
      <c r="C50" s="2" t="s">
        <v>63</v>
      </c>
      <c r="D50" s="2" t="s">
        <v>212</v>
      </c>
      <c r="E50" s="3" t="s">
        <v>287</v>
      </c>
    </row>
    <row r="51" spans="1:5" ht="54" x14ac:dyDescent="0.15">
      <c r="A51" s="2" t="s">
        <v>33</v>
      </c>
      <c r="B51" s="2" t="s">
        <v>306</v>
      </c>
      <c r="C51" s="2" t="s">
        <v>46</v>
      </c>
      <c r="D51" s="2" t="s">
        <v>141</v>
      </c>
      <c r="E51" s="3" t="s">
        <v>307</v>
      </c>
    </row>
    <row r="52" spans="1:5" ht="409.5" x14ac:dyDescent="0.15">
      <c r="A52" s="2" t="s">
        <v>33</v>
      </c>
      <c r="B52" s="2" t="s">
        <v>306</v>
      </c>
      <c r="C52" s="2" t="s">
        <v>63</v>
      </c>
      <c r="D52" s="2" t="s">
        <v>212</v>
      </c>
      <c r="E52" s="3" t="s">
        <v>287</v>
      </c>
    </row>
    <row r="53" spans="1:5" ht="189" x14ac:dyDescent="0.15">
      <c r="A53" s="2" t="s">
        <v>33</v>
      </c>
      <c r="B53" s="2" t="s">
        <v>310</v>
      </c>
      <c r="C53" s="2" t="s">
        <v>41</v>
      </c>
      <c r="D53" s="2" t="s">
        <v>123</v>
      </c>
      <c r="E53" s="3" t="s">
        <v>311</v>
      </c>
    </row>
    <row r="54" spans="1:5" ht="81" x14ac:dyDescent="0.15">
      <c r="A54" s="2" t="s">
        <v>33</v>
      </c>
      <c r="B54" s="2" t="s">
        <v>310</v>
      </c>
      <c r="C54" s="2" t="s">
        <v>46</v>
      </c>
      <c r="D54" s="2" t="s">
        <v>141</v>
      </c>
      <c r="E54" s="3" t="s">
        <v>312</v>
      </c>
    </row>
    <row r="55" spans="1:5" ht="409.5" x14ac:dyDescent="0.15">
      <c r="A55" s="2" t="s">
        <v>33</v>
      </c>
      <c r="B55" s="2" t="s">
        <v>310</v>
      </c>
      <c r="C55" s="2" t="s">
        <v>63</v>
      </c>
      <c r="D55" s="2" t="s">
        <v>212</v>
      </c>
      <c r="E55" s="3" t="s">
        <v>287</v>
      </c>
    </row>
    <row r="56" spans="1:5" ht="40.5" x14ac:dyDescent="0.15">
      <c r="A56" s="2" t="s">
        <v>33</v>
      </c>
      <c r="B56" s="2" t="s">
        <v>313</v>
      </c>
      <c r="C56" s="2" t="s">
        <v>314</v>
      </c>
      <c r="D56" s="2" t="s">
        <v>31</v>
      </c>
      <c r="E56" s="3" t="s">
        <v>315</v>
      </c>
    </row>
    <row r="57" spans="1:5" ht="409.5" x14ac:dyDescent="0.15">
      <c r="A57" s="2" t="s">
        <v>33</v>
      </c>
      <c r="B57" s="2" t="s">
        <v>316</v>
      </c>
      <c r="C57" s="2" t="s">
        <v>63</v>
      </c>
      <c r="D57" s="2" t="s">
        <v>212</v>
      </c>
      <c r="E57" s="3" t="s">
        <v>287</v>
      </c>
    </row>
    <row r="58" spans="1:5" ht="409.5" x14ac:dyDescent="0.15">
      <c r="A58" s="2" t="s">
        <v>33</v>
      </c>
      <c r="B58" s="2" t="s">
        <v>317</v>
      </c>
      <c r="C58" s="2" t="s">
        <v>63</v>
      </c>
      <c r="D58" s="2" t="s">
        <v>212</v>
      </c>
      <c r="E58" s="3" t="s">
        <v>287</v>
      </c>
    </row>
    <row r="59" spans="1:5" ht="189" x14ac:dyDescent="0.15">
      <c r="A59" s="2" t="s">
        <v>33</v>
      </c>
      <c r="B59" s="2" t="s">
        <v>345</v>
      </c>
      <c r="C59" s="2" t="s">
        <v>37</v>
      </c>
      <c r="D59" s="2" t="s">
        <v>319</v>
      </c>
      <c r="E59" s="3" t="s">
        <v>244</v>
      </c>
    </row>
    <row r="60" spans="1:5" ht="189" x14ac:dyDescent="0.15">
      <c r="A60" s="2" t="s">
        <v>33</v>
      </c>
      <c r="B60" s="2" t="s">
        <v>345</v>
      </c>
      <c r="C60" s="2" t="s">
        <v>38</v>
      </c>
      <c r="D60" s="2" t="s">
        <v>320</v>
      </c>
      <c r="E60" s="3" t="s">
        <v>245</v>
      </c>
    </row>
    <row r="61" spans="1:5" ht="216" x14ac:dyDescent="0.15">
      <c r="A61" s="2" t="s">
        <v>33</v>
      </c>
      <c r="B61" s="2" t="s">
        <v>345</v>
      </c>
      <c r="C61" s="2" t="s">
        <v>41</v>
      </c>
      <c r="D61" s="2" t="s">
        <v>321</v>
      </c>
      <c r="E61" s="3" t="s">
        <v>346</v>
      </c>
    </row>
    <row r="62" spans="1:5" ht="148.5" x14ac:dyDescent="0.15">
      <c r="A62" s="2" t="s">
        <v>33</v>
      </c>
      <c r="B62" s="2" t="s">
        <v>345</v>
      </c>
      <c r="C62" s="2" t="s">
        <v>41</v>
      </c>
      <c r="D62" s="2" t="s">
        <v>128</v>
      </c>
      <c r="E62" s="3" t="s">
        <v>347</v>
      </c>
    </row>
    <row r="63" spans="1:5" ht="148.5" x14ac:dyDescent="0.15">
      <c r="A63" s="2" t="s">
        <v>33</v>
      </c>
      <c r="B63" s="2" t="s">
        <v>345</v>
      </c>
      <c r="C63" s="2" t="s">
        <v>42</v>
      </c>
      <c r="D63" s="2" t="s">
        <v>322</v>
      </c>
      <c r="E63" s="3" t="s">
        <v>249</v>
      </c>
    </row>
    <row r="64" spans="1:5" ht="409.5" x14ac:dyDescent="0.15">
      <c r="A64" s="2" t="s">
        <v>33</v>
      </c>
      <c r="B64" s="2" t="s">
        <v>345</v>
      </c>
      <c r="C64" s="2" t="s">
        <v>44</v>
      </c>
      <c r="D64" s="2" t="s">
        <v>323</v>
      </c>
      <c r="E64" s="3" t="s">
        <v>348</v>
      </c>
    </row>
    <row r="65" spans="1:5" ht="189" x14ac:dyDescent="0.15">
      <c r="A65" s="2" t="s">
        <v>33</v>
      </c>
      <c r="B65" s="2" t="s">
        <v>345</v>
      </c>
      <c r="C65" s="2" t="s">
        <v>45</v>
      </c>
      <c r="D65" s="2" t="s">
        <v>324</v>
      </c>
      <c r="E65" s="3" t="s">
        <v>251</v>
      </c>
    </row>
    <row r="66" spans="1:5" ht="229.5" x14ac:dyDescent="0.15">
      <c r="A66" s="2" t="s">
        <v>33</v>
      </c>
      <c r="B66" s="2" t="s">
        <v>345</v>
      </c>
      <c r="C66" s="2" t="s">
        <v>46</v>
      </c>
      <c r="D66" s="2" t="s">
        <v>325</v>
      </c>
      <c r="E66" s="3" t="s">
        <v>349</v>
      </c>
    </row>
    <row r="67" spans="1:5" ht="216" x14ac:dyDescent="0.15">
      <c r="A67" s="2" t="s">
        <v>33</v>
      </c>
      <c r="B67" s="2" t="s">
        <v>345</v>
      </c>
      <c r="C67" s="2" t="s">
        <v>47</v>
      </c>
      <c r="D67" s="2" t="s">
        <v>327</v>
      </c>
      <c r="E67" s="3" t="s">
        <v>350</v>
      </c>
    </row>
    <row r="68" spans="1:5" ht="229.5" x14ac:dyDescent="0.15">
      <c r="A68" s="2" t="s">
        <v>33</v>
      </c>
      <c r="B68" s="2" t="s">
        <v>345</v>
      </c>
      <c r="C68" s="2" t="s">
        <v>48</v>
      </c>
      <c r="D68" s="2" t="s">
        <v>328</v>
      </c>
      <c r="E68" s="3" t="s">
        <v>351</v>
      </c>
    </row>
    <row r="69" spans="1:5" ht="202.5" x14ac:dyDescent="0.15">
      <c r="A69" s="2" t="s">
        <v>33</v>
      </c>
      <c r="B69" s="2" t="s">
        <v>345</v>
      </c>
      <c r="C69" s="2" t="s">
        <v>50</v>
      </c>
      <c r="D69" s="2" t="s">
        <v>329</v>
      </c>
      <c r="E69" s="3" t="s">
        <v>352</v>
      </c>
    </row>
    <row r="70" spans="1:5" ht="216" x14ac:dyDescent="0.15">
      <c r="A70" s="2" t="s">
        <v>33</v>
      </c>
      <c r="B70" s="2" t="s">
        <v>345</v>
      </c>
      <c r="C70" s="2" t="s">
        <v>52</v>
      </c>
      <c r="D70" s="2" t="s">
        <v>330</v>
      </c>
      <c r="E70" s="3" t="s">
        <v>353</v>
      </c>
    </row>
    <row r="71" spans="1:5" ht="216" x14ac:dyDescent="0.15">
      <c r="A71" s="2" t="s">
        <v>33</v>
      </c>
      <c r="B71" s="2" t="s">
        <v>345</v>
      </c>
      <c r="C71" s="2" t="s">
        <v>53</v>
      </c>
      <c r="D71" s="2" t="s">
        <v>331</v>
      </c>
      <c r="E71" s="3" t="s">
        <v>354</v>
      </c>
    </row>
    <row r="72" spans="1:5" ht="202.5" x14ac:dyDescent="0.15">
      <c r="A72" s="2" t="s">
        <v>33</v>
      </c>
      <c r="B72" s="2" t="s">
        <v>345</v>
      </c>
      <c r="C72" s="2" t="s">
        <v>54</v>
      </c>
      <c r="D72" s="2" t="s">
        <v>332</v>
      </c>
      <c r="E72" s="3" t="s">
        <v>355</v>
      </c>
    </row>
    <row r="73" spans="1:5" ht="324" x14ac:dyDescent="0.15">
      <c r="A73" s="2" t="s">
        <v>33</v>
      </c>
      <c r="B73" s="2" t="s">
        <v>345</v>
      </c>
      <c r="C73" s="2" t="s">
        <v>55</v>
      </c>
      <c r="D73" s="2" t="s">
        <v>333</v>
      </c>
      <c r="E73" s="3" t="s">
        <v>356</v>
      </c>
    </row>
    <row r="74" spans="1:5" ht="148.5" x14ac:dyDescent="0.15">
      <c r="A74" s="2" t="s">
        <v>33</v>
      </c>
      <c r="B74" s="2" t="s">
        <v>345</v>
      </c>
      <c r="C74" s="2" t="s">
        <v>56</v>
      </c>
      <c r="D74" s="2" t="s">
        <v>334</v>
      </c>
      <c r="E74" s="3" t="s">
        <v>262</v>
      </c>
    </row>
    <row r="75" spans="1:5" ht="270" x14ac:dyDescent="0.15">
      <c r="A75" s="2" t="s">
        <v>33</v>
      </c>
      <c r="B75" s="2" t="s">
        <v>345</v>
      </c>
      <c r="C75" s="2" t="s">
        <v>58</v>
      </c>
      <c r="D75" s="2" t="s">
        <v>335</v>
      </c>
      <c r="E75" s="3" t="s">
        <v>357</v>
      </c>
    </row>
    <row r="76" spans="1:5" ht="297" x14ac:dyDescent="0.15">
      <c r="A76" s="2" t="s">
        <v>33</v>
      </c>
      <c r="B76" s="2" t="s">
        <v>345</v>
      </c>
      <c r="C76" s="2" t="s">
        <v>60</v>
      </c>
      <c r="D76" s="2" t="s">
        <v>336</v>
      </c>
      <c r="E76" s="3" t="s">
        <v>358</v>
      </c>
    </row>
    <row r="77" spans="1:5" ht="337.5" x14ac:dyDescent="0.15">
      <c r="A77" s="2" t="s">
        <v>33</v>
      </c>
      <c r="B77" s="2" t="s">
        <v>345</v>
      </c>
      <c r="C77" s="2" t="s">
        <v>59</v>
      </c>
      <c r="D77" s="2" t="s">
        <v>338</v>
      </c>
      <c r="E77" s="3" t="s">
        <v>359</v>
      </c>
    </row>
    <row r="78" spans="1:5" ht="297" x14ac:dyDescent="0.15">
      <c r="A78" s="2" t="s">
        <v>33</v>
      </c>
      <c r="B78" s="2" t="s">
        <v>345</v>
      </c>
      <c r="C78" s="2" t="s">
        <v>61</v>
      </c>
      <c r="D78" s="2" t="s">
        <v>339</v>
      </c>
      <c r="E78" s="3" t="s">
        <v>360</v>
      </c>
    </row>
    <row r="79" spans="1:5" ht="310.5" x14ac:dyDescent="0.15">
      <c r="A79" s="2" t="s">
        <v>33</v>
      </c>
      <c r="B79" s="2" t="s">
        <v>345</v>
      </c>
      <c r="C79" s="2" t="s">
        <v>62</v>
      </c>
      <c r="D79" s="2" t="s">
        <v>340</v>
      </c>
      <c r="E79" s="3" t="s">
        <v>361</v>
      </c>
    </row>
    <row r="80" spans="1:5" ht="409.5" x14ac:dyDescent="0.15">
      <c r="A80" s="2" t="s">
        <v>33</v>
      </c>
      <c r="B80" s="2" t="s">
        <v>345</v>
      </c>
      <c r="C80" s="2" t="s">
        <v>63</v>
      </c>
      <c r="D80" s="2" t="s">
        <v>341</v>
      </c>
      <c r="E80" s="3" t="s">
        <v>362</v>
      </c>
    </row>
    <row r="81" spans="1:5" ht="189" x14ac:dyDescent="0.15">
      <c r="A81" s="2" t="s">
        <v>33</v>
      </c>
      <c r="B81" s="2" t="s">
        <v>345</v>
      </c>
      <c r="C81" s="2" t="s">
        <v>65</v>
      </c>
      <c r="D81" s="2" t="s">
        <v>342</v>
      </c>
      <c r="E81" s="3" t="s">
        <v>363</v>
      </c>
    </row>
    <row r="82" spans="1:5" ht="202.5" x14ac:dyDescent="0.15">
      <c r="A82" s="2" t="s">
        <v>33</v>
      </c>
      <c r="B82" s="2" t="s">
        <v>345</v>
      </c>
      <c r="C82" s="2" t="s">
        <v>66</v>
      </c>
      <c r="D82" s="2" t="s">
        <v>343</v>
      </c>
      <c r="E82" s="3" t="s">
        <v>364</v>
      </c>
    </row>
    <row r="83" spans="1:5" ht="409.5" x14ac:dyDescent="0.15">
      <c r="A83" s="2" t="s">
        <v>33</v>
      </c>
      <c r="B83" s="2" t="s">
        <v>345</v>
      </c>
      <c r="C83" s="2" t="s">
        <v>68</v>
      </c>
      <c r="D83" s="2" t="s">
        <v>344</v>
      </c>
      <c r="E83" s="3" t="s">
        <v>365</v>
      </c>
    </row>
    <row r="84" spans="1:5" x14ac:dyDescent="0.15">
      <c r="A84" s="2" t="s">
        <v>33</v>
      </c>
      <c r="B84" s="2" t="s">
        <v>345</v>
      </c>
      <c r="C84" s="2" t="s">
        <v>37</v>
      </c>
      <c r="D84" s="2" t="s">
        <v>106</v>
      </c>
      <c r="E84" s="2" t="s">
        <v>300</v>
      </c>
    </row>
    <row r="85" spans="1:5" x14ac:dyDescent="0.15">
      <c r="A85" s="2" t="s">
        <v>33</v>
      </c>
      <c r="B85" s="2" t="s">
        <v>345</v>
      </c>
      <c r="C85" s="2" t="s">
        <v>38</v>
      </c>
      <c r="D85" s="2" t="s">
        <v>110</v>
      </c>
      <c r="E85" s="2" t="s">
        <v>300</v>
      </c>
    </row>
    <row r="86" spans="1:5" x14ac:dyDescent="0.15">
      <c r="A86" s="2" t="s">
        <v>33</v>
      </c>
      <c r="B86" s="2" t="s">
        <v>345</v>
      </c>
      <c r="C86" s="2" t="s">
        <v>41</v>
      </c>
      <c r="D86" s="2" t="s">
        <v>123</v>
      </c>
      <c r="E86" s="2" t="s">
        <v>300</v>
      </c>
    </row>
    <row r="87" spans="1:5" x14ac:dyDescent="0.15">
      <c r="A87" s="2" t="s">
        <v>33</v>
      </c>
      <c r="B87" s="2" t="s">
        <v>345</v>
      </c>
      <c r="C87" s="2" t="s">
        <v>44</v>
      </c>
      <c r="D87" s="2" t="s">
        <v>133</v>
      </c>
      <c r="E87" s="2" t="s">
        <v>300</v>
      </c>
    </row>
    <row r="88" spans="1:5" x14ac:dyDescent="0.15">
      <c r="A88" s="2" t="s">
        <v>33</v>
      </c>
      <c r="B88" s="2" t="s">
        <v>345</v>
      </c>
      <c r="C88" s="2" t="s">
        <v>45</v>
      </c>
      <c r="D88" s="2" t="s">
        <v>137</v>
      </c>
      <c r="E88" s="2" t="s">
        <v>300</v>
      </c>
    </row>
    <row r="89" spans="1:5" x14ac:dyDescent="0.15">
      <c r="A89" s="2" t="s">
        <v>33</v>
      </c>
      <c r="B89" s="2" t="s">
        <v>345</v>
      </c>
      <c r="C89" s="2" t="s">
        <v>46</v>
      </c>
      <c r="D89" s="2" t="s">
        <v>141</v>
      </c>
      <c r="E89" s="2" t="s">
        <v>300</v>
      </c>
    </row>
    <row r="90" spans="1:5" x14ac:dyDescent="0.15">
      <c r="A90" s="2" t="s">
        <v>33</v>
      </c>
      <c r="B90" s="2" t="s">
        <v>345</v>
      </c>
      <c r="C90" s="2" t="s">
        <v>47</v>
      </c>
      <c r="D90" s="2" t="s">
        <v>145</v>
      </c>
      <c r="E90" s="2" t="s">
        <v>300</v>
      </c>
    </row>
    <row r="91" spans="1:5" x14ac:dyDescent="0.15">
      <c r="A91" s="2" t="s">
        <v>33</v>
      </c>
      <c r="B91" s="2" t="s">
        <v>345</v>
      </c>
      <c r="C91" s="2" t="s">
        <v>48</v>
      </c>
      <c r="D91" s="2" t="s">
        <v>149</v>
      </c>
      <c r="E91" s="2" t="s">
        <v>300</v>
      </c>
    </row>
    <row r="92" spans="1:5" x14ac:dyDescent="0.15">
      <c r="A92" s="2" t="s">
        <v>33</v>
      </c>
      <c r="B92" s="2" t="s">
        <v>345</v>
      </c>
      <c r="C92" s="2" t="s">
        <v>50</v>
      </c>
      <c r="D92" s="2" t="s">
        <v>158</v>
      </c>
      <c r="E92" s="2" t="s">
        <v>300</v>
      </c>
    </row>
    <row r="93" spans="1:5" x14ac:dyDescent="0.15">
      <c r="A93" s="2" t="s">
        <v>33</v>
      </c>
      <c r="B93" s="2" t="s">
        <v>345</v>
      </c>
      <c r="C93" s="2" t="s">
        <v>52</v>
      </c>
      <c r="D93" s="2" t="s">
        <v>165</v>
      </c>
      <c r="E93" s="2" t="s">
        <v>300</v>
      </c>
    </row>
    <row r="94" spans="1:5" x14ac:dyDescent="0.15">
      <c r="A94" s="2" t="s">
        <v>33</v>
      </c>
      <c r="B94" s="2" t="s">
        <v>345</v>
      </c>
      <c r="C94" s="2" t="s">
        <v>53</v>
      </c>
      <c r="D94" s="2" t="s">
        <v>170</v>
      </c>
      <c r="E94" s="2" t="s">
        <v>300</v>
      </c>
    </row>
    <row r="95" spans="1:5" x14ac:dyDescent="0.15">
      <c r="A95" s="2" t="s">
        <v>33</v>
      </c>
      <c r="B95" s="2" t="s">
        <v>345</v>
      </c>
      <c r="C95" s="2" t="s">
        <v>54</v>
      </c>
      <c r="D95" s="2" t="s">
        <v>174</v>
      </c>
      <c r="E95" s="2" t="s">
        <v>300</v>
      </c>
    </row>
    <row r="96" spans="1:5" x14ac:dyDescent="0.15">
      <c r="A96" s="2" t="s">
        <v>33</v>
      </c>
      <c r="B96" s="2" t="s">
        <v>345</v>
      </c>
      <c r="C96" s="2" t="s">
        <v>55</v>
      </c>
      <c r="D96" s="2" t="s">
        <v>180</v>
      </c>
      <c r="E96" s="2" t="s">
        <v>300</v>
      </c>
    </row>
    <row r="97" spans="1:5" x14ac:dyDescent="0.15">
      <c r="A97" s="2" t="s">
        <v>33</v>
      </c>
      <c r="B97" s="2" t="s">
        <v>345</v>
      </c>
      <c r="C97" s="2" t="s">
        <v>56</v>
      </c>
      <c r="D97" s="2" t="s">
        <v>185</v>
      </c>
      <c r="E97" s="2" t="s">
        <v>300</v>
      </c>
    </row>
    <row r="98" spans="1:5" x14ac:dyDescent="0.15">
      <c r="A98" s="2" t="s">
        <v>33</v>
      </c>
      <c r="B98" s="2" t="s">
        <v>345</v>
      </c>
      <c r="C98" s="2" t="s">
        <v>58</v>
      </c>
      <c r="D98" s="2" t="s">
        <v>197</v>
      </c>
      <c r="E98" s="2" t="s">
        <v>300</v>
      </c>
    </row>
    <row r="99" spans="1:5" x14ac:dyDescent="0.15">
      <c r="A99" s="2" t="s">
        <v>33</v>
      </c>
      <c r="B99" s="2" t="s">
        <v>345</v>
      </c>
      <c r="C99" s="2" t="s">
        <v>60</v>
      </c>
      <c r="D99" s="2" t="s">
        <v>199</v>
      </c>
      <c r="E99" s="2" t="s">
        <v>300</v>
      </c>
    </row>
    <row r="100" spans="1:5" x14ac:dyDescent="0.15">
      <c r="A100" s="2" t="s">
        <v>33</v>
      </c>
      <c r="B100" s="2" t="s">
        <v>345</v>
      </c>
      <c r="C100" s="2" t="s">
        <v>59</v>
      </c>
      <c r="D100" s="2" t="s">
        <v>202</v>
      </c>
      <c r="E100" s="2" t="s">
        <v>300</v>
      </c>
    </row>
    <row r="101" spans="1:5" x14ac:dyDescent="0.15">
      <c r="A101" s="2" t="s">
        <v>33</v>
      </c>
      <c r="B101" s="2" t="s">
        <v>345</v>
      </c>
      <c r="C101" s="2" t="s">
        <v>61</v>
      </c>
      <c r="D101" s="2" t="s">
        <v>205</v>
      </c>
      <c r="E101" s="2" t="s">
        <v>300</v>
      </c>
    </row>
    <row r="102" spans="1:5" x14ac:dyDescent="0.15">
      <c r="A102" s="2" t="s">
        <v>33</v>
      </c>
      <c r="B102" s="2" t="s">
        <v>345</v>
      </c>
      <c r="C102" s="2" t="s">
        <v>62</v>
      </c>
      <c r="D102" s="2" t="s">
        <v>208</v>
      </c>
      <c r="E102" s="2" t="s">
        <v>300</v>
      </c>
    </row>
    <row r="103" spans="1:5" x14ac:dyDescent="0.15">
      <c r="A103" s="2" t="s">
        <v>33</v>
      </c>
      <c r="B103" s="2" t="s">
        <v>345</v>
      </c>
      <c r="C103" s="2" t="s">
        <v>63</v>
      </c>
      <c r="D103" s="2" t="s">
        <v>212</v>
      </c>
      <c r="E103" s="2" t="s">
        <v>300</v>
      </c>
    </row>
    <row r="104" spans="1:5" x14ac:dyDescent="0.15">
      <c r="A104" s="2" t="s">
        <v>33</v>
      </c>
      <c r="B104" s="2" t="s">
        <v>345</v>
      </c>
      <c r="C104" s="2" t="s">
        <v>65</v>
      </c>
      <c r="D104" s="2" t="s">
        <v>220</v>
      </c>
      <c r="E104" s="2" t="s">
        <v>300</v>
      </c>
    </row>
    <row r="105" spans="1:5" x14ac:dyDescent="0.15">
      <c r="A105" s="2" t="s">
        <v>33</v>
      </c>
      <c r="B105" s="2" t="s">
        <v>345</v>
      </c>
      <c r="C105" s="2" t="s">
        <v>66</v>
      </c>
      <c r="D105" s="2" t="s">
        <v>226</v>
      </c>
      <c r="E105" s="2" t="s">
        <v>300</v>
      </c>
    </row>
    <row r="106" spans="1:5" x14ac:dyDescent="0.15">
      <c r="A106" s="2" t="s">
        <v>33</v>
      </c>
      <c r="B106" s="2" t="s">
        <v>345</v>
      </c>
      <c r="C106" s="2" t="s">
        <v>68</v>
      </c>
      <c r="D106" s="2" t="s">
        <v>237</v>
      </c>
      <c r="E106" s="2" t="s">
        <v>300</v>
      </c>
    </row>
    <row r="107" spans="1:5" ht="40.5" x14ac:dyDescent="0.15">
      <c r="A107" s="2" t="s">
        <v>33</v>
      </c>
      <c r="B107" s="2" t="s">
        <v>345</v>
      </c>
      <c r="C107" s="2" t="s">
        <v>366</v>
      </c>
      <c r="D107" s="2" t="s">
        <v>30</v>
      </c>
      <c r="E107" s="3" t="s">
        <v>283</v>
      </c>
    </row>
    <row r="108" spans="1:5" x14ac:dyDescent="0.15">
      <c r="A108" s="2" t="s">
        <v>33</v>
      </c>
      <c r="B108" s="2" t="s">
        <v>345</v>
      </c>
      <c r="C108" s="2" t="s">
        <v>278</v>
      </c>
      <c r="D108" s="2" t="s">
        <v>30</v>
      </c>
      <c r="E108" s="2" t="s">
        <v>300</v>
      </c>
    </row>
    <row r="109" spans="1:5" ht="409.5" x14ac:dyDescent="0.15">
      <c r="A109" s="2" t="s">
        <v>33</v>
      </c>
      <c r="B109" s="2" t="s">
        <v>367</v>
      </c>
      <c r="C109" s="2" t="s">
        <v>44</v>
      </c>
      <c r="D109" s="2" t="s">
        <v>323</v>
      </c>
      <c r="E109" s="3" t="s">
        <v>368</v>
      </c>
    </row>
    <row r="110" spans="1:5" ht="409.5" x14ac:dyDescent="0.15">
      <c r="A110" s="2" t="s">
        <v>33</v>
      </c>
      <c r="B110" s="2" t="s">
        <v>367</v>
      </c>
      <c r="C110" s="2" t="s">
        <v>63</v>
      </c>
      <c r="D110" s="2" t="s">
        <v>341</v>
      </c>
      <c r="E110" s="3" t="s">
        <v>287</v>
      </c>
    </row>
    <row r="111" spans="1:5" ht="409.5" x14ac:dyDescent="0.15">
      <c r="A111" s="2" t="s">
        <v>33</v>
      </c>
      <c r="B111" s="2" t="s">
        <v>376</v>
      </c>
      <c r="C111" s="2" t="s">
        <v>44</v>
      </c>
      <c r="D111" s="2" t="s">
        <v>323</v>
      </c>
      <c r="E111" s="3" t="s">
        <v>377</v>
      </c>
    </row>
    <row r="112" spans="1:5" ht="409.5" x14ac:dyDescent="0.15">
      <c r="A112" s="2" t="s">
        <v>33</v>
      </c>
      <c r="B112" s="2" t="s">
        <v>376</v>
      </c>
      <c r="C112" s="2" t="s">
        <v>63</v>
      </c>
      <c r="D112" s="2" t="s">
        <v>341</v>
      </c>
      <c r="E112" s="3" t="s">
        <v>287</v>
      </c>
    </row>
    <row r="113" spans="1:5" ht="202.5" x14ac:dyDescent="0.15">
      <c r="A113" s="2" t="s">
        <v>33</v>
      </c>
      <c r="B113" s="2" t="s">
        <v>376</v>
      </c>
      <c r="C113" s="2" t="s">
        <v>67</v>
      </c>
      <c r="D113" s="2" t="s">
        <v>232</v>
      </c>
      <c r="E113" s="3" t="s">
        <v>378</v>
      </c>
    </row>
    <row r="114" spans="1:5" ht="409.5" x14ac:dyDescent="0.15">
      <c r="A114" s="2" t="s">
        <v>33</v>
      </c>
      <c r="B114" s="2" t="s">
        <v>376</v>
      </c>
      <c r="C114" s="2" t="s">
        <v>369</v>
      </c>
      <c r="D114" s="2" t="s">
        <v>371</v>
      </c>
      <c r="E114" s="3" t="s">
        <v>379</v>
      </c>
    </row>
    <row r="115" spans="1:5" ht="337.5" x14ac:dyDescent="0.15">
      <c r="A115" s="2" t="s">
        <v>33</v>
      </c>
      <c r="B115" s="2" t="s">
        <v>376</v>
      </c>
      <c r="C115" s="2" t="s">
        <v>370</v>
      </c>
      <c r="D115" s="2" t="s">
        <v>375</v>
      </c>
      <c r="E115" s="3" t="s">
        <v>380</v>
      </c>
    </row>
    <row r="116" spans="1:5" x14ac:dyDescent="0.15">
      <c r="A116" s="2" t="s">
        <v>33</v>
      </c>
      <c r="B116" s="2" t="s">
        <v>376</v>
      </c>
      <c r="C116" s="2" t="s">
        <v>280</v>
      </c>
      <c r="D116" s="2" t="s">
        <v>30</v>
      </c>
      <c r="E116" s="2" t="s">
        <v>381</v>
      </c>
    </row>
    <row r="117" spans="1:5" ht="229.5" x14ac:dyDescent="0.15">
      <c r="A117" s="2" t="s">
        <v>33</v>
      </c>
      <c r="B117" s="2" t="s">
        <v>384</v>
      </c>
      <c r="C117" s="2" t="s">
        <v>46</v>
      </c>
      <c r="D117" s="2" t="s">
        <v>383</v>
      </c>
      <c r="E117" s="3" t="s">
        <v>349</v>
      </c>
    </row>
    <row r="118" spans="1:5" ht="409.5" x14ac:dyDescent="0.15">
      <c r="A118" s="2" t="s">
        <v>33</v>
      </c>
      <c r="B118" s="2" t="s">
        <v>384</v>
      </c>
      <c r="C118" s="2" t="s">
        <v>63</v>
      </c>
      <c r="D118" s="2" t="s">
        <v>341</v>
      </c>
      <c r="E118" s="3" t="s">
        <v>287</v>
      </c>
    </row>
    <row r="119" spans="1:5" ht="409.5" x14ac:dyDescent="0.15">
      <c r="A119" s="2" t="s">
        <v>33</v>
      </c>
      <c r="B119" s="2" t="s">
        <v>384</v>
      </c>
      <c r="C119" s="2" t="s">
        <v>369</v>
      </c>
      <c r="D119" s="2" t="s">
        <v>371</v>
      </c>
      <c r="E119" s="3" t="s">
        <v>385</v>
      </c>
    </row>
    <row r="120" spans="1:5" x14ac:dyDescent="0.15">
      <c r="A120" s="2" t="s">
        <v>33</v>
      </c>
      <c r="B120" s="2" t="s">
        <v>384</v>
      </c>
      <c r="C120" s="2" t="s">
        <v>46</v>
      </c>
      <c r="D120" s="2" t="s">
        <v>325</v>
      </c>
      <c r="E120" s="2" t="s">
        <v>300</v>
      </c>
    </row>
    <row r="121" spans="1:5" ht="409.5" x14ac:dyDescent="0.15">
      <c r="A121" s="2" t="s">
        <v>33</v>
      </c>
      <c r="B121" s="2" t="s">
        <v>386</v>
      </c>
      <c r="C121" s="2" t="s">
        <v>63</v>
      </c>
      <c r="D121" s="2" t="s">
        <v>341</v>
      </c>
      <c r="E121" s="3" t="s">
        <v>287</v>
      </c>
    </row>
    <row r="122" spans="1:5" ht="409.5" x14ac:dyDescent="0.15">
      <c r="A122" s="2" t="s">
        <v>33</v>
      </c>
      <c r="B122" s="2" t="s">
        <v>386</v>
      </c>
      <c r="C122" s="2" t="s">
        <v>369</v>
      </c>
      <c r="D122" s="2" t="s">
        <v>371</v>
      </c>
      <c r="E122" s="3" t="s">
        <v>385</v>
      </c>
    </row>
    <row r="123" spans="1:5" ht="409.5" x14ac:dyDescent="0.15">
      <c r="A123" s="2" t="s">
        <v>33</v>
      </c>
      <c r="B123" s="2" t="s">
        <v>387</v>
      </c>
      <c r="C123" s="2" t="s">
        <v>63</v>
      </c>
      <c r="D123" s="2" t="s">
        <v>341</v>
      </c>
      <c r="E123" s="3" t="s">
        <v>287</v>
      </c>
    </row>
    <row r="124" spans="1:5" ht="409.5" x14ac:dyDescent="0.15">
      <c r="A124" s="2" t="s">
        <v>33</v>
      </c>
      <c r="B124" s="2" t="s">
        <v>387</v>
      </c>
      <c r="C124" s="2" t="s">
        <v>369</v>
      </c>
      <c r="D124" s="2" t="s">
        <v>371</v>
      </c>
      <c r="E124" s="3" t="s">
        <v>385</v>
      </c>
    </row>
    <row r="125" spans="1:5" ht="409.5" x14ac:dyDescent="0.15">
      <c r="A125" s="2" t="s">
        <v>33</v>
      </c>
      <c r="B125" s="2" t="s">
        <v>388</v>
      </c>
      <c r="C125" s="2" t="s">
        <v>63</v>
      </c>
      <c r="D125" s="2" t="s">
        <v>341</v>
      </c>
      <c r="E125" s="3" t="s">
        <v>287</v>
      </c>
    </row>
    <row r="126" spans="1:5" ht="337.5" x14ac:dyDescent="0.15">
      <c r="A126" s="2" t="s">
        <v>33</v>
      </c>
      <c r="B126" s="2" t="s">
        <v>388</v>
      </c>
      <c r="C126" s="2" t="s">
        <v>370</v>
      </c>
      <c r="D126" s="2" t="s">
        <v>371</v>
      </c>
      <c r="E126" s="3" t="s">
        <v>389</v>
      </c>
    </row>
    <row r="127" spans="1:5" x14ac:dyDescent="0.15">
      <c r="A127" s="2" t="s">
        <v>33</v>
      </c>
      <c r="B127" s="2" t="s">
        <v>388</v>
      </c>
      <c r="C127" s="2" t="s">
        <v>370</v>
      </c>
      <c r="D127" s="2" t="s">
        <v>375</v>
      </c>
      <c r="E127" s="2" t="s">
        <v>300</v>
      </c>
    </row>
    <row r="128" spans="1:5" ht="229.5" x14ac:dyDescent="0.15">
      <c r="A128" s="2" t="s">
        <v>33</v>
      </c>
      <c r="B128" s="2" t="s">
        <v>403</v>
      </c>
      <c r="C128" s="2" t="s">
        <v>390</v>
      </c>
      <c r="D128" s="2" t="s">
        <v>398</v>
      </c>
      <c r="E128" s="3" t="s">
        <v>404</v>
      </c>
    </row>
    <row r="129" spans="1:5" ht="175.5" x14ac:dyDescent="0.15">
      <c r="A129" s="2" t="s">
        <v>33</v>
      </c>
      <c r="B129" s="2" t="s">
        <v>403</v>
      </c>
      <c r="C129" s="2" t="s">
        <v>391</v>
      </c>
      <c r="D129" s="2" t="s">
        <v>402</v>
      </c>
      <c r="E129" s="3" t="s">
        <v>405</v>
      </c>
    </row>
    <row r="130" spans="1:5" ht="162" x14ac:dyDescent="0.15">
      <c r="A130" s="2" t="s">
        <v>33</v>
      </c>
      <c r="B130" s="2" t="s">
        <v>408</v>
      </c>
      <c r="C130" s="2" t="s">
        <v>56</v>
      </c>
      <c r="D130" s="2" t="s">
        <v>407</v>
      </c>
      <c r="E130" s="3" t="s">
        <v>409</v>
      </c>
    </row>
    <row r="131" spans="1:5" x14ac:dyDescent="0.15">
      <c r="A131" s="2" t="s">
        <v>33</v>
      </c>
      <c r="B131" s="2" t="s">
        <v>408</v>
      </c>
      <c r="C131" s="2" t="s">
        <v>56</v>
      </c>
      <c r="D131" s="2" t="s">
        <v>334</v>
      </c>
      <c r="E131" s="2" t="s">
        <v>300</v>
      </c>
    </row>
    <row r="132" spans="1:5" ht="189" x14ac:dyDescent="0.15">
      <c r="A132" s="2" t="s">
        <v>33</v>
      </c>
      <c r="B132" s="2" t="s">
        <v>410</v>
      </c>
      <c r="C132" s="2" t="s">
        <v>68</v>
      </c>
      <c r="D132" s="2" t="s">
        <v>344</v>
      </c>
      <c r="E132" s="3" t="s">
        <v>311</v>
      </c>
    </row>
    <row r="133" spans="1:5" ht="202.5" x14ac:dyDescent="0.15">
      <c r="A133" s="2" t="s">
        <v>33</v>
      </c>
      <c r="B133" s="2" t="s">
        <v>412</v>
      </c>
      <c r="C133" s="2" t="s">
        <v>41</v>
      </c>
      <c r="D133" s="2" t="s">
        <v>321</v>
      </c>
      <c r="E133" s="3" t="s">
        <v>413</v>
      </c>
    </row>
    <row r="134" spans="1:5" ht="409.5" x14ac:dyDescent="0.15">
      <c r="A134" s="2" t="s">
        <v>33</v>
      </c>
      <c r="B134" s="2" t="s">
        <v>415</v>
      </c>
      <c r="C134" s="2" t="s">
        <v>44</v>
      </c>
      <c r="D134" s="2" t="s">
        <v>323</v>
      </c>
      <c r="E134" s="3" t="s">
        <v>416</v>
      </c>
    </row>
    <row r="135" spans="1:5" ht="189" x14ac:dyDescent="0.15">
      <c r="A135" s="2" t="s">
        <v>33</v>
      </c>
      <c r="B135" s="2" t="s">
        <v>415</v>
      </c>
      <c r="C135" s="2" t="s">
        <v>49</v>
      </c>
      <c r="D135" s="2" t="s">
        <v>154</v>
      </c>
      <c r="E135" s="3" t="s">
        <v>417</v>
      </c>
    </row>
    <row r="136" spans="1:5" ht="189" x14ac:dyDescent="0.15">
      <c r="A136" s="2" t="s">
        <v>33</v>
      </c>
      <c r="B136" s="2" t="s">
        <v>415</v>
      </c>
      <c r="C136" s="2" t="s">
        <v>51</v>
      </c>
      <c r="D136" s="2" t="s">
        <v>159</v>
      </c>
      <c r="E136" s="3" t="s">
        <v>418</v>
      </c>
    </row>
    <row r="137" spans="1:5" ht="202.5" x14ac:dyDescent="0.15">
      <c r="A137" s="2" t="s">
        <v>33</v>
      </c>
      <c r="B137" s="2" t="s">
        <v>419</v>
      </c>
      <c r="C137" s="2" t="s">
        <v>68</v>
      </c>
      <c r="D137" s="2" t="s">
        <v>344</v>
      </c>
      <c r="E137" s="3" t="s">
        <v>413</v>
      </c>
    </row>
    <row r="138" spans="1:5" ht="216" x14ac:dyDescent="0.15">
      <c r="A138" s="2" t="s">
        <v>33</v>
      </c>
      <c r="B138" s="2" t="s">
        <v>422</v>
      </c>
      <c r="C138" s="2" t="s">
        <v>41</v>
      </c>
      <c r="D138" s="2" t="s">
        <v>421</v>
      </c>
      <c r="E138" s="3" t="s">
        <v>423</v>
      </c>
    </row>
    <row r="139" spans="1:5" x14ac:dyDescent="0.15">
      <c r="A139" s="2" t="s">
        <v>33</v>
      </c>
      <c r="B139" s="2" t="s">
        <v>422</v>
      </c>
      <c r="C139" s="2" t="s">
        <v>41</v>
      </c>
      <c r="D139" s="2" t="s">
        <v>321</v>
      </c>
      <c r="E139" s="2" t="s">
        <v>300</v>
      </c>
    </row>
    <row r="140" spans="1:5" ht="175.5" x14ac:dyDescent="0.15">
      <c r="A140" s="2" t="s">
        <v>33</v>
      </c>
      <c r="B140" s="2" t="s">
        <v>434</v>
      </c>
      <c r="C140" s="2" t="s">
        <v>67</v>
      </c>
      <c r="D140" s="2" t="s">
        <v>232</v>
      </c>
      <c r="E140" s="3" t="s">
        <v>435</v>
      </c>
    </row>
    <row r="141" spans="1:5" ht="175.5" x14ac:dyDescent="0.15">
      <c r="A141" s="2" t="s">
        <v>33</v>
      </c>
      <c r="B141" s="2" t="s">
        <v>434</v>
      </c>
      <c r="C141" s="2" t="s">
        <v>370</v>
      </c>
      <c r="D141" s="2" t="s">
        <v>371</v>
      </c>
      <c r="E141" s="3" t="s">
        <v>436</v>
      </c>
    </row>
    <row r="142" spans="1:5" ht="283.5" x14ac:dyDescent="0.15">
      <c r="A142" s="2" t="s">
        <v>33</v>
      </c>
      <c r="B142" s="2" t="s">
        <v>434</v>
      </c>
      <c r="C142" s="2" t="s">
        <v>69</v>
      </c>
      <c r="D142" s="2" t="s">
        <v>427</v>
      </c>
      <c r="E142" s="3" t="s">
        <v>437</v>
      </c>
    </row>
    <row r="143" spans="1:5" ht="409.5" x14ac:dyDescent="0.15">
      <c r="A143" s="2" t="s">
        <v>33</v>
      </c>
      <c r="B143" s="2" t="s">
        <v>434</v>
      </c>
      <c r="C143" s="2" t="s">
        <v>291</v>
      </c>
      <c r="D143" s="2" t="s">
        <v>428</v>
      </c>
      <c r="E143" s="3" t="s">
        <v>438</v>
      </c>
    </row>
    <row r="144" spans="1:5" ht="324" x14ac:dyDescent="0.15">
      <c r="A144" s="2" t="s">
        <v>33</v>
      </c>
      <c r="B144" s="2" t="s">
        <v>434</v>
      </c>
      <c r="C144" s="2" t="s">
        <v>68</v>
      </c>
      <c r="D144" s="2" t="s">
        <v>430</v>
      </c>
      <c r="E144" s="3" t="s">
        <v>439</v>
      </c>
    </row>
    <row r="145" spans="1:5" ht="229.5" x14ac:dyDescent="0.15">
      <c r="A145" s="2" t="s">
        <v>33</v>
      </c>
      <c r="B145" s="2" t="s">
        <v>434</v>
      </c>
      <c r="C145" s="2" t="s">
        <v>390</v>
      </c>
      <c r="D145" s="2" t="s">
        <v>432</v>
      </c>
      <c r="E145" s="3" t="s">
        <v>440</v>
      </c>
    </row>
    <row r="146" spans="1:5" ht="175.5" x14ac:dyDescent="0.15">
      <c r="A146" s="2" t="s">
        <v>33</v>
      </c>
      <c r="B146" s="2" t="s">
        <v>434</v>
      </c>
      <c r="C146" s="2" t="s">
        <v>391</v>
      </c>
      <c r="D146" s="2" t="s">
        <v>433</v>
      </c>
      <c r="E146" s="3" t="s">
        <v>405</v>
      </c>
    </row>
    <row r="147" spans="1:5" x14ac:dyDescent="0.15">
      <c r="A147" s="2" t="s">
        <v>33</v>
      </c>
      <c r="B147" s="2" t="s">
        <v>434</v>
      </c>
      <c r="C147" s="2" t="s">
        <v>69</v>
      </c>
      <c r="D147" s="2" t="s">
        <v>292</v>
      </c>
      <c r="E147" s="2" t="s">
        <v>300</v>
      </c>
    </row>
    <row r="148" spans="1:5" x14ac:dyDescent="0.15">
      <c r="A148" s="2" t="s">
        <v>33</v>
      </c>
      <c r="B148" s="2" t="s">
        <v>434</v>
      </c>
      <c r="C148" s="2" t="s">
        <v>291</v>
      </c>
      <c r="D148" s="2" t="s">
        <v>296</v>
      </c>
      <c r="E148" s="2" t="s">
        <v>300</v>
      </c>
    </row>
    <row r="149" spans="1:5" x14ac:dyDescent="0.15">
      <c r="A149" s="2" t="s">
        <v>33</v>
      </c>
      <c r="B149" s="2" t="s">
        <v>434</v>
      </c>
      <c r="C149" s="2" t="s">
        <v>68</v>
      </c>
      <c r="D149" s="2" t="s">
        <v>344</v>
      </c>
      <c r="E149" s="2" t="s">
        <v>300</v>
      </c>
    </row>
    <row r="150" spans="1:5" x14ac:dyDescent="0.15">
      <c r="A150" s="2" t="s">
        <v>33</v>
      </c>
      <c r="B150" s="2" t="s">
        <v>434</v>
      </c>
      <c r="C150" s="2" t="s">
        <v>390</v>
      </c>
      <c r="D150" s="2" t="s">
        <v>398</v>
      </c>
      <c r="E150" s="2" t="s">
        <v>300</v>
      </c>
    </row>
    <row r="151" spans="1:5" x14ac:dyDescent="0.15">
      <c r="A151" s="2" t="s">
        <v>33</v>
      </c>
      <c r="B151" s="2" t="s">
        <v>434</v>
      </c>
      <c r="C151" s="2" t="s">
        <v>391</v>
      </c>
      <c r="D151" s="2" t="s">
        <v>402</v>
      </c>
      <c r="E151" s="2" t="s">
        <v>300</v>
      </c>
    </row>
    <row r="152" spans="1:5" ht="40.5" x14ac:dyDescent="0.15">
      <c r="A152" s="2" t="s">
        <v>33</v>
      </c>
      <c r="B152" s="2" t="s">
        <v>443</v>
      </c>
      <c r="C152" s="2" t="s">
        <v>442</v>
      </c>
      <c r="D152" s="2" t="s">
        <v>30</v>
      </c>
      <c r="E152" s="3" t="s">
        <v>283</v>
      </c>
    </row>
    <row r="153" spans="1:5" x14ac:dyDescent="0.15">
      <c r="A153" s="2" t="s">
        <v>33</v>
      </c>
      <c r="B153" s="2" t="s">
        <v>443</v>
      </c>
      <c r="C153" s="2" t="s">
        <v>281</v>
      </c>
      <c r="D153" s="2" t="s">
        <v>30</v>
      </c>
      <c r="E153" s="2" t="s">
        <v>300</v>
      </c>
    </row>
    <row r="154" spans="1:5" ht="162" x14ac:dyDescent="0.15">
      <c r="A154" s="2" t="s">
        <v>33</v>
      </c>
      <c r="B154" s="2" t="s">
        <v>458</v>
      </c>
      <c r="C154" s="2" t="s">
        <v>444</v>
      </c>
      <c r="D154" s="2" t="s">
        <v>449</v>
      </c>
      <c r="E154" s="3" t="s">
        <v>459</v>
      </c>
    </row>
    <row r="155" spans="1:5" ht="162" x14ac:dyDescent="0.15">
      <c r="A155" s="2" t="s">
        <v>33</v>
      </c>
      <c r="B155" s="2" t="s">
        <v>458</v>
      </c>
      <c r="C155" s="2" t="s">
        <v>445</v>
      </c>
      <c r="D155" s="2" t="s">
        <v>452</v>
      </c>
      <c r="E155" s="3" t="s">
        <v>459</v>
      </c>
    </row>
    <row r="156" spans="1:5" ht="283.5" x14ac:dyDescent="0.15">
      <c r="A156" s="2" t="s">
        <v>33</v>
      </c>
      <c r="B156" s="2" t="s">
        <v>458</v>
      </c>
      <c r="C156" s="2" t="s">
        <v>55</v>
      </c>
      <c r="D156" s="2" t="s">
        <v>453</v>
      </c>
      <c r="E156" s="3" t="s">
        <v>460</v>
      </c>
    </row>
    <row r="157" spans="1:5" ht="216" x14ac:dyDescent="0.15">
      <c r="A157" s="2" t="s">
        <v>33</v>
      </c>
      <c r="B157" s="2" t="s">
        <v>458</v>
      </c>
      <c r="C157" s="2" t="s">
        <v>69</v>
      </c>
      <c r="D157" s="2" t="s">
        <v>427</v>
      </c>
      <c r="E157" s="3" t="s">
        <v>461</v>
      </c>
    </row>
    <row r="158" spans="1:5" ht="409.5" x14ac:dyDescent="0.15">
      <c r="A158" s="2" t="s">
        <v>33</v>
      </c>
      <c r="B158" s="2" t="s">
        <v>458</v>
      </c>
      <c r="C158" s="2" t="s">
        <v>291</v>
      </c>
      <c r="D158" s="2" t="s">
        <v>428</v>
      </c>
      <c r="E158" s="3" t="s">
        <v>462</v>
      </c>
    </row>
    <row r="159" spans="1:5" ht="216" x14ac:dyDescent="0.15">
      <c r="A159" s="2" t="s">
        <v>33</v>
      </c>
      <c r="B159" s="2" t="s">
        <v>458</v>
      </c>
      <c r="C159" s="2" t="s">
        <v>68</v>
      </c>
      <c r="D159" s="2" t="s">
        <v>430</v>
      </c>
      <c r="E159" s="3" t="s">
        <v>463</v>
      </c>
    </row>
    <row r="160" spans="1:5" ht="175.5" x14ac:dyDescent="0.15">
      <c r="A160" s="2" t="s">
        <v>33</v>
      </c>
      <c r="B160" s="2" t="s">
        <v>458</v>
      </c>
      <c r="C160" s="2" t="s">
        <v>391</v>
      </c>
      <c r="D160" s="2" t="s">
        <v>457</v>
      </c>
      <c r="E160" s="3" t="s">
        <v>405</v>
      </c>
    </row>
    <row r="161" spans="1:5" x14ac:dyDescent="0.15">
      <c r="A161" s="2" t="s">
        <v>33</v>
      </c>
      <c r="B161" s="2" t="s">
        <v>458</v>
      </c>
      <c r="C161" s="2" t="s">
        <v>55</v>
      </c>
      <c r="D161" s="2" t="s">
        <v>333</v>
      </c>
      <c r="E161" s="2" t="s">
        <v>300</v>
      </c>
    </row>
    <row r="162" spans="1:5" x14ac:dyDescent="0.15">
      <c r="A162" s="2" t="s">
        <v>33</v>
      </c>
      <c r="B162" s="2" t="s">
        <v>458</v>
      </c>
      <c r="C162" s="2" t="s">
        <v>391</v>
      </c>
      <c r="D162" s="2" t="s">
        <v>433</v>
      </c>
      <c r="E162" s="2" t="s">
        <v>300</v>
      </c>
    </row>
    <row r="163" spans="1:5" ht="409.5" x14ac:dyDescent="0.15">
      <c r="A163" s="2" t="s">
        <v>33</v>
      </c>
      <c r="B163" s="2" t="s">
        <v>465</v>
      </c>
      <c r="C163" s="2" t="s">
        <v>291</v>
      </c>
      <c r="D163" s="2" t="s">
        <v>428</v>
      </c>
      <c r="E163" s="3" t="s">
        <v>466</v>
      </c>
    </row>
    <row r="164" spans="1:5" ht="409.5" x14ac:dyDescent="0.15">
      <c r="A164" s="2" t="s">
        <v>33</v>
      </c>
      <c r="B164" s="2" t="s">
        <v>467</v>
      </c>
      <c r="C164" s="2" t="s">
        <v>291</v>
      </c>
      <c r="D164" s="2" t="s">
        <v>428</v>
      </c>
      <c r="E164" s="3" t="s">
        <v>466</v>
      </c>
    </row>
    <row r="165" spans="1:5" ht="409.5" x14ac:dyDescent="0.15">
      <c r="A165" s="2" t="s">
        <v>33</v>
      </c>
      <c r="B165" s="2" t="s">
        <v>468</v>
      </c>
      <c r="C165" s="2" t="s">
        <v>291</v>
      </c>
      <c r="D165" s="2" t="s">
        <v>428</v>
      </c>
      <c r="E165" s="3" t="s">
        <v>466</v>
      </c>
    </row>
    <row r="166" spans="1:5" ht="409.5" x14ac:dyDescent="0.15">
      <c r="A166" s="2" t="s">
        <v>33</v>
      </c>
      <c r="B166" s="2" t="s">
        <v>469</v>
      </c>
      <c r="C166" s="2" t="s">
        <v>291</v>
      </c>
      <c r="D166" s="2" t="s">
        <v>428</v>
      </c>
      <c r="E166" s="3" t="s">
        <v>466</v>
      </c>
    </row>
    <row r="167" spans="1:5" ht="409.5" x14ac:dyDescent="0.15">
      <c r="A167" s="2" t="s">
        <v>33</v>
      </c>
      <c r="B167" s="2" t="s">
        <v>470</v>
      </c>
      <c r="C167" s="2" t="s">
        <v>291</v>
      </c>
      <c r="D167" s="2" t="s">
        <v>428</v>
      </c>
      <c r="E167" s="3" t="s">
        <v>466</v>
      </c>
    </row>
    <row r="168" spans="1:5" ht="81" x14ac:dyDescent="0.15">
      <c r="A168" s="2" t="s">
        <v>33</v>
      </c>
      <c r="B168" s="2" t="s">
        <v>471</v>
      </c>
      <c r="C168" s="2" t="s">
        <v>67</v>
      </c>
      <c r="D168" s="2" t="s">
        <v>232</v>
      </c>
      <c r="E168" s="3" t="s">
        <v>472</v>
      </c>
    </row>
    <row r="169" spans="1:5" ht="409.5" x14ac:dyDescent="0.15">
      <c r="A169" s="2" t="s">
        <v>33</v>
      </c>
      <c r="B169" s="2" t="s">
        <v>471</v>
      </c>
      <c r="C169" s="2" t="s">
        <v>291</v>
      </c>
      <c r="D169" s="2" t="s">
        <v>428</v>
      </c>
      <c r="E169" s="3" t="s">
        <v>466</v>
      </c>
    </row>
    <row r="170" spans="1:5" ht="81" x14ac:dyDescent="0.15">
      <c r="A170" s="2" t="s">
        <v>33</v>
      </c>
      <c r="B170" s="2" t="s">
        <v>474</v>
      </c>
      <c r="C170" s="2" t="s">
        <v>39</v>
      </c>
      <c r="D170" s="2" t="s">
        <v>114</v>
      </c>
      <c r="E170" s="3" t="s">
        <v>475</v>
      </c>
    </row>
    <row r="171" spans="1:5" ht="409.5" x14ac:dyDescent="0.15">
      <c r="A171" s="2" t="s">
        <v>33</v>
      </c>
      <c r="B171" s="2" t="s">
        <v>474</v>
      </c>
      <c r="C171" s="2" t="s">
        <v>291</v>
      </c>
      <c r="D171" s="2" t="s">
        <v>428</v>
      </c>
      <c r="E171" s="3" t="s">
        <v>466</v>
      </c>
    </row>
    <row r="172" spans="1:5" ht="409.5" x14ac:dyDescent="0.15">
      <c r="A172" s="2" t="s">
        <v>33</v>
      </c>
      <c r="B172" s="2" t="s">
        <v>476</v>
      </c>
      <c r="C172" s="2" t="s">
        <v>291</v>
      </c>
      <c r="D172" s="2" t="s">
        <v>428</v>
      </c>
      <c r="E172" s="3" t="s">
        <v>466</v>
      </c>
    </row>
    <row r="173" spans="1:5" ht="67.5" x14ac:dyDescent="0.15">
      <c r="A173" s="2" t="s">
        <v>33</v>
      </c>
      <c r="B173" s="2" t="s">
        <v>477</v>
      </c>
      <c r="C173" s="2" t="s">
        <v>67</v>
      </c>
      <c r="D173" s="2" t="s">
        <v>232</v>
      </c>
      <c r="E173" s="3" t="s">
        <v>478</v>
      </c>
    </row>
    <row r="174" spans="1:5" ht="409.5" x14ac:dyDescent="0.15">
      <c r="A174" s="2" t="s">
        <v>33</v>
      </c>
      <c r="B174" s="2" t="s">
        <v>477</v>
      </c>
      <c r="C174" s="2" t="s">
        <v>291</v>
      </c>
      <c r="D174" s="2" t="s">
        <v>428</v>
      </c>
      <c r="E174" s="3" t="s">
        <v>466</v>
      </c>
    </row>
    <row r="175" spans="1:5" ht="409.5" x14ac:dyDescent="0.15">
      <c r="A175" s="2" t="s">
        <v>33</v>
      </c>
      <c r="B175" s="2" t="s">
        <v>479</v>
      </c>
      <c r="C175" s="2" t="s">
        <v>291</v>
      </c>
      <c r="D175" s="2" t="s">
        <v>428</v>
      </c>
      <c r="E175" s="3" t="s">
        <v>466</v>
      </c>
    </row>
    <row r="176" spans="1:5" x14ac:dyDescent="0.15">
      <c r="A176" s="2" t="s">
        <v>33</v>
      </c>
      <c r="B176" s="2" t="s">
        <v>480</v>
      </c>
      <c r="C176" s="2" t="s">
        <v>280</v>
      </c>
      <c r="D176" s="2" t="s">
        <v>30</v>
      </c>
      <c r="E176" s="2" t="s">
        <v>381</v>
      </c>
    </row>
    <row r="177" spans="1:5" ht="409.5" x14ac:dyDescent="0.15">
      <c r="A177" s="2" t="s">
        <v>33</v>
      </c>
      <c r="B177" s="2" t="s">
        <v>481</v>
      </c>
      <c r="C177" s="2" t="s">
        <v>291</v>
      </c>
      <c r="D177" s="2" t="s">
        <v>428</v>
      </c>
      <c r="E177" s="3" t="s">
        <v>466</v>
      </c>
    </row>
    <row r="178" spans="1:5" x14ac:dyDescent="0.15">
      <c r="A178" s="2" t="s">
        <v>33</v>
      </c>
      <c r="B178" s="2" t="s">
        <v>482</v>
      </c>
      <c r="C178" s="2" t="s">
        <v>280</v>
      </c>
      <c r="D178" s="2" t="s">
        <v>30</v>
      </c>
      <c r="E178" s="2" t="s">
        <v>381</v>
      </c>
    </row>
    <row r="179" spans="1:5" ht="409.5" x14ac:dyDescent="0.15">
      <c r="A179" s="2" t="s">
        <v>33</v>
      </c>
      <c r="B179" s="2" t="s">
        <v>483</v>
      </c>
      <c r="C179" s="2" t="s">
        <v>291</v>
      </c>
      <c r="D179" s="2" t="s">
        <v>428</v>
      </c>
      <c r="E179" s="3" t="s">
        <v>466</v>
      </c>
    </row>
    <row r="180" spans="1:5" ht="409.5" x14ac:dyDescent="0.15">
      <c r="A180" s="2" t="s">
        <v>33</v>
      </c>
      <c r="B180" s="2" t="s">
        <v>484</v>
      </c>
      <c r="C180" s="2" t="s">
        <v>291</v>
      </c>
      <c r="D180" s="2" t="s">
        <v>428</v>
      </c>
      <c r="E180" s="3" t="s">
        <v>466</v>
      </c>
    </row>
    <row r="181" spans="1:5" ht="54" x14ac:dyDescent="0.15">
      <c r="A181" s="2" t="s">
        <v>33</v>
      </c>
      <c r="B181" s="2" t="s">
        <v>485</v>
      </c>
      <c r="C181" s="2" t="s">
        <v>370</v>
      </c>
      <c r="D181" s="2" t="s">
        <v>371</v>
      </c>
      <c r="E181" s="3" t="s">
        <v>486</v>
      </c>
    </row>
    <row r="182" spans="1:5" ht="409.5" x14ac:dyDescent="0.15">
      <c r="A182" s="2" t="s">
        <v>33</v>
      </c>
      <c r="B182" s="2" t="s">
        <v>485</v>
      </c>
      <c r="C182" s="2" t="s">
        <v>291</v>
      </c>
      <c r="D182" s="2" t="s">
        <v>428</v>
      </c>
      <c r="E182" s="3" t="s">
        <v>466</v>
      </c>
    </row>
    <row r="183" spans="1:5" ht="54" x14ac:dyDescent="0.15">
      <c r="A183" s="2" t="s">
        <v>33</v>
      </c>
      <c r="B183" s="2" t="s">
        <v>487</v>
      </c>
      <c r="C183" s="2" t="s">
        <v>67</v>
      </c>
      <c r="D183" s="2" t="s">
        <v>232</v>
      </c>
      <c r="E183" s="3" t="s">
        <v>488</v>
      </c>
    </row>
    <row r="184" spans="1:5" ht="54" x14ac:dyDescent="0.15">
      <c r="A184" s="2" t="s">
        <v>33</v>
      </c>
      <c r="B184" s="2" t="s">
        <v>487</v>
      </c>
      <c r="C184" s="2" t="s">
        <v>370</v>
      </c>
      <c r="D184" s="2" t="s">
        <v>371</v>
      </c>
      <c r="E184" s="3" t="s">
        <v>489</v>
      </c>
    </row>
    <row r="185" spans="1:5" ht="409.5" x14ac:dyDescent="0.15">
      <c r="A185" s="2" t="s">
        <v>33</v>
      </c>
      <c r="B185" s="2" t="s">
        <v>487</v>
      </c>
      <c r="C185" s="2" t="s">
        <v>291</v>
      </c>
      <c r="D185" s="2" t="s">
        <v>428</v>
      </c>
      <c r="E185" s="3" t="s">
        <v>466</v>
      </c>
    </row>
    <row r="186" spans="1:5" ht="54" x14ac:dyDescent="0.15">
      <c r="A186" s="2" t="s">
        <v>33</v>
      </c>
      <c r="B186" s="2" t="s">
        <v>490</v>
      </c>
      <c r="C186" s="2" t="s">
        <v>67</v>
      </c>
      <c r="D186" s="2" t="s">
        <v>232</v>
      </c>
      <c r="E186" s="3" t="s">
        <v>489</v>
      </c>
    </row>
    <row r="187" spans="1:5" ht="54" x14ac:dyDescent="0.15">
      <c r="A187" s="2" t="s">
        <v>33</v>
      </c>
      <c r="B187" s="2" t="s">
        <v>490</v>
      </c>
      <c r="C187" s="2" t="s">
        <v>370</v>
      </c>
      <c r="D187" s="2" t="s">
        <v>371</v>
      </c>
      <c r="E187" s="3" t="s">
        <v>489</v>
      </c>
    </row>
    <row r="188" spans="1:5" ht="409.5" x14ac:dyDescent="0.15">
      <c r="A188" s="2" t="s">
        <v>33</v>
      </c>
      <c r="B188" s="2" t="s">
        <v>490</v>
      </c>
      <c r="C188" s="2" t="s">
        <v>291</v>
      </c>
      <c r="D188" s="2" t="s">
        <v>428</v>
      </c>
      <c r="E188" s="3" t="s">
        <v>466</v>
      </c>
    </row>
    <row r="189" spans="1:5" ht="54" x14ac:dyDescent="0.15">
      <c r="A189" s="2" t="s">
        <v>33</v>
      </c>
      <c r="B189" s="2" t="s">
        <v>491</v>
      </c>
      <c r="C189" s="2" t="s">
        <v>67</v>
      </c>
      <c r="D189" s="2" t="s">
        <v>232</v>
      </c>
      <c r="E189" s="3" t="s">
        <v>489</v>
      </c>
    </row>
    <row r="190" spans="1:5" ht="54" x14ac:dyDescent="0.15">
      <c r="A190" s="2" t="s">
        <v>33</v>
      </c>
      <c r="B190" s="2" t="s">
        <v>491</v>
      </c>
      <c r="C190" s="2" t="s">
        <v>370</v>
      </c>
      <c r="D190" s="2" t="s">
        <v>371</v>
      </c>
      <c r="E190" s="3" t="s">
        <v>489</v>
      </c>
    </row>
    <row r="191" spans="1:5" ht="409.5" x14ac:dyDescent="0.15">
      <c r="A191" s="2" t="s">
        <v>33</v>
      </c>
      <c r="B191" s="2" t="s">
        <v>491</v>
      </c>
      <c r="C191" s="2" t="s">
        <v>291</v>
      </c>
      <c r="D191" s="2" t="s">
        <v>428</v>
      </c>
      <c r="E191" s="3" t="s">
        <v>466</v>
      </c>
    </row>
    <row r="192" spans="1:5" ht="54" x14ac:dyDescent="0.15">
      <c r="A192" s="2" t="s">
        <v>33</v>
      </c>
      <c r="B192" s="2" t="s">
        <v>492</v>
      </c>
      <c r="C192" s="2" t="s">
        <v>67</v>
      </c>
      <c r="D192" s="2" t="s">
        <v>232</v>
      </c>
      <c r="E192" s="3" t="s">
        <v>489</v>
      </c>
    </row>
    <row r="193" spans="1:5" ht="54" x14ac:dyDescent="0.15">
      <c r="A193" s="2" t="s">
        <v>33</v>
      </c>
      <c r="B193" s="2" t="s">
        <v>492</v>
      </c>
      <c r="C193" s="2" t="s">
        <v>370</v>
      </c>
      <c r="D193" s="2" t="s">
        <v>371</v>
      </c>
      <c r="E193" s="3" t="s">
        <v>489</v>
      </c>
    </row>
    <row r="194" spans="1:5" ht="409.5" x14ac:dyDescent="0.15">
      <c r="A194" s="2" t="s">
        <v>33</v>
      </c>
      <c r="B194" s="2" t="s">
        <v>492</v>
      </c>
      <c r="C194" s="2" t="s">
        <v>291</v>
      </c>
      <c r="D194" s="2" t="s">
        <v>428</v>
      </c>
      <c r="E194" s="3" t="s">
        <v>466</v>
      </c>
    </row>
    <row r="195" spans="1:5" ht="54" x14ac:dyDescent="0.15">
      <c r="A195" s="2" t="s">
        <v>33</v>
      </c>
      <c r="B195" s="2" t="s">
        <v>493</v>
      </c>
      <c r="C195" s="2" t="s">
        <v>67</v>
      </c>
      <c r="D195" s="2" t="s">
        <v>232</v>
      </c>
      <c r="E195" s="3" t="s">
        <v>489</v>
      </c>
    </row>
    <row r="196" spans="1:5" ht="54" x14ac:dyDescent="0.15">
      <c r="A196" s="2" t="s">
        <v>33</v>
      </c>
      <c r="B196" s="2" t="s">
        <v>493</v>
      </c>
      <c r="C196" s="2" t="s">
        <v>370</v>
      </c>
      <c r="D196" s="2" t="s">
        <v>371</v>
      </c>
      <c r="E196" s="3" t="s">
        <v>489</v>
      </c>
    </row>
    <row r="197" spans="1:5" ht="409.5" x14ac:dyDescent="0.15">
      <c r="A197" s="2" t="s">
        <v>33</v>
      </c>
      <c r="B197" s="2" t="s">
        <v>493</v>
      </c>
      <c r="C197" s="2" t="s">
        <v>291</v>
      </c>
      <c r="D197" s="2" t="s">
        <v>428</v>
      </c>
      <c r="E197" s="3" t="s">
        <v>466</v>
      </c>
    </row>
    <row r="198" spans="1:5" ht="54" x14ac:dyDescent="0.15">
      <c r="A198" s="2" t="s">
        <v>33</v>
      </c>
      <c r="B198" s="2" t="s">
        <v>494</v>
      </c>
      <c r="C198" s="2" t="s">
        <v>67</v>
      </c>
      <c r="D198" s="2" t="s">
        <v>232</v>
      </c>
      <c r="E198" s="3" t="s">
        <v>489</v>
      </c>
    </row>
    <row r="199" spans="1:5" ht="54" x14ac:dyDescent="0.15">
      <c r="A199" s="2" t="s">
        <v>33</v>
      </c>
      <c r="B199" s="2" t="s">
        <v>494</v>
      </c>
      <c r="C199" s="2" t="s">
        <v>370</v>
      </c>
      <c r="D199" s="2" t="s">
        <v>371</v>
      </c>
      <c r="E199" s="3" t="s">
        <v>489</v>
      </c>
    </row>
    <row r="200" spans="1:5" ht="409.5" x14ac:dyDescent="0.15">
      <c r="A200" s="2" t="s">
        <v>33</v>
      </c>
      <c r="B200" s="2" t="s">
        <v>494</v>
      </c>
      <c r="C200" s="2" t="s">
        <v>291</v>
      </c>
      <c r="D200" s="2" t="s">
        <v>428</v>
      </c>
      <c r="E200" s="3" t="s">
        <v>466</v>
      </c>
    </row>
    <row r="201" spans="1:5" ht="54" x14ac:dyDescent="0.15">
      <c r="A201" s="2" t="s">
        <v>33</v>
      </c>
      <c r="B201" s="2" t="s">
        <v>495</v>
      </c>
      <c r="C201" s="2" t="s">
        <v>67</v>
      </c>
      <c r="D201" s="2" t="s">
        <v>232</v>
      </c>
      <c r="E201" s="3" t="s">
        <v>489</v>
      </c>
    </row>
    <row r="202" spans="1:5" ht="54" x14ac:dyDescent="0.15">
      <c r="A202" s="2" t="s">
        <v>33</v>
      </c>
      <c r="B202" s="2" t="s">
        <v>495</v>
      </c>
      <c r="C202" s="2" t="s">
        <v>370</v>
      </c>
      <c r="D202" s="2" t="s">
        <v>371</v>
      </c>
      <c r="E202" s="3" t="s">
        <v>489</v>
      </c>
    </row>
    <row r="203" spans="1:5" ht="409.5" x14ac:dyDescent="0.15">
      <c r="A203" s="2" t="s">
        <v>33</v>
      </c>
      <c r="B203" s="2" t="s">
        <v>495</v>
      </c>
      <c r="C203" s="2" t="s">
        <v>291</v>
      </c>
      <c r="D203" s="2" t="s">
        <v>428</v>
      </c>
      <c r="E203" s="3" t="s">
        <v>466</v>
      </c>
    </row>
    <row r="204" spans="1:5" ht="54" x14ac:dyDescent="0.15">
      <c r="A204" s="2" t="s">
        <v>33</v>
      </c>
      <c r="B204" s="2" t="s">
        <v>496</v>
      </c>
      <c r="C204" s="2" t="s">
        <v>67</v>
      </c>
      <c r="D204" s="2" t="s">
        <v>232</v>
      </c>
      <c r="E204" s="3" t="s">
        <v>489</v>
      </c>
    </row>
    <row r="205" spans="1:5" ht="54" x14ac:dyDescent="0.15">
      <c r="A205" s="2" t="s">
        <v>33</v>
      </c>
      <c r="B205" s="2" t="s">
        <v>496</v>
      </c>
      <c r="C205" s="2" t="s">
        <v>370</v>
      </c>
      <c r="D205" s="2" t="s">
        <v>371</v>
      </c>
      <c r="E205" s="3" t="s">
        <v>489</v>
      </c>
    </row>
    <row r="206" spans="1:5" ht="409.5" x14ac:dyDescent="0.15">
      <c r="A206" s="2" t="s">
        <v>33</v>
      </c>
      <c r="B206" s="2" t="s">
        <v>496</v>
      </c>
      <c r="C206" s="2" t="s">
        <v>291</v>
      </c>
      <c r="D206" s="2" t="s">
        <v>428</v>
      </c>
      <c r="E206" s="3" t="s">
        <v>466</v>
      </c>
    </row>
    <row r="207" spans="1:5" ht="54" x14ac:dyDescent="0.15">
      <c r="A207" s="2" t="s">
        <v>33</v>
      </c>
      <c r="B207" s="2" t="s">
        <v>497</v>
      </c>
      <c r="C207" s="2" t="s">
        <v>67</v>
      </c>
      <c r="D207" s="2" t="s">
        <v>232</v>
      </c>
      <c r="E207" s="3" t="s">
        <v>489</v>
      </c>
    </row>
    <row r="208" spans="1:5" ht="54" x14ac:dyDescent="0.15">
      <c r="A208" s="2" t="s">
        <v>33</v>
      </c>
      <c r="B208" s="2" t="s">
        <v>497</v>
      </c>
      <c r="C208" s="2" t="s">
        <v>370</v>
      </c>
      <c r="D208" s="2" t="s">
        <v>371</v>
      </c>
      <c r="E208" s="3" t="s">
        <v>489</v>
      </c>
    </row>
    <row r="209" spans="1:5" ht="409.5" x14ac:dyDescent="0.15">
      <c r="A209" s="2" t="s">
        <v>33</v>
      </c>
      <c r="B209" s="2" t="s">
        <v>497</v>
      </c>
      <c r="C209" s="2" t="s">
        <v>291</v>
      </c>
      <c r="D209" s="2" t="s">
        <v>428</v>
      </c>
      <c r="E209" s="3" t="s">
        <v>466</v>
      </c>
    </row>
    <row r="210" spans="1:5" ht="54" x14ac:dyDescent="0.15">
      <c r="A210" s="2" t="s">
        <v>33</v>
      </c>
      <c r="B210" s="2" t="s">
        <v>498</v>
      </c>
      <c r="C210" s="2" t="s">
        <v>67</v>
      </c>
      <c r="D210" s="2" t="s">
        <v>232</v>
      </c>
      <c r="E210" s="3" t="s">
        <v>489</v>
      </c>
    </row>
    <row r="211" spans="1:5" ht="54" x14ac:dyDescent="0.15">
      <c r="A211" s="2" t="s">
        <v>33</v>
      </c>
      <c r="B211" s="2" t="s">
        <v>498</v>
      </c>
      <c r="C211" s="2" t="s">
        <v>370</v>
      </c>
      <c r="D211" s="2" t="s">
        <v>371</v>
      </c>
      <c r="E211" s="3" t="s">
        <v>489</v>
      </c>
    </row>
    <row r="212" spans="1:5" ht="409.5" x14ac:dyDescent="0.15">
      <c r="A212" s="2" t="s">
        <v>33</v>
      </c>
      <c r="B212" s="2" t="s">
        <v>498</v>
      </c>
      <c r="C212" s="2" t="s">
        <v>291</v>
      </c>
      <c r="D212" s="2" t="s">
        <v>428</v>
      </c>
      <c r="E212" s="3" t="s">
        <v>466</v>
      </c>
    </row>
    <row r="213" spans="1:5" ht="54" x14ac:dyDescent="0.15">
      <c r="A213" s="2" t="s">
        <v>33</v>
      </c>
      <c r="B213" s="2" t="s">
        <v>499</v>
      </c>
      <c r="C213" s="2" t="s">
        <v>67</v>
      </c>
      <c r="D213" s="2" t="s">
        <v>232</v>
      </c>
      <c r="E213" s="3" t="s">
        <v>489</v>
      </c>
    </row>
    <row r="214" spans="1:5" ht="54" x14ac:dyDescent="0.15">
      <c r="A214" s="2" t="s">
        <v>33</v>
      </c>
      <c r="B214" s="2" t="s">
        <v>499</v>
      </c>
      <c r="C214" s="2" t="s">
        <v>370</v>
      </c>
      <c r="D214" s="2" t="s">
        <v>371</v>
      </c>
      <c r="E214" s="3" t="s">
        <v>489</v>
      </c>
    </row>
    <row r="215" spans="1:5" ht="409.5" x14ac:dyDescent="0.15">
      <c r="A215" s="2" t="s">
        <v>33</v>
      </c>
      <c r="B215" s="2" t="s">
        <v>499</v>
      </c>
      <c r="C215" s="2" t="s">
        <v>291</v>
      </c>
      <c r="D215" s="2" t="s">
        <v>428</v>
      </c>
      <c r="E215" s="3" t="s">
        <v>466</v>
      </c>
    </row>
    <row r="216" spans="1:5" ht="54" x14ac:dyDescent="0.15">
      <c r="A216" s="2" t="s">
        <v>33</v>
      </c>
      <c r="B216" s="2" t="s">
        <v>500</v>
      </c>
      <c r="C216" s="2" t="s">
        <v>67</v>
      </c>
      <c r="D216" s="2" t="s">
        <v>232</v>
      </c>
      <c r="E216" s="3" t="s">
        <v>489</v>
      </c>
    </row>
    <row r="217" spans="1:5" ht="54" x14ac:dyDescent="0.15">
      <c r="A217" s="2" t="s">
        <v>33</v>
      </c>
      <c r="B217" s="2" t="s">
        <v>500</v>
      </c>
      <c r="C217" s="2" t="s">
        <v>370</v>
      </c>
      <c r="D217" s="2" t="s">
        <v>371</v>
      </c>
      <c r="E217" s="3" t="s">
        <v>489</v>
      </c>
    </row>
    <row r="218" spans="1:5" ht="409.5" x14ac:dyDescent="0.15">
      <c r="A218" s="2" t="s">
        <v>33</v>
      </c>
      <c r="B218" s="2" t="s">
        <v>500</v>
      </c>
      <c r="C218" s="2" t="s">
        <v>291</v>
      </c>
      <c r="D218" s="2" t="s">
        <v>428</v>
      </c>
      <c r="E218" s="3" t="s">
        <v>466</v>
      </c>
    </row>
    <row r="219" spans="1:5" ht="54" x14ac:dyDescent="0.15">
      <c r="A219" s="2" t="s">
        <v>33</v>
      </c>
      <c r="B219" s="2" t="s">
        <v>501</v>
      </c>
      <c r="C219" s="2" t="s">
        <v>67</v>
      </c>
      <c r="D219" s="2" t="s">
        <v>232</v>
      </c>
      <c r="E219" s="3" t="s">
        <v>489</v>
      </c>
    </row>
    <row r="220" spans="1:5" ht="54" x14ac:dyDescent="0.15">
      <c r="A220" s="2" t="s">
        <v>33</v>
      </c>
      <c r="B220" s="2" t="s">
        <v>501</v>
      </c>
      <c r="C220" s="2" t="s">
        <v>370</v>
      </c>
      <c r="D220" s="2" t="s">
        <v>371</v>
      </c>
      <c r="E220" s="3" t="s">
        <v>489</v>
      </c>
    </row>
    <row r="221" spans="1:5" ht="409.5" x14ac:dyDescent="0.15">
      <c r="A221" s="2" t="s">
        <v>33</v>
      </c>
      <c r="B221" s="2" t="s">
        <v>501</v>
      </c>
      <c r="C221" s="2" t="s">
        <v>291</v>
      </c>
      <c r="D221" s="2" t="s">
        <v>428</v>
      </c>
      <c r="E221" s="3" t="s">
        <v>466</v>
      </c>
    </row>
    <row r="222" spans="1:5" ht="54" x14ac:dyDescent="0.15">
      <c r="A222" s="2" t="s">
        <v>33</v>
      </c>
      <c r="B222" s="2" t="s">
        <v>502</v>
      </c>
      <c r="C222" s="2" t="s">
        <v>67</v>
      </c>
      <c r="D222" s="2" t="s">
        <v>232</v>
      </c>
      <c r="E222" s="3" t="s">
        <v>489</v>
      </c>
    </row>
    <row r="223" spans="1:5" ht="54" x14ac:dyDescent="0.15">
      <c r="A223" s="2" t="s">
        <v>33</v>
      </c>
      <c r="B223" s="2" t="s">
        <v>502</v>
      </c>
      <c r="C223" s="2" t="s">
        <v>370</v>
      </c>
      <c r="D223" s="2" t="s">
        <v>371</v>
      </c>
      <c r="E223" s="3" t="s">
        <v>489</v>
      </c>
    </row>
    <row r="224" spans="1:5" ht="409.5" x14ac:dyDescent="0.15">
      <c r="A224" s="2" t="s">
        <v>33</v>
      </c>
      <c r="B224" s="2" t="s">
        <v>502</v>
      </c>
      <c r="C224" s="2" t="s">
        <v>291</v>
      </c>
      <c r="D224" s="2" t="s">
        <v>428</v>
      </c>
      <c r="E224" s="3" t="s">
        <v>466</v>
      </c>
    </row>
    <row r="225" spans="1:5" ht="54" x14ac:dyDescent="0.15">
      <c r="A225" s="2" t="s">
        <v>33</v>
      </c>
      <c r="B225" s="2" t="s">
        <v>503</v>
      </c>
      <c r="C225" s="2" t="s">
        <v>67</v>
      </c>
      <c r="D225" s="2" t="s">
        <v>232</v>
      </c>
      <c r="E225" s="3" t="s">
        <v>489</v>
      </c>
    </row>
    <row r="226" spans="1:5" ht="54" x14ac:dyDescent="0.15">
      <c r="A226" s="2" t="s">
        <v>33</v>
      </c>
      <c r="B226" s="2" t="s">
        <v>503</v>
      </c>
      <c r="C226" s="2" t="s">
        <v>370</v>
      </c>
      <c r="D226" s="2" t="s">
        <v>371</v>
      </c>
      <c r="E226" s="3" t="s">
        <v>489</v>
      </c>
    </row>
    <row r="227" spans="1:5" ht="409.5" x14ac:dyDescent="0.15">
      <c r="A227" s="2" t="s">
        <v>33</v>
      </c>
      <c r="B227" s="2" t="s">
        <v>503</v>
      </c>
      <c r="C227" s="2" t="s">
        <v>291</v>
      </c>
      <c r="D227" s="2" t="s">
        <v>428</v>
      </c>
      <c r="E227" s="3" t="s">
        <v>466</v>
      </c>
    </row>
    <row r="228" spans="1:5" ht="54" x14ac:dyDescent="0.15">
      <c r="A228" s="2" t="s">
        <v>33</v>
      </c>
      <c r="B228" s="2" t="s">
        <v>504</v>
      </c>
      <c r="C228" s="2" t="s">
        <v>67</v>
      </c>
      <c r="D228" s="2" t="s">
        <v>232</v>
      </c>
      <c r="E228" s="3" t="s">
        <v>489</v>
      </c>
    </row>
    <row r="229" spans="1:5" ht="54" x14ac:dyDescent="0.15">
      <c r="A229" s="2" t="s">
        <v>33</v>
      </c>
      <c r="B229" s="2" t="s">
        <v>504</v>
      </c>
      <c r="C229" s="2" t="s">
        <v>370</v>
      </c>
      <c r="D229" s="2" t="s">
        <v>371</v>
      </c>
      <c r="E229" s="3" t="s">
        <v>489</v>
      </c>
    </row>
    <row r="230" spans="1:5" ht="409.5" x14ac:dyDescent="0.15">
      <c r="A230" s="2" t="s">
        <v>33</v>
      </c>
      <c r="B230" s="2" t="s">
        <v>504</v>
      </c>
      <c r="C230" s="2" t="s">
        <v>291</v>
      </c>
      <c r="D230" s="2" t="s">
        <v>428</v>
      </c>
      <c r="E230" s="3" t="s">
        <v>466</v>
      </c>
    </row>
    <row r="231" spans="1:5" ht="54" x14ac:dyDescent="0.15">
      <c r="A231" s="2" t="s">
        <v>33</v>
      </c>
      <c r="B231" s="2" t="s">
        <v>505</v>
      </c>
      <c r="C231" s="2" t="s">
        <v>67</v>
      </c>
      <c r="D231" s="2" t="s">
        <v>232</v>
      </c>
      <c r="E231" s="3" t="s">
        <v>489</v>
      </c>
    </row>
    <row r="232" spans="1:5" ht="54" x14ac:dyDescent="0.15">
      <c r="A232" s="2" t="s">
        <v>33</v>
      </c>
      <c r="B232" s="2" t="s">
        <v>505</v>
      </c>
      <c r="C232" s="2" t="s">
        <v>370</v>
      </c>
      <c r="D232" s="2" t="s">
        <v>371</v>
      </c>
      <c r="E232" s="3" t="s">
        <v>489</v>
      </c>
    </row>
    <row r="233" spans="1:5" ht="409.5" x14ac:dyDescent="0.15">
      <c r="A233" s="2" t="s">
        <v>33</v>
      </c>
      <c r="B233" s="2" t="s">
        <v>505</v>
      </c>
      <c r="C233" s="2" t="s">
        <v>291</v>
      </c>
      <c r="D233" s="2" t="s">
        <v>428</v>
      </c>
      <c r="E233" s="3" t="s">
        <v>466</v>
      </c>
    </row>
    <row r="234" spans="1:5" ht="54" x14ac:dyDescent="0.15">
      <c r="A234" s="2" t="s">
        <v>33</v>
      </c>
      <c r="B234" s="2" t="s">
        <v>506</v>
      </c>
      <c r="C234" s="2" t="s">
        <v>67</v>
      </c>
      <c r="D234" s="2" t="s">
        <v>232</v>
      </c>
      <c r="E234" s="3" t="s">
        <v>489</v>
      </c>
    </row>
    <row r="235" spans="1:5" ht="54" x14ac:dyDescent="0.15">
      <c r="A235" s="2" t="s">
        <v>33</v>
      </c>
      <c r="B235" s="2" t="s">
        <v>506</v>
      </c>
      <c r="C235" s="2" t="s">
        <v>370</v>
      </c>
      <c r="D235" s="2" t="s">
        <v>371</v>
      </c>
      <c r="E235" s="3" t="s">
        <v>489</v>
      </c>
    </row>
    <row r="236" spans="1:5" ht="409.5" x14ac:dyDescent="0.15">
      <c r="A236" s="2" t="s">
        <v>33</v>
      </c>
      <c r="B236" s="2" t="s">
        <v>506</v>
      </c>
      <c r="C236" s="2" t="s">
        <v>291</v>
      </c>
      <c r="D236" s="2" t="s">
        <v>428</v>
      </c>
      <c r="E236" s="3" t="s">
        <v>466</v>
      </c>
    </row>
    <row r="237" spans="1:5" ht="54" x14ac:dyDescent="0.15">
      <c r="A237" s="2" t="s">
        <v>33</v>
      </c>
      <c r="B237" s="2" t="s">
        <v>507</v>
      </c>
      <c r="C237" s="2" t="s">
        <v>67</v>
      </c>
      <c r="D237" s="2" t="s">
        <v>232</v>
      </c>
      <c r="E237" s="3" t="s">
        <v>489</v>
      </c>
    </row>
    <row r="238" spans="1:5" ht="54" x14ac:dyDescent="0.15">
      <c r="A238" s="2" t="s">
        <v>33</v>
      </c>
      <c r="B238" s="2" t="s">
        <v>507</v>
      </c>
      <c r="C238" s="2" t="s">
        <v>370</v>
      </c>
      <c r="D238" s="2" t="s">
        <v>371</v>
      </c>
      <c r="E238" s="3" t="s">
        <v>489</v>
      </c>
    </row>
    <row r="239" spans="1:5" ht="409.5" x14ac:dyDescent="0.15">
      <c r="A239" s="2" t="s">
        <v>33</v>
      </c>
      <c r="B239" s="2" t="s">
        <v>507</v>
      </c>
      <c r="C239" s="2" t="s">
        <v>291</v>
      </c>
      <c r="D239" s="2" t="s">
        <v>428</v>
      </c>
      <c r="E239" s="3" t="s">
        <v>466</v>
      </c>
    </row>
    <row r="240" spans="1:5" ht="54" x14ac:dyDescent="0.15">
      <c r="A240" s="2" t="s">
        <v>33</v>
      </c>
      <c r="B240" s="2" t="s">
        <v>508</v>
      </c>
      <c r="C240" s="2" t="s">
        <v>67</v>
      </c>
      <c r="D240" s="2" t="s">
        <v>232</v>
      </c>
      <c r="E240" s="3" t="s">
        <v>489</v>
      </c>
    </row>
    <row r="241" spans="1:5" ht="54" x14ac:dyDescent="0.15">
      <c r="A241" s="2" t="s">
        <v>33</v>
      </c>
      <c r="B241" s="2" t="s">
        <v>508</v>
      </c>
      <c r="C241" s="2" t="s">
        <v>370</v>
      </c>
      <c r="D241" s="2" t="s">
        <v>371</v>
      </c>
      <c r="E241" s="3" t="s">
        <v>489</v>
      </c>
    </row>
    <row r="242" spans="1:5" ht="409.5" x14ac:dyDescent="0.15">
      <c r="A242" s="2" t="s">
        <v>33</v>
      </c>
      <c r="B242" s="2" t="s">
        <v>508</v>
      </c>
      <c r="C242" s="2" t="s">
        <v>291</v>
      </c>
      <c r="D242" s="2" t="s">
        <v>428</v>
      </c>
      <c r="E242" s="3" t="s">
        <v>466</v>
      </c>
    </row>
    <row r="243" spans="1:5" ht="54" x14ac:dyDescent="0.15">
      <c r="A243" s="2" t="s">
        <v>33</v>
      </c>
      <c r="B243" s="2" t="s">
        <v>509</v>
      </c>
      <c r="C243" s="2" t="s">
        <v>67</v>
      </c>
      <c r="D243" s="2" t="s">
        <v>232</v>
      </c>
      <c r="E243" s="3" t="s">
        <v>489</v>
      </c>
    </row>
    <row r="244" spans="1:5" ht="54" x14ac:dyDescent="0.15">
      <c r="A244" s="2" t="s">
        <v>33</v>
      </c>
      <c r="B244" s="2" t="s">
        <v>509</v>
      </c>
      <c r="C244" s="2" t="s">
        <v>370</v>
      </c>
      <c r="D244" s="2" t="s">
        <v>371</v>
      </c>
      <c r="E244" s="3" t="s">
        <v>489</v>
      </c>
    </row>
    <row r="245" spans="1:5" ht="409.5" x14ac:dyDescent="0.15">
      <c r="A245" s="2" t="s">
        <v>33</v>
      </c>
      <c r="B245" s="2" t="s">
        <v>509</v>
      </c>
      <c r="C245" s="2" t="s">
        <v>291</v>
      </c>
      <c r="D245" s="2" t="s">
        <v>428</v>
      </c>
      <c r="E245" s="3" t="s">
        <v>466</v>
      </c>
    </row>
    <row r="246" spans="1:5" ht="54" x14ac:dyDescent="0.15">
      <c r="A246" s="2" t="s">
        <v>33</v>
      </c>
      <c r="B246" s="2" t="s">
        <v>510</v>
      </c>
      <c r="C246" s="2" t="s">
        <v>67</v>
      </c>
      <c r="D246" s="2" t="s">
        <v>232</v>
      </c>
      <c r="E246" s="3" t="s">
        <v>489</v>
      </c>
    </row>
    <row r="247" spans="1:5" ht="54" x14ac:dyDescent="0.15">
      <c r="A247" s="2" t="s">
        <v>33</v>
      </c>
      <c r="B247" s="2" t="s">
        <v>510</v>
      </c>
      <c r="C247" s="2" t="s">
        <v>370</v>
      </c>
      <c r="D247" s="2" t="s">
        <v>371</v>
      </c>
      <c r="E247" s="3" t="s">
        <v>489</v>
      </c>
    </row>
    <row r="248" spans="1:5" ht="409.5" x14ac:dyDescent="0.15">
      <c r="A248" s="2" t="s">
        <v>33</v>
      </c>
      <c r="B248" s="2" t="s">
        <v>510</v>
      </c>
      <c r="C248" s="2" t="s">
        <v>291</v>
      </c>
      <c r="D248" s="2" t="s">
        <v>428</v>
      </c>
      <c r="E248" s="3" t="s">
        <v>466</v>
      </c>
    </row>
    <row r="249" spans="1:5" ht="54" x14ac:dyDescent="0.15">
      <c r="A249" s="2" t="s">
        <v>33</v>
      </c>
      <c r="B249" s="2" t="s">
        <v>511</v>
      </c>
      <c r="C249" s="2" t="s">
        <v>67</v>
      </c>
      <c r="D249" s="2" t="s">
        <v>232</v>
      </c>
      <c r="E249" s="3" t="s">
        <v>489</v>
      </c>
    </row>
    <row r="250" spans="1:5" ht="54" x14ac:dyDescent="0.15">
      <c r="A250" s="2" t="s">
        <v>33</v>
      </c>
      <c r="B250" s="2" t="s">
        <v>511</v>
      </c>
      <c r="C250" s="2" t="s">
        <v>370</v>
      </c>
      <c r="D250" s="2" t="s">
        <v>371</v>
      </c>
      <c r="E250" s="3" t="s">
        <v>489</v>
      </c>
    </row>
    <row r="251" spans="1:5" ht="409.5" x14ac:dyDescent="0.15">
      <c r="A251" s="2" t="s">
        <v>33</v>
      </c>
      <c r="B251" s="2" t="s">
        <v>511</v>
      </c>
      <c r="C251" s="2" t="s">
        <v>291</v>
      </c>
      <c r="D251" s="2" t="s">
        <v>428</v>
      </c>
      <c r="E251" s="3" t="s">
        <v>466</v>
      </c>
    </row>
    <row r="252" spans="1:5" ht="54" x14ac:dyDescent="0.15">
      <c r="A252" s="2" t="s">
        <v>33</v>
      </c>
      <c r="B252" s="2" t="s">
        <v>512</v>
      </c>
      <c r="C252" s="2" t="s">
        <v>67</v>
      </c>
      <c r="D252" s="2" t="s">
        <v>232</v>
      </c>
      <c r="E252" s="3" t="s">
        <v>489</v>
      </c>
    </row>
    <row r="253" spans="1:5" ht="54" x14ac:dyDescent="0.15">
      <c r="A253" s="2" t="s">
        <v>33</v>
      </c>
      <c r="B253" s="2" t="s">
        <v>512</v>
      </c>
      <c r="C253" s="2" t="s">
        <v>370</v>
      </c>
      <c r="D253" s="2" t="s">
        <v>371</v>
      </c>
      <c r="E253" s="3" t="s">
        <v>489</v>
      </c>
    </row>
    <row r="254" spans="1:5" ht="409.5" x14ac:dyDescent="0.15">
      <c r="A254" s="2" t="s">
        <v>33</v>
      </c>
      <c r="B254" s="2" t="s">
        <v>512</v>
      </c>
      <c r="C254" s="2" t="s">
        <v>291</v>
      </c>
      <c r="D254" s="2" t="s">
        <v>428</v>
      </c>
      <c r="E254" s="3" t="s">
        <v>466</v>
      </c>
    </row>
    <row r="255" spans="1:5" ht="54" x14ac:dyDescent="0.15">
      <c r="A255" s="2" t="s">
        <v>33</v>
      </c>
      <c r="B255" s="2" t="s">
        <v>513</v>
      </c>
      <c r="C255" s="2" t="s">
        <v>67</v>
      </c>
      <c r="D255" s="2" t="s">
        <v>232</v>
      </c>
      <c r="E255" s="3" t="s">
        <v>489</v>
      </c>
    </row>
    <row r="256" spans="1:5" ht="54" x14ac:dyDescent="0.15">
      <c r="A256" s="2" t="s">
        <v>33</v>
      </c>
      <c r="B256" s="2" t="s">
        <v>513</v>
      </c>
      <c r="C256" s="2" t="s">
        <v>370</v>
      </c>
      <c r="D256" s="2" t="s">
        <v>371</v>
      </c>
      <c r="E256" s="3" t="s">
        <v>489</v>
      </c>
    </row>
    <row r="257" spans="1:5" ht="409.5" x14ac:dyDescent="0.15">
      <c r="A257" s="2" t="s">
        <v>33</v>
      </c>
      <c r="B257" s="2" t="s">
        <v>513</v>
      </c>
      <c r="C257" s="2" t="s">
        <v>291</v>
      </c>
      <c r="D257" s="2" t="s">
        <v>428</v>
      </c>
      <c r="E257" s="3" t="s">
        <v>466</v>
      </c>
    </row>
    <row r="258" spans="1:5" ht="54" x14ac:dyDescent="0.15">
      <c r="A258" s="2" t="s">
        <v>33</v>
      </c>
      <c r="B258" s="2" t="s">
        <v>514</v>
      </c>
      <c r="C258" s="2" t="s">
        <v>67</v>
      </c>
      <c r="D258" s="2" t="s">
        <v>232</v>
      </c>
      <c r="E258" s="3" t="s">
        <v>489</v>
      </c>
    </row>
    <row r="259" spans="1:5" ht="54" x14ac:dyDescent="0.15">
      <c r="A259" s="2" t="s">
        <v>33</v>
      </c>
      <c r="B259" s="2" t="s">
        <v>514</v>
      </c>
      <c r="C259" s="2" t="s">
        <v>370</v>
      </c>
      <c r="D259" s="2" t="s">
        <v>371</v>
      </c>
      <c r="E259" s="3" t="s">
        <v>489</v>
      </c>
    </row>
    <row r="260" spans="1:5" ht="409.5" x14ac:dyDescent="0.15">
      <c r="A260" s="2" t="s">
        <v>33</v>
      </c>
      <c r="B260" s="2" t="s">
        <v>514</v>
      </c>
      <c r="C260" s="2" t="s">
        <v>291</v>
      </c>
      <c r="D260" s="2" t="s">
        <v>428</v>
      </c>
      <c r="E260" s="3" t="s">
        <v>466</v>
      </c>
    </row>
    <row r="261" spans="1:5" ht="54" x14ac:dyDescent="0.15">
      <c r="A261" s="2" t="s">
        <v>33</v>
      </c>
      <c r="B261" s="2" t="s">
        <v>515</v>
      </c>
      <c r="C261" s="2" t="s">
        <v>67</v>
      </c>
      <c r="D261" s="2" t="s">
        <v>232</v>
      </c>
      <c r="E261" s="3" t="s">
        <v>489</v>
      </c>
    </row>
    <row r="262" spans="1:5" ht="54" x14ac:dyDescent="0.15">
      <c r="A262" s="2" t="s">
        <v>33</v>
      </c>
      <c r="B262" s="2" t="s">
        <v>515</v>
      </c>
      <c r="C262" s="2" t="s">
        <v>370</v>
      </c>
      <c r="D262" s="2" t="s">
        <v>371</v>
      </c>
      <c r="E262" s="3" t="s">
        <v>489</v>
      </c>
    </row>
    <row r="263" spans="1:5" ht="409.5" x14ac:dyDescent="0.15">
      <c r="A263" s="2" t="s">
        <v>33</v>
      </c>
      <c r="B263" s="2" t="s">
        <v>515</v>
      </c>
      <c r="C263" s="2" t="s">
        <v>291</v>
      </c>
      <c r="D263" s="2" t="s">
        <v>428</v>
      </c>
      <c r="E263" s="3" t="s">
        <v>466</v>
      </c>
    </row>
    <row r="264" spans="1:5" ht="54" x14ac:dyDescent="0.15">
      <c r="A264" s="2" t="s">
        <v>33</v>
      </c>
      <c r="B264" s="2" t="s">
        <v>516</v>
      </c>
      <c r="C264" s="2" t="s">
        <v>67</v>
      </c>
      <c r="D264" s="2" t="s">
        <v>232</v>
      </c>
      <c r="E264" s="3" t="s">
        <v>489</v>
      </c>
    </row>
    <row r="265" spans="1:5" ht="54" x14ac:dyDescent="0.15">
      <c r="A265" s="2" t="s">
        <v>33</v>
      </c>
      <c r="B265" s="2" t="s">
        <v>516</v>
      </c>
      <c r="C265" s="2" t="s">
        <v>370</v>
      </c>
      <c r="D265" s="2" t="s">
        <v>371</v>
      </c>
      <c r="E265" s="3" t="s">
        <v>489</v>
      </c>
    </row>
    <row r="266" spans="1:5" ht="409.5" x14ac:dyDescent="0.15">
      <c r="A266" s="2" t="s">
        <v>33</v>
      </c>
      <c r="B266" s="2" t="s">
        <v>516</v>
      </c>
      <c r="C266" s="2" t="s">
        <v>291</v>
      </c>
      <c r="D266" s="2" t="s">
        <v>428</v>
      </c>
      <c r="E266" s="3" t="s">
        <v>466</v>
      </c>
    </row>
    <row r="267" spans="1:5" ht="54" x14ac:dyDescent="0.15">
      <c r="A267" s="2" t="s">
        <v>33</v>
      </c>
      <c r="B267" s="2" t="s">
        <v>517</v>
      </c>
      <c r="C267" s="2" t="s">
        <v>67</v>
      </c>
      <c r="D267" s="2" t="s">
        <v>232</v>
      </c>
      <c r="E267" s="3" t="s">
        <v>489</v>
      </c>
    </row>
    <row r="268" spans="1:5" ht="54" x14ac:dyDescent="0.15">
      <c r="A268" s="2" t="s">
        <v>33</v>
      </c>
      <c r="B268" s="2" t="s">
        <v>517</v>
      </c>
      <c r="C268" s="2" t="s">
        <v>370</v>
      </c>
      <c r="D268" s="2" t="s">
        <v>371</v>
      </c>
      <c r="E268" s="3" t="s">
        <v>489</v>
      </c>
    </row>
    <row r="269" spans="1:5" ht="409.5" x14ac:dyDescent="0.15">
      <c r="A269" s="2" t="s">
        <v>33</v>
      </c>
      <c r="B269" s="2" t="s">
        <v>517</v>
      </c>
      <c r="C269" s="2" t="s">
        <v>291</v>
      </c>
      <c r="D269" s="2" t="s">
        <v>428</v>
      </c>
      <c r="E269" s="3" t="s">
        <v>466</v>
      </c>
    </row>
    <row r="270" spans="1:5" ht="54" x14ac:dyDescent="0.15">
      <c r="A270" s="2" t="s">
        <v>33</v>
      </c>
      <c r="B270" s="2" t="s">
        <v>518</v>
      </c>
      <c r="C270" s="2" t="s">
        <v>67</v>
      </c>
      <c r="D270" s="2" t="s">
        <v>232</v>
      </c>
      <c r="E270" s="3" t="s">
        <v>489</v>
      </c>
    </row>
    <row r="271" spans="1:5" ht="54" x14ac:dyDescent="0.15">
      <c r="A271" s="2" t="s">
        <v>33</v>
      </c>
      <c r="B271" s="2" t="s">
        <v>518</v>
      </c>
      <c r="C271" s="2" t="s">
        <v>370</v>
      </c>
      <c r="D271" s="2" t="s">
        <v>371</v>
      </c>
      <c r="E271" s="3" t="s">
        <v>489</v>
      </c>
    </row>
    <row r="272" spans="1:5" ht="409.5" x14ac:dyDescent="0.15">
      <c r="A272" s="2" t="s">
        <v>33</v>
      </c>
      <c r="B272" s="2" t="s">
        <v>518</v>
      </c>
      <c r="C272" s="2" t="s">
        <v>291</v>
      </c>
      <c r="D272" s="2" t="s">
        <v>428</v>
      </c>
      <c r="E272" s="3" t="s">
        <v>466</v>
      </c>
    </row>
    <row r="273" spans="1:5" ht="189" x14ac:dyDescent="0.15">
      <c r="A273" s="2" t="s">
        <v>33</v>
      </c>
      <c r="B273" s="2" t="s">
        <v>528</v>
      </c>
      <c r="C273" s="2" t="s">
        <v>519</v>
      </c>
      <c r="D273" s="2" t="s">
        <v>526</v>
      </c>
      <c r="E273" s="3" t="s">
        <v>529</v>
      </c>
    </row>
    <row r="274" spans="1:5" ht="310.5" x14ac:dyDescent="0.15">
      <c r="A274" s="2" t="s">
        <v>33</v>
      </c>
      <c r="B274" s="2" t="s">
        <v>532</v>
      </c>
      <c r="C274" s="2" t="s">
        <v>530</v>
      </c>
      <c r="D274" s="2" t="s">
        <v>531</v>
      </c>
      <c r="E274" s="3" t="s">
        <v>533</v>
      </c>
    </row>
    <row r="275" spans="1:5" ht="40.5" x14ac:dyDescent="0.15">
      <c r="A275" s="2" t="s">
        <v>33</v>
      </c>
      <c r="B275" s="2" t="s">
        <v>535</v>
      </c>
      <c r="C275" s="2" t="s">
        <v>534</v>
      </c>
      <c r="D275" s="2" t="s">
        <v>30</v>
      </c>
      <c r="E275" s="3" t="s">
        <v>283</v>
      </c>
    </row>
    <row r="276" spans="1:5" x14ac:dyDescent="0.15">
      <c r="A276" s="2" t="s">
        <v>33</v>
      </c>
      <c r="B276" s="2" t="s">
        <v>536</v>
      </c>
      <c r="C276" s="2" t="s">
        <v>279</v>
      </c>
      <c r="D276" s="2" t="s">
        <v>30</v>
      </c>
      <c r="E276" s="2" t="s">
        <v>381</v>
      </c>
    </row>
    <row r="277" spans="1:5" x14ac:dyDescent="0.15">
      <c r="A277" s="2" t="s">
        <v>33</v>
      </c>
      <c r="B277" s="2" t="s">
        <v>537</v>
      </c>
      <c r="C277" s="2" t="s">
        <v>279</v>
      </c>
      <c r="D277" s="2" t="s">
        <v>30</v>
      </c>
      <c r="E277" s="2" t="s">
        <v>381</v>
      </c>
    </row>
    <row r="278" spans="1:5" x14ac:dyDescent="0.15">
      <c r="A278" s="2" t="s">
        <v>538</v>
      </c>
      <c r="B278" s="2" t="s">
        <v>539</v>
      </c>
      <c r="C278" s="2" t="s">
        <v>51</v>
      </c>
      <c r="D278" s="2" t="s">
        <v>159</v>
      </c>
      <c r="E278" s="2" t="s">
        <v>300</v>
      </c>
    </row>
    <row r="279" spans="1:5" x14ac:dyDescent="0.15">
      <c r="A279" s="2" t="s">
        <v>538</v>
      </c>
      <c r="B279" s="2" t="s">
        <v>539</v>
      </c>
      <c r="C279" s="2" t="s">
        <v>530</v>
      </c>
      <c r="D279" s="2" t="s">
        <v>531</v>
      </c>
      <c r="E279" s="2" t="s">
        <v>300</v>
      </c>
    </row>
    <row r="280" spans="1:5" x14ac:dyDescent="0.15">
      <c r="A280" s="2" t="s">
        <v>538</v>
      </c>
      <c r="B280" s="2" t="s">
        <v>539</v>
      </c>
      <c r="C280" s="2" t="s">
        <v>534</v>
      </c>
      <c r="D280" s="2" t="s">
        <v>30</v>
      </c>
      <c r="E280" s="2" t="s">
        <v>300</v>
      </c>
    </row>
    <row r="281" spans="1:5" ht="216" x14ac:dyDescent="0.15">
      <c r="A281" s="2" t="s">
        <v>538</v>
      </c>
      <c r="B281" s="2" t="s">
        <v>544</v>
      </c>
      <c r="C281" s="2" t="s">
        <v>49</v>
      </c>
      <c r="D281" s="2" t="s">
        <v>541</v>
      </c>
      <c r="E281" s="3" t="s">
        <v>545</v>
      </c>
    </row>
    <row r="282" spans="1:5" ht="202.5" x14ac:dyDescent="0.15">
      <c r="A282" s="2" t="s">
        <v>538</v>
      </c>
      <c r="B282" s="2" t="s">
        <v>544</v>
      </c>
      <c r="C282" s="2" t="s">
        <v>50</v>
      </c>
      <c r="D282" s="2" t="s">
        <v>543</v>
      </c>
      <c r="E282" s="3" t="s">
        <v>546</v>
      </c>
    </row>
    <row r="283" spans="1:5" x14ac:dyDescent="0.15">
      <c r="A283" s="2" t="s">
        <v>538</v>
      </c>
      <c r="B283" s="2" t="s">
        <v>544</v>
      </c>
      <c r="C283" s="2" t="s">
        <v>49</v>
      </c>
      <c r="D283" s="2" t="s">
        <v>154</v>
      </c>
      <c r="E283" s="2" t="s">
        <v>300</v>
      </c>
    </row>
    <row r="284" spans="1:5" x14ac:dyDescent="0.15">
      <c r="A284" s="2" t="s">
        <v>538</v>
      </c>
      <c r="B284" s="2" t="s">
        <v>544</v>
      </c>
      <c r="C284" s="2" t="s">
        <v>50</v>
      </c>
      <c r="D284" s="2" t="s">
        <v>329</v>
      </c>
      <c r="E284" s="2" t="s">
        <v>300</v>
      </c>
    </row>
    <row r="285" spans="1:5" ht="121.5" x14ac:dyDescent="0.15">
      <c r="A285" s="2" t="s">
        <v>549</v>
      </c>
      <c r="B285" s="2" t="s">
        <v>550</v>
      </c>
      <c r="C285" s="2" t="s">
        <v>284</v>
      </c>
      <c r="D285" s="2" t="s">
        <v>31</v>
      </c>
      <c r="E285" s="3" t="s">
        <v>551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8"/>
  <sheetViews>
    <sheetView tabSelected="1" view="pageBreakPreview" topLeftCell="B5" zoomScaleNormal="100" zoomScaleSheetLayoutView="100" workbookViewId="0">
      <selection activeCell="U23" sqref="U23"/>
    </sheetView>
  </sheetViews>
  <sheetFormatPr defaultRowHeight="13.5" x14ac:dyDescent="0.15"/>
  <cols>
    <col min="1" max="1" width="12.625" style="6" customWidth="1"/>
    <col min="2" max="2" width="3" style="6" customWidth="1"/>
    <col min="3" max="3" width="15" style="6" customWidth="1"/>
    <col min="4" max="5" width="9" style="6"/>
    <col min="6" max="6" width="12.625" style="6" customWidth="1"/>
    <col min="7" max="7" width="9" style="6"/>
    <col min="8" max="9" width="4.5" style="6" customWidth="1"/>
    <col min="10" max="10" width="9" style="6"/>
    <col min="11" max="13" width="9" style="6" hidden="1" customWidth="1"/>
    <col min="14" max="16384" width="9" style="6"/>
  </cols>
  <sheetData>
    <row r="1" spans="1:13" x14ac:dyDescent="0.15">
      <c r="A1" s="92" t="s">
        <v>1</v>
      </c>
      <c r="B1" s="92"/>
      <c r="C1" s="92"/>
      <c r="D1" s="92"/>
      <c r="E1" s="92"/>
      <c r="F1" s="4"/>
      <c r="G1" s="4"/>
      <c r="H1" s="4"/>
      <c r="I1" s="4"/>
      <c r="J1" s="5" t="str">
        <f>K2&amp;" / "&amp;L2</f>
        <v>##印刷情報.共通情報.単位ページ番号 / ##印刷情報.共通情報.単位ページ総数</v>
      </c>
    </row>
    <row r="2" spans="1:13" ht="14.25" thickBot="1" x14ac:dyDescent="0.2">
      <c r="A2" s="92"/>
      <c r="B2" s="92"/>
      <c r="C2" s="92"/>
      <c r="D2" s="92"/>
      <c r="E2" s="92"/>
      <c r="F2" s="4"/>
      <c r="G2" s="4"/>
      <c r="H2" s="4"/>
      <c r="I2" s="4"/>
      <c r="J2" s="7"/>
      <c r="K2" s="8" t="s">
        <v>444</v>
      </c>
      <c r="L2" s="8" t="s">
        <v>445</v>
      </c>
      <c r="M2" s="9"/>
    </row>
    <row r="3" spans="1:13" ht="14.25" customHeight="1" x14ac:dyDescent="0.15">
      <c r="A3" s="19" t="s">
        <v>2</v>
      </c>
      <c r="B3" s="93" t="s">
        <v>37</v>
      </c>
      <c r="C3" s="93"/>
      <c r="D3" s="93"/>
      <c r="E3" s="93"/>
      <c r="F3" s="93"/>
      <c r="G3" s="93"/>
      <c r="H3" s="93"/>
      <c r="I3" s="93"/>
      <c r="J3" s="94"/>
      <c r="K3" s="9"/>
      <c r="L3" s="9"/>
      <c r="M3" s="9"/>
    </row>
    <row r="4" spans="1:13" ht="14.25" customHeight="1" x14ac:dyDescent="0.15">
      <c r="A4" s="21" t="s">
        <v>3</v>
      </c>
      <c r="B4" s="35" t="s">
        <v>38</v>
      </c>
      <c r="C4" s="35"/>
      <c r="D4" s="35"/>
      <c r="E4" s="35"/>
      <c r="F4" s="35"/>
      <c r="G4" s="35"/>
      <c r="H4" s="35"/>
      <c r="I4" s="35"/>
      <c r="J4" s="95"/>
      <c r="K4" s="9"/>
      <c r="L4" s="9"/>
      <c r="M4" s="9"/>
    </row>
    <row r="5" spans="1:13" ht="14.25" customHeight="1" x14ac:dyDescent="0.15">
      <c r="A5" s="96" t="s">
        <v>4</v>
      </c>
      <c r="B5" s="98" t="s">
        <v>39</v>
      </c>
      <c r="C5" s="98"/>
      <c r="D5" s="99"/>
      <c r="E5" s="102" t="s">
        <v>40</v>
      </c>
      <c r="F5" s="22" t="s">
        <v>5</v>
      </c>
      <c r="G5" s="110" t="s">
        <v>318</v>
      </c>
      <c r="H5" s="111"/>
      <c r="I5" s="111"/>
      <c r="J5" s="28" t="str">
        <f>"（"&amp;L5&amp;"歳"&amp;"）"</f>
        <v>（##患者情報.本人情報.年齢歳）</v>
      </c>
      <c r="K5" s="10" t="s">
        <v>318</v>
      </c>
      <c r="L5" s="11" t="s">
        <v>43</v>
      </c>
      <c r="M5" s="9"/>
    </row>
    <row r="6" spans="1:13" ht="14.25" customHeight="1" thickBot="1" x14ac:dyDescent="0.2">
      <c r="A6" s="97"/>
      <c r="B6" s="100"/>
      <c r="C6" s="100"/>
      <c r="D6" s="101"/>
      <c r="E6" s="103"/>
      <c r="F6" s="29" t="s">
        <v>6</v>
      </c>
      <c r="G6" s="104" t="s">
        <v>44</v>
      </c>
      <c r="H6" s="104"/>
      <c r="I6" s="104"/>
      <c r="J6" s="105"/>
      <c r="K6" s="9"/>
      <c r="L6" s="9"/>
      <c r="M6" s="9"/>
    </row>
    <row r="7" spans="1:13" ht="17.100000000000001" customHeight="1" thickBot="1" x14ac:dyDescent="0.2">
      <c r="A7" s="106" t="s">
        <v>7</v>
      </c>
      <c r="B7" s="106"/>
      <c r="C7" s="106"/>
      <c r="D7" s="4"/>
      <c r="E7" s="4"/>
      <c r="F7" s="4"/>
      <c r="G7" s="4"/>
      <c r="H7" s="4"/>
      <c r="I7" s="4"/>
      <c r="J7" s="4"/>
      <c r="K7" s="9"/>
      <c r="L7" s="8"/>
      <c r="M7" s="9"/>
    </row>
    <row r="8" spans="1:13" ht="14.25" customHeight="1" x14ac:dyDescent="0.15">
      <c r="A8" s="107" t="s">
        <v>8</v>
      </c>
      <c r="B8" s="108" t="str">
        <f>"〒"&amp;" "&amp;K8</f>
        <v>〒 ##患者情報.本人情報.郵便番号</v>
      </c>
      <c r="C8" s="108"/>
      <c r="D8" s="108"/>
      <c r="E8" s="108"/>
      <c r="F8" s="108"/>
      <c r="G8" s="108"/>
      <c r="H8" s="108"/>
      <c r="I8" s="108"/>
      <c r="J8" s="109"/>
      <c r="K8" s="8" t="s">
        <v>45</v>
      </c>
      <c r="L8" s="9"/>
      <c r="M8" s="9"/>
    </row>
    <row r="9" spans="1:13" ht="14.25" customHeight="1" x14ac:dyDescent="0.15">
      <c r="A9" s="96"/>
      <c r="B9" s="36" t="str">
        <f>LEFT(K9, 73)</f>
        <v>##患者情報.本人情報.住所</v>
      </c>
      <c r="C9" s="36"/>
      <c r="D9" s="36"/>
      <c r="E9" s="36"/>
      <c r="F9" s="36"/>
      <c r="G9" s="36"/>
      <c r="H9" s="36"/>
      <c r="I9" s="36"/>
      <c r="J9" s="69"/>
      <c r="K9" s="8" t="s">
        <v>382</v>
      </c>
      <c r="L9" s="9"/>
      <c r="M9" s="9"/>
    </row>
    <row r="10" spans="1:13" ht="14.25" customHeight="1" x14ac:dyDescent="0.15">
      <c r="A10" s="96"/>
      <c r="B10" s="53" t="str">
        <f>IF(LEN(K9) &gt; 73, MID(K9, 74, LEN(K9) - 73), "")</f>
        <v/>
      </c>
      <c r="C10" s="53"/>
      <c r="D10" s="53"/>
      <c r="E10" s="53"/>
      <c r="F10" s="53"/>
      <c r="G10" s="53"/>
      <c r="H10" s="53"/>
      <c r="I10" s="53"/>
      <c r="J10" s="54"/>
      <c r="K10" s="9"/>
      <c r="L10" s="9"/>
      <c r="M10" s="9"/>
    </row>
    <row r="11" spans="1:13" ht="14.25" customHeight="1" x14ac:dyDescent="0.15">
      <c r="A11" s="26" t="s">
        <v>9</v>
      </c>
      <c r="B11" s="36" t="s">
        <v>47</v>
      </c>
      <c r="C11" s="36"/>
      <c r="D11" s="36"/>
      <c r="E11" s="36"/>
      <c r="F11" s="36"/>
      <c r="G11" s="36"/>
      <c r="H11" s="36"/>
      <c r="I11" s="36"/>
      <c r="J11" s="69"/>
      <c r="K11" s="9"/>
      <c r="L11" s="9"/>
      <c r="M11" s="9"/>
    </row>
    <row r="12" spans="1:13" ht="14.25" customHeight="1" thickBot="1" x14ac:dyDescent="0.2">
      <c r="A12" s="27" t="s">
        <v>10</v>
      </c>
      <c r="B12" s="59" t="s">
        <v>48</v>
      </c>
      <c r="C12" s="59"/>
      <c r="D12" s="59"/>
      <c r="E12" s="59"/>
      <c r="F12" s="59"/>
      <c r="G12" s="59"/>
      <c r="H12" s="59"/>
      <c r="I12" s="59"/>
      <c r="J12" s="60"/>
      <c r="K12" s="9"/>
      <c r="L12" s="9"/>
      <c r="M12" s="9"/>
    </row>
    <row r="13" spans="1:13" ht="14.25" customHeight="1" thickBot="1" x14ac:dyDescent="0.2">
      <c r="K13" s="9"/>
      <c r="L13" s="9"/>
      <c r="M13" s="9"/>
    </row>
    <row r="14" spans="1:13" ht="7.15" customHeight="1" x14ac:dyDescent="0.15">
      <c r="A14" s="76" t="s">
        <v>11</v>
      </c>
      <c r="B14" s="78" t="s">
        <v>49</v>
      </c>
      <c r="C14" s="79"/>
      <c r="D14" s="79"/>
      <c r="E14" s="80"/>
      <c r="F14" s="84" t="s">
        <v>12</v>
      </c>
      <c r="G14" s="86" t="s">
        <v>50</v>
      </c>
      <c r="H14" s="87"/>
      <c r="I14" s="87"/>
      <c r="J14" s="88"/>
      <c r="K14" s="9"/>
      <c r="L14" s="9"/>
      <c r="M14" s="9"/>
    </row>
    <row r="15" spans="1:13" ht="7.15" customHeight="1" x14ac:dyDescent="0.15">
      <c r="A15" s="77"/>
      <c r="B15" s="81"/>
      <c r="C15" s="82"/>
      <c r="D15" s="82"/>
      <c r="E15" s="83"/>
      <c r="F15" s="85"/>
      <c r="G15" s="89"/>
      <c r="H15" s="90"/>
      <c r="I15" s="90"/>
      <c r="J15" s="91"/>
      <c r="K15" s="9"/>
      <c r="L15" s="9"/>
      <c r="M15" s="9"/>
    </row>
    <row r="16" spans="1:13" ht="14.25" customHeight="1" x14ac:dyDescent="0.15">
      <c r="A16" s="21" t="s">
        <v>13</v>
      </c>
      <c r="B16" s="36" t="s">
        <v>52</v>
      </c>
      <c r="C16" s="36"/>
      <c r="D16" s="36"/>
      <c r="E16" s="36"/>
      <c r="F16" s="36"/>
      <c r="G16" s="36"/>
      <c r="H16" s="36"/>
      <c r="I16" s="36"/>
      <c r="J16" s="69"/>
      <c r="K16" s="9"/>
      <c r="L16" s="9"/>
      <c r="M16" s="9"/>
    </row>
    <row r="17" spans="1:13" ht="14.25" customHeight="1" x14ac:dyDescent="0.15">
      <c r="A17" s="21" t="s">
        <v>14</v>
      </c>
      <c r="B17" s="36" t="s">
        <v>53</v>
      </c>
      <c r="C17" s="36"/>
      <c r="D17" s="36"/>
      <c r="E17" s="36"/>
      <c r="F17" s="36"/>
      <c r="G17" s="36"/>
      <c r="H17" s="36"/>
      <c r="I17" s="36"/>
      <c r="J17" s="69"/>
      <c r="K17" s="9"/>
      <c r="L17" s="9"/>
      <c r="M17" s="9"/>
    </row>
    <row r="18" spans="1:13" ht="14.25" customHeight="1" x14ac:dyDescent="0.15">
      <c r="A18" s="21" t="s">
        <v>15</v>
      </c>
      <c r="B18" s="36" t="s">
        <v>54</v>
      </c>
      <c r="C18" s="36"/>
      <c r="D18" s="36"/>
      <c r="E18" s="36"/>
      <c r="F18" s="36"/>
      <c r="G18" s="36"/>
      <c r="H18" s="36"/>
      <c r="I18" s="36"/>
      <c r="J18" s="69"/>
      <c r="K18" s="9"/>
      <c r="L18" s="9"/>
      <c r="M18" s="9"/>
    </row>
    <row r="19" spans="1:13" ht="14.25" customHeight="1" x14ac:dyDescent="0.15">
      <c r="A19" s="21" t="s">
        <v>16</v>
      </c>
      <c r="B19" s="36" t="str">
        <f>IF(K19="","なし",K19)</f>
        <v>##患者情報.透析困難・重症度・搬送区分.透析困難理由</v>
      </c>
      <c r="C19" s="36"/>
      <c r="D19" s="36"/>
      <c r="E19" s="36"/>
      <c r="F19" s="36"/>
      <c r="G19" s="36"/>
      <c r="H19" s="36"/>
      <c r="I19" s="36"/>
      <c r="J19" s="69"/>
      <c r="K19" s="8" t="s">
        <v>446</v>
      </c>
      <c r="L19" s="9"/>
      <c r="M19" s="9"/>
    </row>
    <row r="20" spans="1:13" ht="14.25" customHeight="1" x14ac:dyDescent="0.15">
      <c r="A20" s="23"/>
      <c r="B20" s="53"/>
      <c r="C20" s="53"/>
      <c r="D20" s="53"/>
      <c r="E20" s="53"/>
      <c r="F20" s="53"/>
      <c r="G20" s="53"/>
      <c r="H20" s="53"/>
      <c r="I20" s="53"/>
      <c r="J20" s="54"/>
      <c r="K20" s="9"/>
      <c r="L20" s="9"/>
      <c r="M20" s="9"/>
    </row>
    <row r="21" spans="1:13" ht="14.25" customHeight="1" thickBot="1" x14ac:dyDescent="0.2">
      <c r="A21" s="24" t="s">
        <v>17</v>
      </c>
      <c r="B21" s="74" t="str">
        <f>K21&amp;"回"</f>
        <v>##患者情報.診療情報.透析回数回</v>
      </c>
      <c r="C21" s="74"/>
      <c r="D21" s="74"/>
      <c r="E21" s="74"/>
      <c r="F21" s="74"/>
      <c r="G21" s="74"/>
      <c r="H21" s="74"/>
      <c r="I21" s="74"/>
      <c r="J21" s="75"/>
      <c r="K21" s="9" t="s">
        <v>406</v>
      </c>
      <c r="L21" s="9"/>
      <c r="M21" s="9"/>
    </row>
    <row r="22" spans="1:13" s="17" customFormat="1" ht="17.100000000000001" customHeight="1" thickBot="1" x14ac:dyDescent="0.2">
      <c r="A22" s="70" t="s">
        <v>18</v>
      </c>
      <c r="B22" s="70"/>
      <c r="C22" s="70"/>
      <c r="K22" s="18"/>
      <c r="L22" s="18"/>
      <c r="M22" s="18"/>
    </row>
    <row r="23" spans="1:13" ht="14.25" customHeight="1" x14ac:dyDescent="0.15">
      <c r="A23" s="19" t="s">
        <v>19</v>
      </c>
      <c r="B23" s="63" t="s">
        <v>57</v>
      </c>
      <c r="C23" s="63"/>
      <c r="D23" s="63"/>
      <c r="E23" s="63"/>
      <c r="F23" s="20" t="s">
        <v>20</v>
      </c>
      <c r="G23" s="63" t="s">
        <v>58</v>
      </c>
      <c r="H23" s="63"/>
      <c r="I23" s="63"/>
      <c r="J23" s="71"/>
      <c r="K23" s="9"/>
      <c r="L23" s="9"/>
      <c r="M23" s="9"/>
    </row>
    <row r="24" spans="1:13" ht="14.25" customHeight="1" x14ac:dyDescent="0.15">
      <c r="A24" s="72" t="s">
        <v>8</v>
      </c>
      <c r="B24" s="25" t="s">
        <v>21</v>
      </c>
      <c r="C24" s="73" t="s">
        <v>60</v>
      </c>
      <c r="D24" s="36"/>
      <c r="E24" s="36"/>
      <c r="F24" s="36"/>
      <c r="G24" s="36"/>
      <c r="H24" s="36"/>
      <c r="I24" s="36"/>
      <c r="J24" s="69"/>
      <c r="K24" s="9"/>
      <c r="L24" s="9"/>
      <c r="M24" s="9"/>
    </row>
    <row r="25" spans="1:13" ht="14.25" customHeight="1" x14ac:dyDescent="0.15">
      <c r="A25" s="72"/>
      <c r="B25" s="36" t="s">
        <v>59</v>
      </c>
      <c r="C25" s="36"/>
      <c r="D25" s="36"/>
      <c r="E25" s="36"/>
      <c r="F25" s="36"/>
      <c r="G25" s="36"/>
      <c r="H25" s="36"/>
      <c r="I25" s="36"/>
      <c r="J25" s="69"/>
      <c r="K25" s="9"/>
      <c r="L25" s="9"/>
      <c r="M25" s="9"/>
    </row>
    <row r="26" spans="1:13" ht="14.25" customHeight="1" x14ac:dyDescent="0.15">
      <c r="A26" s="72"/>
      <c r="B26" s="53"/>
      <c r="C26" s="53"/>
      <c r="D26" s="53"/>
      <c r="E26" s="53"/>
      <c r="F26" s="53"/>
      <c r="G26" s="53"/>
      <c r="H26" s="53"/>
      <c r="I26" s="53"/>
      <c r="J26" s="54"/>
      <c r="K26" s="9"/>
      <c r="L26" s="9"/>
      <c r="M26" s="9"/>
    </row>
    <row r="27" spans="1:13" ht="14.25" customHeight="1" x14ac:dyDescent="0.15">
      <c r="A27" s="21" t="s">
        <v>9</v>
      </c>
      <c r="B27" s="36" t="s">
        <v>61</v>
      </c>
      <c r="C27" s="36"/>
      <c r="D27" s="36"/>
      <c r="E27" s="36"/>
      <c r="F27" s="36"/>
      <c r="G27" s="36"/>
      <c r="H27" s="36"/>
      <c r="I27" s="36"/>
      <c r="J27" s="69"/>
      <c r="K27" s="9"/>
      <c r="L27" s="9"/>
      <c r="M27" s="9"/>
    </row>
    <row r="28" spans="1:13" ht="14.25" customHeight="1" thickBot="1" x14ac:dyDescent="0.2">
      <c r="A28" s="24" t="s">
        <v>10</v>
      </c>
      <c r="B28" s="59" t="s">
        <v>62</v>
      </c>
      <c r="C28" s="59"/>
      <c r="D28" s="59"/>
      <c r="E28" s="59"/>
      <c r="F28" s="59"/>
      <c r="G28" s="59"/>
      <c r="H28" s="59"/>
      <c r="I28" s="59"/>
      <c r="J28" s="60"/>
      <c r="K28" s="9"/>
      <c r="L28" s="9"/>
      <c r="M28" s="9"/>
    </row>
    <row r="29" spans="1:13" ht="17.100000000000001" customHeight="1" thickBot="1" x14ac:dyDescent="0.2">
      <c r="A29" s="70" t="s">
        <v>22</v>
      </c>
      <c r="B29" s="70"/>
      <c r="C29" s="70"/>
      <c r="K29" s="9"/>
      <c r="L29" s="9"/>
      <c r="M29" s="9"/>
    </row>
    <row r="30" spans="1:13" ht="14.25" customHeight="1" x14ac:dyDescent="0.15">
      <c r="A30" s="19" t="s">
        <v>23</v>
      </c>
      <c r="B30" s="63" t="s">
        <v>63</v>
      </c>
      <c r="C30" s="63"/>
      <c r="D30" s="63"/>
      <c r="E30" s="63"/>
      <c r="F30" s="63"/>
      <c r="G30" s="63"/>
      <c r="H30" s="63"/>
      <c r="I30" s="63"/>
      <c r="J30" s="71"/>
      <c r="K30" s="9"/>
      <c r="L30" s="9"/>
      <c r="M30" s="9"/>
    </row>
    <row r="31" spans="1:13" ht="14.25" customHeight="1" x14ac:dyDescent="0.15">
      <c r="A31" s="21" t="s">
        <v>24</v>
      </c>
      <c r="B31" s="36" t="s">
        <v>64</v>
      </c>
      <c r="C31" s="36"/>
      <c r="D31" s="36"/>
      <c r="E31" s="36"/>
      <c r="F31" s="22" t="s">
        <v>25</v>
      </c>
      <c r="G31" s="36" t="s">
        <v>65</v>
      </c>
      <c r="H31" s="36"/>
      <c r="I31" s="36"/>
      <c r="J31" s="69"/>
      <c r="K31" s="9"/>
      <c r="L31" s="9"/>
      <c r="M31" s="9"/>
    </row>
    <row r="32" spans="1:13" ht="14.25" customHeight="1" thickBot="1" x14ac:dyDescent="0.2">
      <c r="A32" s="24" t="s">
        <v>26</v>
      </c>
      <c r="B32" s="59" t="s">
        <v>66</v>
      </c>
      <c r="C32" s="59"/>
      <c r="D32" s="59"/>
      <c r="E32" s="59"/>
      <c r="F32" s="59"/>
      <c r="G32" s="59"/>
      <c r="H32" s="59"/>
      <c r="I32" s="59"/>
      <c r="J32" s="60"/>
      <c r="K32" s="9"/>
      <c r="L32" s="9"/>
      <c r="M32" s="9"/>
    </row>
    <row r="33" spans="1:13" ht="17.100000000000001" customHeight="1" thickBot="1" x14ac:dyDescent="0.2">
      <c r="A33" s="61" t="s">
        <v>27</v>
      </c>
      <c r="B33" s="61"/>
      <c r="C33" s="61"/>
      <c r="D33" s="12"/>
      <c r="E33" s="12"/>
      <c r="F33" s="12"/>
      <c r="G33" s="12"/>
      <c r="H33" s="12"/>
      <c r="I33" s="12"/>
      <c r="J33" s="12"/>
      <c r="K33" s="9"/>
      <c r="L33" s="9"/>
      <c r="M33" s="9"/>
    </row>
    <row r="34" spans="1:13" ht="14.25" customHeight="1" x14ac:dyDescent="0.15">
      <c r="A34" s="62" t="s">
        <v>67</v>
      </c>
      <c r="B34" s="63"/>
      <c r="C34" s="63"/>
      <c r="D34" s="63" t="s">
        <v>370</v>
      </c>
      <c r="E34" s="63"/>
      <c r="F34" s="63"/>
      <c r="G34" s="64"/>
      <c r="H34" s="64"/>
      <c r="I34" s="64"/>
      <c r="J34" s="65"/>
      <c r="K34" s="9"/>
      <c r="L34" s="9"/>
      <c r="M34" s="9"/>
    </row>
    <row r="35" spans="1:13" ht="14.25" customHeight="1" x14ac:dyDescent="0.15">
      <c r="A35" s="39"/>
      <c r="B35" s="40"/>
      <c r="C35" s="40"/>
      <c r="D35" s="40"/>
      <c r="E35" s="40"/>
      <c r="F35" s="40"/>
      <c r="G35" s="40"/>
      <c r="H35" s="40"/>
      <c r="I35" s="40"/>
      <c r="J35" s="41"/>
      <c r="K35" s="9"/>
      <c r="L35" s="9"/>
      <c r="M35" s="9"/>
    </row>
    <row r="36" spans="1:13" ht="14.25" customHeight="1" x14ac:dyDescent="0.15">
      <c r="A36" s="39"/>
      <c r="B36" s="40"/>
      <c r="C36" s="40"/>
      <c r="D36" s="40"/>
      <c r="E36" s="40"/>
      <c r="F36" s="40"/>
      <c r="G36" s="40"/>
      <c r="H36" s="40"/>
      <c r="I36" s="40"/>
      <c r="J36" s="41"/>
      <c r="K36" s="9"/>
      <c r="L36" s="9"/>
      <c r="M36" s="9"/>
    </row>
    <row r="37" spans="1:13" ht="14.25" customHeight="1" x14ac:dyDescent="0.15">
      <c r="A37" s="34"/>
      <c r="B37" s="35"/>
      <c r="C37" s="35"/>
      <c r="D37" s="36"/>
      <c r="E37" s="36"/>
      <c r="F37" s="36"/>
      <c r="G37" s="37"/>
      <c r="H37" s="37"/>
      <c r="I37" s="37"/>
      <c r="J37" s="38"/>
      <c r="K37" s="9"/>
      <c r="L37" s="9"/>
      <c r="M37" s="9"/>
    </row>
    <row r="38" spans="1:13" ht="14.25" customHeight="1" x14ac:dyDescent="0.15">
      <c r="A38" s="39"/>
      <c r="B38" s="40"/>
      <c r="C38" s="40"/>
      <c r="D38" s="40"/>
      <c r="E38" s="40"/>
      <c r="F38" s="40"/>
      <c r="G38" s="40"/>
      <c r="H38" s="40"/>
      <c r="I38" s="40"/>
      <c r="J38" s="41"/>
      <c r="K38" s="9"/>
      <c r="L38" s="9"/>
      <c r="M38" s="9"/>
    </row>
    <row r="39" spans="1:13" ht="14.25" customHeight="1" thickBot="1" x14ac:dyDescent="0.2">
      <c r="A39" s="31"/>
      <c r="B39" s="32"/>
      <c r="C39" s="32"/>
      <c r="D39" s="32"/>
      <c r="E39" s="32"/>
      <c r="F39" s="32"/>
      <c r="G39" s="32"/>
      <c r="H39" s="32"/>
      <c r="I39" s="32"/>
      <c r="J39" s="33"/>
      <c r="K39" s="9"/>
      <c r="L39" s="9"/>
      <c r="M39" s="9"/>
    </row>
    <row r="40" spans="1:13" ht="14.25" customHeight="1" thickBot="1" x14ac:dyDescent="0.2">
      <c r="A40" s="66"/>
      <c r="B40" s="66"/>
      <c r="C40" s="66"/>
      <c r="K40" s="9"/>
      <c r="L40" s="9"/>
      <c r="M40" s="9"/>
    </row>
    <row r="41" spans="1:13" ht="14.25" customHeight="1" thickBot="1" x14ac:dyDescent="0.2">
      <c r="A41" s="13" t="s">
        <v>28</v>
      </c>
      <c r="B41" s="67"/>
      <c r="C41" s="67"/>
      <c r="D41" s="67"/>
      <c r="E41" s="67"/>
      <c r="F41" s="67"/>
      <c r="G41" s="67"/>
      <c r="H41" s="67"/>
      <c r="I41" s="67"/>
      <c r="J41" s="68"/>
      <c r="K41" s="9"/>
      <c r="L41" s="9"/>
      <c r="M41" s="9"/>
    </row>
    <row r="42" spans="1:13" ht="14.25" customHeight="1" x14ac:dyDescent="0.15">
      <c r="A42" s="55" t="s">
        <v>69</v>
      </c>
      <c r="B42" s="56"/>
      <c r="C42" s="56"/>
      <c r="D42" s="56" t="s">
        <v>291</v>
      </c>
      <c r="E42" s="56"/>
      <c r="F42" s="56"/>
      <c r="G42" s="57" t="s">
        <v>68</v>
      </c>
      <c r="H42" s="57"/>
      <c r="I42" s="57"/>
      <c r="J42" s="58"/>
      <c r="K42" s="8"/>
      <c r="L42" s="9"/>
      <c r="M42" s="9"/>
    </row>
    <row r="43" spans="1:13" ht="14.25" customHeight="1" x14ac:dyDescent="0.15">
      <c r="A43" s="52"/>
      <c r="B43" s="53"/>
      <c r="C43" s="53"/>
      <c r="D43" s="53"/>
      <c r="E43" s="53"/>
      <c r="F43" s="53"/>
      <c r="G43" s="53"/>
      <c r="H43" s="53"/>
      <c r="I43" s="53"/>
      <c r="J43" s="54"/>
      <c r="K43" s="9"/>
      <c r="L43" s="9"/>
      <c r="M43" s="9"/>
    </row>
    <row r="44" spans="1:13" ht="14.25" customHeight="1" x14ac:dyDescent="0.15">
      <c r="A44" s="52"/>
      <c r="B44" s="53"/>
      <c r="C44" s="53"/>
      <c r="D44" s="53"/>
      <c r="E44" s="53"/>
      <c r="F44" s="53"/>
      <c r="G44" s="53"/>
      <c r="H44" s="53"/>
      <c r="I44" s="53"/>
      <c r="J44" s="54"/>
      <c r="K44" s="9"/>
      <c r="L44" s="9"/>
      <c r="M44" s="9"/>
    </row>
    <row r="45" spans="1:13" ht="14.25" customHeight="1" x14ac:dyDescent="0.15">
      <c r="A45" s="52"/>
      <c r="B45" s="53"/>
      <c r="C45" s="53"/>
      <c r="D45" s="53"/>
      <c r="E45" s="53"/>
      <c r="F45" s="53"/>
      <c r="G45" s="53"/>
      <c r="H45" s="53"/>
      <c r="I45" s="53"/>
      <c r="J45" s="54"/>
      <c r="K45" s="9"/>
      <c r="L45" s="9"/>
      <c r="M45" s="9"/>
    </row>
    <row r="46" spans="1:13" ht="14.25" customHeight="1" x14ac:dyDescent="0.15">
      <c r="A46" s="52"/>
      <c r="B46" s="53"/>
      <c r="C46" s="53"/>
      <c r="D46" s="53"/>
      <c r="E46" s="53"/>
      <c r="F46" s="53"/>
      <c r="G46" s="53"/>
      <c r="H46" s="53"/>
      <c r="I46" s="53"/>
      <c r="J46" s="54"/>
      <c r="K46" s="9"/>
      <c r="L46" s="9"/>
      <c r="M46" s="9"/>
    </row>
    <row r="47" spans="1:13" ht="14.25" customHeight="1" x14ac:dyDescent="0.15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9"/>
      <c r="L47" s="9"/>
      <c r="M47" s="9"/>
    </row>
    <row r="48" spans="1:13" ht="14.25" customHeight="1" x14ac:dyDescent="0.15">
      <c r="A48" s="52"/>
      <c r="B48" s="53"/>
      <c r="C48" s="53"/>
      <c r="D48" s="53"/>
      <c r="E48" s="53"/>
      <c r="F48" s="53"/>
      <c r="G48" s="53"/>
      <c r="H48" s="53"/>
      <c r="I48" s="53"/>
      <c r="J48" s="54"/>
      <c r="K48" s="9"/>
      <c r="L48" s="9"/>
      <c r="M48" s="9"/>
    </row>
    <row r="49" spans="1:13" ht="14.25" customHeight="1" x14ac:dyDescent="0.15">
      <c r="A49" s="52"/>
      <c r="B49" s="53"/>
      <c r="C49" s="53"/>
      <c r="D49" s="53"/>
      <c r="E49" s="53"/>
      <c r="F49" s="53"/>
      <c r="G49" s="53"/>
      <c r="H49" s="53"/>
      <c r="I49" s="53"/>
      <c r="J49" s="54"/>
      <c r="K49" s="9"/>
      <c r="L49" s="9"/>
      <c r="M49" s="9"/>
    </row>
    <row r="50" spans="1:13" ht="14.25" customHeight="1" x14ac:dyDescent="0.15">
      <c r="A50" s="52"/>
      <c r="B50" s="53"/>
      <c r="C50" s="53"/>
      <c r="D50" s="53"/>
      <c r="E50" s="53"/>
      <c r="F50" s="53"/>
      <c r="G50" s="53"/>
      <c r="H50" s="53"/>
      <c r="I50" s="53"/>
      <c r="J50" s="54"/>
      <c r="K50" s="9"/>
      <c r="L50" s="9"/>
      <c r="M50" s="9"/>
    </row>
    <row r="51" spans="1:13" ht="14.25" customHeight="1" x14ac:dyDescent="0.15">
      <c r="A51" s="52"/>
      <c r="B51" s="53"/>
      <c r="C51" s="53"/>
      <c r="D51" s="53"/>
      <c r="E51" s="53"/>
      <c r="F51" s="53"/>
      <c r="G51" s="53"/>
      <c r="H51" s="53"/>
      <c r="I51" s="53"/>
      <c r="J51" s="54"/>
      <c r="K51" s="9"/>
      <c r="L51" s="9"/>
      <c r="M51" s="9"/>
    </row>
    <row r="52" spans="1:13" ht="14.25" customHeight="1" x14ac:dyDescent="0.15">
      <c r="A52" s="52"/>
      <c r="B52" s="53"/>
      <c r="C52" s="53"/>
      <c r="D52" s="53"/>
      <c r="E52" s="53"/>
      <c r="F52" s="53"/>
      <c r="G52" s="53"/>
      <c r="H52" s="53"/>
      <c r="I52" s="53"/>
      <c r="J52" s="54"/>
      <c r="K52" s="9"/>
      <c r="L52" s="9"/>
      <c r="M52" s="9"/>
    </row>
    <row r="53" spans="1:13" ht="14.25" customHeight="1" thickBot="1" x14ac:dyDescent="0.2">
      <c r="A53" s="42"/>
      <c r="B53" s="43"/>
      <c r="C53" s="43"/>
      <c r="D53" s="43"/>
      <c r="E53" s="43"/>
      <c r="F53" s="43"/>
      <c r="G53" s="43"/>
      <c r="H53" s="43"/>
      <c r="I53" s="43"/>
      <c r="J53" s="44"/>
      <c r="K53" s="9"/>
      <c r="L53" s="9"/>
      <c r="M53" s="9"/>
    </row>
    <row r="54" spans="1:13" ht="17.100000000000001" customHeight="1" thickBot="1" x14ac:dyDescent="0.2">
      <c r="A54" s="45" t="s">
        <v>29</v>
      </c>
      <c r="B54" s="45"/>
      <c r="C54" s="45"/>
      <c r="D54" s="12"/>
      <c r="E54" s="12"/>
      <c r="F54" s="12"/>
      <c r="G54" s="12"/>
      <c r="H54" s="12"/>
      <c r="I54" s="12"/>
      <c r="J54" s="12"/>
      <c r="K54" s="9"/>
      <c r="L54" s="9"/>
      <c r="M54" s="9"/>
    </row>
    <row r="55" spans="1:13" ht="14.25" customHeight="1" x14ac:dyDescent="0.15">
      <c r="A55" s="46" t="s">
        <v>519</v>
      </c>
      <c r="B55" s="47"/>
      <c r="C55" s="47"/>
      <c r="D55" s="47"/>
      <c r="E55" s="47"/>
      <c r="F55" s="47"/>
      <c r="G55" s="47"/>
      <c r="H55" s="47"/>
      <c r="I55" s="47"/>
      <c r="J55" s="48"/>
      <c r="K55" s="9"/>
      <c r="L55" s="9"/>
      <c r="M55" s="9"/>
    </row>
    <row r="56" spans="1:13" ht="14.25" customHeight="1" thickBot="1" x14ac:dyDescent="0.2">
      <c r="A56" s="49"/>
      <c r="B56" s="50"/>
      <c r="C56" s="50"/>
      <c r="D56" s="50"/>
      <c r="E56" s="50"/>
      <c r="F56" s="50"/>
      <c r="G56" s="50"/>
      <c r="H56" s="50"/>
      <c r="I56" s="50"/>
      <c r="J56" s="51"/>
      <c r="K56" s="9"/>
      <c r="L56" s="9"/>
      <c r="M56" s="9"/>
    </row>
    <row r="57" spans="1:13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3" x14ac:dyDescent="0.15">
      <c r="A58" s="12"/>
      <c r="B58" s="12"/>
      <c r="C58" s="14"/>
      <c r="D58" s="30" t="s">
        <v>424</v>
      </c>
      <c r="E58" s="30"/>
      <c r="F58" s="15" t="s">
        <v>391</v>
      </c>
      <c r="G58" s="16"/>
      <c r="H58" s="12"/>
      <c r="I58" s="12"/>
      <c r="J58" s="12"/>
    </row>
  </sheetData>
  <mergeCells count="99">
    <mergeCell ref="B11:J11"/>
    <mergeCell ref="A1:E2"/>
    <mergeCell ref="B3:J3"/>
    <mergeCell ref="B4:J4"/>
    <mergeCell ref="A5:A6"/>
    <mergeCell ref="B5:D6"/>
    <mergeCell ref="E5:E6"/>
    <mergeCell ref="G6:J6"/>
    <mergeCell ref="A7:C7"/>
    <mergeCell ref="A8:A10"/>
    <mergeCell ref="B8:J8"/>
    <mergeCell ref="B9:J9"/>
    <mergeCell ref="B10:J10"/>
    <mergeCell ref="G5:I5"/>
    <mergeCell ref="A22:C22"/>
    <mergeCell ref="B12:J12"/>
    <mergeCell ref="B16:J16"/>
    <mergeCell ref="B17:J17"/>
    <mergeCell ref="B18:J18"/>
    <mergeCell ref="B19:J19"/>
    <mergeCell ref="B20:J20"/>
    <mergeCell ref="B21:J21"/>
    <mergeCell ref="A14:A15"/>
    <mergeCell ref="B14:E15"/>
    <mergeCell ref="F14:F15"/>
    <mergeCell ref="G14:J15"/>
    <mergeCell ref="B23:E23"/>
    <mergeCell ref="G23:J23"/>
    <mergeCell ref="A24:A26"/>
    <mergeCell ref="C24:J24"/>
    <mergeCell ref="B25:J25"/>
    <mergeCell ref="B26:J26"/>
    <mergeCell ref="B27:J27"/>
    <mergeCell ref="B28:J28"/>
    <mergeCell ref="A29:C29"/>
    <mergeCell ref="B30:J30"/>
    <mergeCell ref="B31:E31"/>
    <mergeCell ref="G31:J31"/>
    <mergeCell ref="A42:C42"/>
    <mergeCell ref="D42:F42"/>
    <mergeCell ref="G42:J42"/>
    <mergeCell ref="B32:J32"/>
    <mergeCell ref="A33:C33"/>
    <mergeCell ref="A34:C34"/>
    <mergeCell ref="D34:F34"/>
    <mergeCell ref="G34:J34"/>
    <mergeCell ref="A35:C35"/>
    <mergeCell ref="D35:F35"/>
    <mergeCell ref="G35:J35"/>
    <mergeCell ref="A36:C36"/>
    <mergeCell ref="D36:F36"/>
    <mergeCell ref="G36:J36"/>
    <mergeCell ref="A40:C40"/>
    <mergeCell ref="B41:J41"/>
    <mergeCell ref="A43:C43"/>
    <mergeCell ref="D43:F43"/>
    <mergeCell ref="G43:J43"/>
    <mergeCell ref="A44:C44"/>
    <mergeCell ref="D44:F44"/>
    <mergeCell ref="G44:J44"/>
    <mergeCell ref="A45:C45"/>
    <mergeCell ref="D45:F45"/>
    <mergeCell ref="G45:J45"/>
    <mergeCell ref="A46:C46"/>
    <mergeCell ref="D46:F46"/>
    <mergeCell ref="G46:J46"/>
    <mergeCell ref="A47:C47"/>
    <mergeCell ref="D47:F47"/>
    <mergeCell ref="G47:J47"/>
    <mergeCell ref="A48:C48"/>
    <mergeCell ref="D48:F48"/>
    <mergeCell ref="G48:J48"/>
    <mergeCell ref="A49:C49"/>
    <mergeCell ref="D49:F49"/>
    <mergeCell ref="G49:J49"/>
    <mergeCell ref="A50:C50"/>
    <mergeCell ref="D50:F50"/>
    <mergeCell ref="G50:J50"/>
    <mergeCell ref="D51:F51"/>
    <mergeCell ref="G51:J51"/>
    <mergeCell ref="A52:C52"/>
    <mergeCell ref="D52:F52"/>
    <mergeCell ref="G52:J52"/>
    <mergeCell ref="D58:E58"/>
    <mergeCell ref="A39:C39"/>
    <mergeCell ref="D39:F39"/>
    <mergeCell ref="G39:J39"/>
    <mergeCell ref="A37:C37"/>
    <mergeCell ref="D37:F37"/>
    <mergeCell ref="G37:J37"/>
    <mergeCell ref="A38:C38"/>
    <mergeCell ref="D38:F38"/>
    <mergeCell ref="G38:J38"/>
    <mergeCell ref="A53:C53"/>
    <mergeCell ref="D53:F53"/>
    <mergeCell ref="G53:J53"/>
    <mergeCell ref="A54:C54"/>
    <mergeCell ref="A55:J56"/>
    <mergeCell ref="A51:C51"/>
  </mergeCells>
  <phoneticPr fontId="1"/>
  <pageMargins left="0.7" right="0.7" top="0.75" bottom="0.75" header="0.3" footer="0.3"/>
  <pageSetup paperSize="9" scale="9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BB2ED-AC3C-4A3D-A210-7FE4C65A2483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970D2351-D3EC-4629-9A61-E1BFA11D0E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BAE25C-00E1-4D14-8815-48A49F5686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d1c32-15f9-417b-a931-9141d9ec92c0"/>
    <ds:schemaRef ds:uri="c150e9fd-535a-4b9a-a5f4-a818706e3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090204</dc:creator>
  <cp:lastModifiedBy>堀内 英史</cp:lastModifiedBy>
  <cp:lastPrinted>2025-06-30T05:24:48Z</cp:lastPrinted>
  <dcterms:created xsi:type="dcterms:W3CDTF">2011-09-14T03:47:22Z</dcterms:created>
  <dcterms:modified xsi:type="dcterms:W3CDTF">2026-06-09T04:18:56Z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