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5100\Desktop\紹介状workデータ\(標準)紹介状_016\20251021 1106_NKKSBR\"/>
    </mc:Choice>
  </mc:AlternateContent>
  <xr:revisionPtr revIDLastSave="0" documentId="13_ncr:1_{A89D5294-368E-44C5-AA6E-FD42391B4E5C}" xr6:coauthVersionLast="47" xr6:coauthVersionMax="47" xr10:uidLastSave="{00000000-0000-0000-0000-000000000000}"/>
  <bookViews>
    <workbookView xWindow="28680" yWindow="0" windowWidth="29040" windowHeight="15720" firstSheet="4" activeTab="4" xr2:uid="{B7E45308-B2BB-466E-B443-B39752AC8307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レイアウト!$A$1:$CN$62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26" i="2" l="1"/>
  <c r="BW26" i="2"/>
  <c r="BV26" i="2"/>
  <c r="BU26" i="2"/>
  <c r="BT26" i="2"/>
  <c r="AT11" i="2"/>
  <c r="L26" i="2" l="1" a="1"/>
  <c r="L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<sst xmlns="http://schemas.openxmlformats.org/spreadsheetml/2006/main" count="1709" uniqueCount="456">
  <si>
    <t>ReferralLetter</t>
  </si>
  <si>
    <t/>
  </si>
  <si>
    <t>0</t>
  </si>
  <si>
    <t>255100</t>
  </si>
  <si>
    <t>2025/07/02 09:10:42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</si>
  <si>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</si>
  <si>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</si>
  <si>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</si>
  <si>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</si>
  <si>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</si>
  <si>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</si>
  <si>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</si>
  <si>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</si>
  <si>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</si>
  <si>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</si>
  <si>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</si>
  <si>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</si>
  <si>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</si>
  <si>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</si>
  <si>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</si>
  <si>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</si>
  <si>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</si>
  <si>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</si>
  <si>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</si>
  <si>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</si>
  <si>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</si>
  <si>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</si>
  <si>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</si>
  <si>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</si>
  <si>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</si>
  <si>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</si>
  <si>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</si>
  <si>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</si>
  <si>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</si>
  <si>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</si>
  <si>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</si>
  <si>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</si>
  <si>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</si>
  <si>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2025/07/02 09:11:02</t>
  </si>
  <si>
    <t>集計設定</t>
  </si>
  <si>
    <t xml:space="preserve">縦の合計: ⇒ 0_x000D_
横の合計: ⇒ 0_x000D_
</t>
  </si>
  <si>
    <t>透析患者申し送り表</t>
    <rPh sb="0" eb="4">
      <t>トウセキカンジャ</t>
    </rPh>
    <rPh sb="4" eb="5">
      <t>モウ</t>
    </rPh>
    <rPh sb="6" eb="7">
      <t>オク</t>
    </rPh>
    <rPh sb="8" eb="9">
      <t>ヒョウ</t>
    </rPh>
    <phoneticPr fontId="1"/>
  </si>
  <si>
    <t>歳</t>
    <rPh sb="0" eb="1">
      <t>サイ</t>
    </rPh>
    <phoneticPr fontId="1"/>
  </si>
  <si>
    <t>性別</t>
    <rPh sb="0" eb="2">
      <t>セイベツ</t>
    </rPh>
    <phoneticPr fontId="1"/>
  </si>
  <si>
    <t>年齢</t>
    <rPh sb="0" eb="2">
      <t>ネンレイ</t>
    </rPh>
    <phoneticPr fontId="1"/>
  </si>
  <si>
    <t>診断</t>
    <rPh sb="0" eb="2">
      <t>シンダン</t>
    </rPh>
    <phoneticPr fontId="1"/>
  </si>
  <si>
    <t>氏名</t>
    <rPh sb="0" eb="2">
      <t>シメイ</t>
    </rPh>
    <phoneticPr fontId="1"/>
  </si>
  <si>
    <t>生年月日</t>
    <rPh sb="0" eb="4">
      <t>セイネンガッピ</t>
    </rPh>
    <phoneticPr fontId="1"/>
  </si>
  <si>
    <t>様</t>
    <rPh sb="0" eb="1">
      <t>サマ</t>
    </rPh>
    <phoneticPr fontId="1"/>
  </si>
  <si>
    <t>既往歴</t>
    <rPh sb="0" eb="3">
      <t>キオウレキ</t>
    </rPh>
    <phoneticPr fontId="1"/>
  </si>
  <si>
    <t>基本情報</t>
    <rPh sb="0" eb="4">
      <t>キホンジョウホウ</t>
    </rPh>
    <phoneticPr fontId="1"/>
  </si>
  <si>
    <t>ID</t>
    <phoneticPr fontId="1"/>
  </si>
  <si>
    <t>血液</t>
    <rPh sb="0" eb="2">
      <t>ケツエキ</t>
    </rPh>
    <phoneticPr fontId="1"/>
  </si>
  <si>
    <t>型</t>
    <rPh sb="0" eb="1">
      <t>ガタ</t>
    </rPh>
    <phoneticPr fontId="1"/>
  </si>
  <si>
    <t>アレルギー</t>
    <phoneticPr fontId="1"/>
  </si>
  <si>
    <t>(</t>
    <phoneticPr fontId="1"/>
  </si>
  <si>
    <t>)</t>
    <phoneticPr fontId="1"/>
  </si>
  <si>
    <t>21187</t>
  </si>
  <si>
    <t>2025/07/02 10:01:25</t>
  </si>
  <si>
    <t>定期日常点検・交換部品記録簿設定</t>
  </si>
  <si>
    <t xml:space="preserve">帳票区分:1 ⇒ _x000D_
</t>
  </si>
  <si>
    <t>2025/07/02 10:02:30</t>
  </si>
  <si>
    <t>##患者情報.本人情報.患者名</t>
  </si>
  <si>
    <t>##患者情報.本人情報.生年月日</t>
  </si>
  <si>
    <t>##患者情報.本人情報.年齢</t>
  </si>
  <si>
    <t>##患者情報.本人情報.性別</t>
  </si>
  <si>
    <t>##患者情報.既往歴(昇順).病名</t>
  </si>
  <si>
    <t>##患者情報.本人情報.患者ID</t>
  </si>
  <si>
    <t>##患者情報.本人情報.血液型ABO型</t>
  </si>
  <si>
    <t>##患者情報.本人情報.血液型Rh型</t>
  </si>
  <si>
    <t>##患者情報.入外・転入出.施設(転出先)</t>
  </si>
  <si>
    <t>御中</t>
    <rPh sb="0" eb="2">
      <t>オンチュウ</t>
    </rPh>
    <phoneticPr fontId="1"/>
  </si>
  <si>
    <t>##患者情報.アレルギー.内容</t>
  </si>
  <si>
    <t>##患者情報.アレルギー.内容</t>
    <phoneticPr fontId="1"/>
  </si>
  <si>
    <t>##患者情報.感染症(+)(-)(不明).感染症</t>
  </si>
  <si>
    <t>##患者情報.感染症(+)(-)(不明).感染症結果</t>
  </si>
  <si>
    <t>患者情報</t>
  </si>
  <si>
    <t>入外・転入出</t>
  </si>
  <si>
    <t>施設(転出先)</t>
  </si>
  <si>
    <t>210</t>
  </si>
  <si>
    <t>to_facility_name</t>
  </si>
  <si>
    <t>string</t>
  </si>
  <si>
    <t>日機装第一クリニック</t>
  </si>
  <si>
    <t>G/標準</t>
  </si>
  <si>
    <t>True</t>
  </si>
  <si>
    <t>C4:U5</t>
  </si>
  <si>
    <t>患者情報.入外・転入出</t>
  </si>
  <si>
    <t>False</t>
  </si>
  <si>
    <t>本人情報</t>
  </si>
  <si>
    <t>患者名</t>
  </si>
  <si>
    <t>pat_name</t>
  </si>
  <si>
    <t>日機装　太郎</t>
  </si>
  <si>
    <t>19</t>
  </si>
  <si>
    <t>L7:AE8</t>
  </si>
  <si>
    <t>患者ID</t>
  </si>
  <si>
    <t>hosp_pat_id</t>
  </si>
  <si>
    <t>123456789012</t>
  </si>
  <si>
    <t>24</t>
  </si>
  <si>
    <t>AT7:BR8</t>
  </si>
  <si>
    <t>生年月日</t>
  </si>
  <si>
    <t>pat_birthday</t>
  </si>
  <si>
    <t>DateTime</t>
  </si>
  <si>
    <t>2025/07/02</t>
  </si>
  <si>
    <t>yyyy/mm/dd</t>
  </si>
  <si>
    <t>L9:AJ10</t>
  </si>
  <si>
    <t>血液型ABO型</t>
  </si>
  <si>
    <t>pat_blood_type_abo</t>
  </si>
  <si>
    <t>AB</t>
  </si>
  <si>
    <t>AT9:AZ10</t>
  </si>
  <si>
    <t>血液型Rh型</t>
  </si>
  <si>
    <t>pat_blood_type_rh</t>
  </si>
  <si>
    <t>Rh+</t>
  </si>
  <si>
    <t>BE9:BJ10</t>
  </si>
  <si>
    <t>年齢</t>
  </si>
  <si>
    <t>pat_age</t>
  </si>
  <si>
    <t>decimal</t>
  </si>
  <si>
    <t>70</t>
  </si>
  <si>
    <t>L11:V12</t>
  </si>
  <si>
    <t>性別</t>
  </si>
  <si>
    <t>pat_sex</t>
  </si>
  <si>
    <t>男性</t>
  </si>
  <si>
    <t>&lt;convTable cls=""&gt;&lt;conv code="0" item="不明" disp="不明" /&gt;&lt;conv code="1" item="男性" disp="男" /&gt;&lt;conv code="2" item="女性" disp="女" /&gt;&lt;/convTable&gt;</t>
  </si>
  <si>
    <t>AE11:AJ12</t>
  </si>
  <si>
    <t>アレルギー</t>
  </si>
  <si>
    <t>内容</t>
  </si>
  <si>
    <t>158</t>
  </si>
  <si>
    <t>content</t>
  </si>
  <si>
    <t>テスト薬剤（アレルギー）</t>
  </si>
  <si>
    <t>BC11:BQ12</t>
  </si>
  <si>
    <t>患者情報.アレルギー</t>
  </si>
  <si>
    <t>感染症(+)(-)(不明)</t>
  </si>
  <si>
    <t>感染症</t>
  </si>
  <si>
    <t>25</t>
  </si>
  <si>
    <t>infection_name</t>
  </si>
  <si>
    <t>Hbc抗体</t>
  </si>
  <si>
    <t>AK13:AS14,AK15:AS16,BB13:BJ14,BB15:BJ16</t>
  </si>
  <si>
    <t>AK13:AS14</t>
  </si>
  <si>
    <t>患者情報.感染症(+)(-)(不明)</t>
  </si>
  <si>
    <t>感染症結果</t>
  </si>
  <si>
    <t>infect</t>
  </si>
  <si>
    <t>(不明)</t>
  </si>
  <si>
    <t>AU13:AZ14,AU15:AZ16,BL13:BQ14,BL15:BQ16</t>
  </si>
  <si>
    <t>AU13:AZ14</t>
  </si>
  <si>
    <t>既往歴(昇順)</t>
  </si>
  <si>
    <t>病名</t>
  </si>
  <si>
    <t>27</t>
  </si>
  <si>
    <t>disease_name</t>
  </si>
  <si>
    <t>インフルエンザ</t>
  </si>
  <si>
    <t>L17:BR21</t>
  </si>
  <si>
    <t>57</t>
  </si>
  <si>
    <t>患者情報.既往歴(昇順)</t>
  </si>
  <si>
    <t>3</t>
  </si>
  <si>
    <t>2025/07/02 10:23:58</t>
  </si>
  <si>
    <t xml:space="preserve">新規追加_x000D_
改頁しない_x000D_
繰返場所:C4:U5_x000D_
グループ名:患者情報.入外・転入出_x000D_
プレビューデータ:日機装第一クリニック_x000D_
書式:G/標準_x000D_
縮小しない_x000D_
テンプレート内外:_x000D_
</t>
  </si>
  <si>
    <t xml:space="preserve">新規追加_x000D_
表示文字数:19_x000D_
改頁しない_x000D_
プレビューデータ:日機装　太郎_x000D_
書式:G/標準_x000D_
縮小しない_x000D_
テンプレート内外:_x000D_
</t>
  </si>
  <si>
    <t xml:space="preserve">新規追加_x000D_
表示文字数:24_x000D_
改頁しない_x000D_
プレビューデータ:123456789012_x000D_
書式:G/標準_x000D_
縮小しない_x000D_
テンプレート内外:_x000D_
</t>
  </si>
  <si>
    <t xml:space="preserve">新規追加_x000D_
改頁しない_x000D_
プレビューデータ:2025/07/02_x000D_
書式:yyyy/mm/dd_x000D_
縮小しない_x000D_
テンプレート内外:_x000D_
</t>
  </si>
  <si>
    <t xml:space="preserve">新規追加_x000D_
改頁しない_x000D_
プレビューデータ:AB_x000D_
書式:G/標準_x000D_
データ変換:&lt;convTable cls="血液型ABO型"&gt;&lt;conv code="0" item="不明" disp="不明" /&gt;&lt;conv code="1" item="A型" disp="A型" /&gt;&lt;conv code="2" item="B型" disp="B型" /&gt;&lt;conv code="3" item="O型" disp="O型" /&gt;&lt;conv code="4" item="AB型" disp="AB型" /&gt;&lt;/convTable&gt;_x000D_
縮小しない_x000D_
テンプレート内外:_x000D_
</t>
  </si>
  <si>
    <t xml:space="preserve">新規追加_x000D_
改頁しない_x000D_
プレビューデータ:Rh+_x000D_
書式:G/標準_x000D_
データ変換:&lt;convTable cls=""&gt;&lt;conv code="0" item="不明" disp="不明" /&gt;&lt;conv code="1" item="Rh+" disp="RH+" /&gt;&lt;conv code="2" item="Rh-" disp="RH-" /&gt;&lt;/convTable&gt;_x000D_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</si>
  <si>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</si>
  <si>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</si>
  <si>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繰返場所:BC11:BQ12_x000D_
グループ名:患者情報.アレルギー_x000D_
プレビューデータ:テスト薬剤（アレルギー）_x000D_
書式:G/標準_x000D_
縮小しない_x000D_
テンプレート内外:_x000D_
</t>
  </si>
  <si>
    <t xml:space="preserve">新規追加_x000D_
改頁しない_x000D_
繰返場所:AK13:AS14,AK15:AS16,BB13:BJ14,BB15:BJ16_x000D_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</si>
  <si>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繰返場所:AU13:AZ14,AU15:AZ16,BL13:BQ14,BL15:BQ16_x000D_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</si>
  <si>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表示文字数:57_x000D_
改頁しない_x000D_
繰返場所:L17:BR21_x000D_
グループ名:患者情報.既往歴(昇順)_x000D_
プレビューデータ:インフルエンザ_x000D_
書式:G/標準_x000D_
縮小しない_x000D_
テンプレート内外:_x000D_
</t>
  </si>
  <si>
    <t>患者情報.既往歴(昇順).患者情報.既往歴(昇順).L17:BR21</t>
  </si>
  <si>
    <t>患者情報.入外・転入出.患者情報.入外・転入出.C4:U5</t>
  </si>
  <si>
    <t>患者情報.アレルギー.患者情報.アレルギー.BC11:BQ12</t>
  </si>
  <si>
    <t>患者情報.感染症(+)(-)(不明).患者情報.感染症(+)(-)(不明).AK13:AS14</t>
  </si>
  <si>
    <t>グループ</t>
  </si>
  <si>
    <t xml:space="preserve">改頁しない_x000D_
</t>
  </si>
  <si>
    <t>2025/07/02 10:23:59</t>
  </si>
  <si>
    <t>2025/07/02 10:29:45</t>
  </si>
  <si>
    <t xml:space="preserve">設定変更_x000D_
データ変換:&lt;convTable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 ⇒ &lt;convTable cls="血液型ABO型"&gt;&lt;conv code="0" item="不明" disp="不明" /&gt;&lt;conv code="1" item="A型" disp="A型" /&gt;&lt;conv code="2" item="B型" disp="B型" /&gt;&lt;conv code="3" item="O型" disp="O型" /&gt;&lt;conv code="4" item="AB型" disp="AB型" /&gt;&lt;/convTable&gt;_x000D_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</si>
  <si>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</si>
  <si>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改頁しない</t>
  </si>
  <si>
    <t>&lt;convTable cls=""&gt;&lt;conv code="0" item="不明" disp="不明" /&gt;&lt;conv code="1" item="(-)" disp="-" /&gt;&lt;conv code="2" item="(+)" disp="+" /&gt;&lt;/convTable&gt;</t>
  </si>
  <si>
    <t>2025/07/02 10:30:10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</si>
  <si>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cls=""&gt;&lt;conv code="0" item="不明" disp="不明" /&gt;&lt;conv code="1" item="(-)" disp="-" /&gt;&lt;conv code="2" item="(+)" disp="+" /&gt;&lt;/convTable&gt;_x000D_
</t>
  </si>
  <si>
    <t>BU7</t>
  </si>
  <si>
    <t>BV7</t>
  </si>
  <si>
    <t>2025/07/02 10:32:44</t>
  </si>
  <si>
    <t xml:space="preserve">新規追加_x000D_
改頁しない_x000D_
繰返場所:BU7,BU8,BU9,BU10,BU11_x000D_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</si>
  <si>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繰返場所:BV7,BV8,BV9,BV10,BV11_x000D_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</si>
  <si>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>5</t>
  </si>
  <si>
    <t>BU7:BX8</t>
  </si>
  <si>
    <t>BY7:CC8</t>
  </si>
  <si>
    <t>2025/07/02 10:34:52</t>
  </si>
  <si>
    <t xml:space="preserve">新規追加_x000D_
改頁しない_x000D_
繰返場所:BU7:BX8,BU9:BX10,BU11:BX12,BU13:BX14,BU15:BX16_x000D_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</si>
  <si>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繰返場所:BY7:CC8,BY9:CC10,BY11:CC12,BY13:CC14,BY15:CC16_x000D_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</si>
  <si>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>削除</t>
  </si>
  <si>
    <t>2025/07/02 10:34:53</t>
  </si>
  <si>
    <t>2025/07/02 11:20:08</t>
  </si>
  <si>
    <t>2025/07/02 11:20:09</t>
  </si>
  <si>
    <t>2025/07/02 11:34:20</t>
  </si>
  <si>
    <t>&lt;convTable cls=""&gt;&lt;conv code="0" item="不明" disp="不明" /&gt;&lt;conv code="1" item="A型" disp="A" /&gt;&lt;conv code="2" item="B型" disp="B" /&gt;&lt;conv code="3" item="O型" disp="O" /&gt;&lt;conv code="4" item="AB型" disp="AB" /&gt;&lt;/convTable&gt;</t>
  </si>
  <si>
    <t>2025/07/02 13:24:44</t>
  </si>
  <si>
    <t xml:space="preserve">設定変更_x000D_
データ変換:&lt;convTable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 ⇒ &lt;convTable cls=""&gt;&lt;conv code="0" item="不明" disp="不明" /&gt;&lt;conv code="1" item="A型" disp="A" /&gt;&lt;conv code="2" item="B型" disp="B" /&gt;&lt;conv code="3" item="O型" disp="O" /&gt;&lt;conv code="4" item="AB型" disp="AB" /&gt;&lt;/convTable&gt;_x000D_
</t>
  </si>
  <si>
    <t>その他の薬</t>
    <rPh sb="2" eb="3">
      <t>タ</t>
    </rPh>
    <rPh sb="4" eb="5">
      <t>クスリ</t>
    </rPh>
    <phoneticPr fontId="1"/>
  </si>
  <si>
    <t>看護の経過</t>
    <rPh sb="0" eb="2">
      <t>カンゴ</t>
    </rPh>
    <rPh sb="3" eb="5">
      <t>ケイカ</t>
    </rPh>
    <phoneticPr fontId="1"/>
  </si>
  <si>
    <t>(</t>
    <phoneticPr fontId="1"/>
  </si>
  <si>
    <t>)</t>
    <phoneticPr fontId="1"/>
  </si>
  <si>
    <t>透析条件</t>
  </si>
  <si>
    <t>透析条件</t>
    <rPh sb="0" eb="4">
      <t>トウセキジョウケン</t>
    </rPh>
    <phoneticPr fontId="1"/>
  </si>
  <si>
    <t>透析方法</t>
    <rPh sb="0" eb="2">
      <t>トウセキ</t>
    </rPh>
    <rPh sb="2" eb="4">
      <t>ホウホウ</t>
    </rPh>
    <phoneticPr fontId="1"/>
  </si>
  <si>
    <t>透析時間</t>
    <rPh sb="0" eb="4">
      <t>トウセキジカン</t>
    </rPh>
    <phoneticPr fontId="1"/>
  </si>
  <si>
    <t>透析日</t>
    <rPh sb="0" eb="3">
      <t>トウセキヒ</t>
    </rPh>
    <phoneticPr fontId="1"/>
  </si>
  <si>
    <t>血流量</t>
  </si>
  <si>
    <t>血流量</t>
    <rPh sb="0" eb="3">
      <t>ケツリュウリョウ</t>
    </rPh>
    <phoneticPr fontId="1"/>
  </si>
  <si>
    <t>抗凝固剤</t>
  </si>
  <si>
    <t>抗凝固剤</t>
    <rPh sb="0" eb="1">
      <t>コウ</t>
    </rPh>
    <rPh sb="1" eb="4">
      <t>ギョウコザイ</t>
    </rPh>
    <phoneticPr fontId="1"/>
  </si>
  <si>
    <t>開始時</t>
    <rPh sb="0" eb="3">
      <t>カイシジ</t>
    </rPh>
    <phoneticPr fontId="1"/>
  </si>
  <si>
    <t>持続</t>
    <rPh sb="0" eb="2">
      <t>ジゾク</t>
    </rPh>
    <phoneticPr fontId="1"/>
  </si>
  <si>
    <t>使用薬剤</t>
    <rPh sb="0" eb="4">
      <t>シヨウヤクザイ</t>
    </rPh>
    <phoneticPr fontId="1"/>
  </si>
  <si>
    <t>DW</t>
  </si>
  <si>
    <t>DW</t>
    <phoneticPr fontId="1"/>
  </si>
  <si>
    <t>CTR</t>
  </si>
  <si>
    <t>CTR</t>
    <phoneticPr fontId="1"/>
  </si>
  <si>
    <t>ダイアライザー</t>
    <phoneticPr fontId="1"/>
  </si>
  <si>
    <t>膜面積</t>
    <rPh sb="0" eb="3">
      <t>マクメンセキ</t>
    </rPh>
    <phoneticPr fontId="1"/>
  </si>
  <si>
    <t>シャント部位</t>
    <rPh sb="4" eb="6">
      <t>ブイ</t>
    </rPh>
    <phoneticPr fontId="1"/>
  </si>
  <si>
    <t>㎡</t>
    <phoneticPr fontId="1"/>
  </si>
  <si>
    <t>Kg</t>
    <phoneticPr fontId="1"/>
  </si>
  <si>
    <t>以上、簡単ですがよろしくお願いします。</t>
    <rPh sb="0" eb="2">
      <t>イジョウ</t>
    </rPh>
    <rPh sb="3" eb="5">
      <t>カンタン</t>
    </rPh>
    <rPh sb="13" eb="14">
      <t>ネガ</t>
    </rPh>
    <phoneticPr fontId="1"/>
  </si>
  <si>
    <t>ご不明な点がありましたら、ご連絡お願い致します。</t>
    <rPh sb="1" eb="3">
      <t>フメイ</t>
    </rPh>
    <rPh sb="4" eb="5">
      <t>テン</t>
    </rPh>
    <rPh sb="14" eb="16">
      <t>レンラク</t>
    </rPh>
    <rPh sb="17" eb="18">
      <t>ネガ</t>
    </rPh>
    <rPh sb="19" eb="20">
      <t>イタ</t>
    </rPh>
    <phoneticPr fontId="1"/>
  </si>
  <si>
    <t>TEL</t>
    <phoneticPr fontId="1"/>
  </si>
  <si>
    <t>記載日</t>
    <rPh sb="0" eb="3">
      <t>キサイビ</t>
    </rPh>
    <phoneticPr fontId="1"/>
  </si>
  <si>
    <t>##印刷情報.共通情報.印刷日時</t>
  </si>
  <si>
    <t>##施設.施設情報.施設名</t>
  </si>
  <si>
    <t>##患者情報.診療情報.診療科</t>
  </si>
  <si>
    <t>医師</t>
    <rPh sb="0" eb="2">
      <t>イシ</t>
    </rPh>
    <phoneticPr fontId="1"/>
  </si>
  <si>
    <t>看護課長</t>
    <rPh sb="0" eb="4">
      <t>カンゴカチョウ</t>
    </rPh>
    <phoneticPr fontId="1"/>
  </si>
  <si>
    <t>看護師</t>
    <rPh sb="0" eb="3">
      <t>カンゴシ</t>
    </rPh>
    <phoneticPr fontId="1"/>
  </si>
  <si>
    <t>##患者情報.入外・転入出.医師(転入元)</t>
  </si>
  <si>
    <t>##指示.透析条件.治療方法</t>
  </si>
  <si>
    <t>##=[##指示.透析条件.透析時間(分)]/60</t>
  </si>
  <si>
    <t>##=[##指示.透析条件.透析時間(分)]/60</t>
    <phoneticPr fontId="1"/>
  </si>
  <si>
    <t>##指示.透析パターン.透析パターン曜日</t>
  </si>
  <si>
    <t>##指示.透析条件.血流量</t>
  </si>
  <si>
    <t>##指示.透析条件.抗凝固剤</t>
  </si>
  <si>
    <t>##指示.透析条件.抗凝固剤ワンショット量</t>
  </si>
  <si>
    <t>##指示.透析条件.抗凝固剤単位</t>
  </si>
  <si>
    <t>ワンショット</t>
    <phoneticPr fontId="1"/>
  </si>
  <si>
    <t>##指示.透析条件.抗凝固剤持続速度</t>
  </si>
  <si>
    <t>##指示.透析条件.抗凝固剤持続速度単位</t>
  </si>
  <si>
    <t>終了</t>
    <rPh sb="0" eb="2">
      <t>シュウリョウ</t>
    </rPh>
    <phoneticPr fontId="1"/>
  </si>
  <si>
    <t>##指示.透析条件.IP電源自動切り</t>
  </si>
  <si>
    <t>時間前OFF</t>
    <rPh sb="0" eb="3">
      <t>ジカンマエ</t>
    </rPh>
    <phoneticPr fontId="1"/>
  </si>
  <si>
    <t>##指示.投薬.薬剤名</t>
  </si>
  <si>
    <t>##指示.投薬.単位</t>
  </si>
  <si>
    <t>##指示.投薬.薬剤名</t>
    <phoneticPr fontId="1"/>
  </si>
  <si>
    <t>回/週</t>
    <rPh sb="0" eb="1">
      <t>カイ</t>
    </rPh>
    <rPh sb="2" eb="3">
      <t>シュウ</t>
    </rPh>
    <phoneticPr fontId="1"/>
  </si>
  <si>
    <t>##指示.透析条件.DW</t>
  </si>
  <si>
    <t>##患者情報.身体情報(昇順).CTR</t>
  </si>
  <si>
    <t>％</t>
    <phoneticPr fontId="1"/>
  </si>
  <si>
    <t>##実績.体重情報.CTR測定日時</t>
  </si>
  <si>
    <t>##指示.透析条件.ダイアライザ</t>
  </si>
  <si>
    <t>##指示.ダイアライザ情報.面積</t>
  </si>
  <si>
    <t>##指示.ベッド情報.シャント位置</t>
  </si>
  <si>
    <t>##指示.VA情報.画像</t>
  </si>
  <si>
    <t>##指示.VA情報.画像</t>
    <phoneticPr fontId="1"/>
  </si>
  <si>
    <t>指示</t>
  </si>
  <si>
    <t>治療方法</t>
  </si>
  <si>
    <t>treatment_name</t>
  </si>
  <si>
    <t>HDF</t>
  </si>
  <si>
    <t>L22:AJ23</t>
  </si>
  <si>
    <t>dw</t>
  </si>
  <si>
    <t>55.00</t>
  </si>
  <si>
    <t>0.00</t>
  </si>
  <si>
    <t>AQ22:BP23</t>
  </si>
  <si>
    <t>7</t>
  </si>
  <si>
    <t>L24:AC25</t>
  </si>
  <si>
    <t>身体情報(昇順)</t>
  </si>
  <si>
    <t>38</t>
  </si>
  <si>
    <t>ctr</t>
  </si>
  <si>
    <t>35.05</t>
  </si>
  <si>
    <t>AQ24:AX25</t>
  </si>
  <si>
    <t>患者情報.身体情報(昇順)</t>
  </si>
  <si>
    <t>実績</t>
  </si>
  <si>
    <t>体重情報</t>
  </si>
  <si>
    <t>CTR測定日時</t>
  </si>
  <si>
    <t>ctr_measure_date</t>
  </si>
  <si>
    <t>BC24:BO25</t>
  </si>
  <si>
    <t>ダイアライザ</t>
  </si>
  <si>
    <t>dialyzer</t>
  </si>
  <si>
    <t>FDX-120GW</t>
  </si>
  <si>
    <t>AV26:BR27</t>
  </si>
  <si>
    <t>透析パターン</t>
  </si>
  <si>
    <t>透析パターン曜日</t>
  </si>
  <si>
    <t>202</t>
  </si>
  <si>
    <t>treat_week</t>
  </si>
  <si>
    <t>月</t>
  </si>
  <si>
    <t>BS26</t>
  </si>
  <si>
    <t>blood_flow</t>
  </si>
  <si>
    <t>180</t>
  </si>
  <si>
    <t>L28:AC29</t>
  </si>
  <si>
    <t>ダイアライザ情報</t>
  </si>
  <si>
    <t>面積</t>
  </si>
  <si>
    <t>45</t>
  </si>
  <si>
    <t>area</t>
  </si>
  <si>
    <t>1.2</t>
  </si>
  <si>
    <t>0.0</t>
  </si>
  <si>
    <t>AV28:BP29</t>
  </si>
  <si>
    <t>anti_coagulant_name</t>
  </si>
  <si>
    <t>1234567</t>
  </si>
  <si>
    <t>L30:AJ31</t>
  </si>
  <si>
    <t>ベッド情報</t>
  </si>
  <si>
    <t>シャント位置</t>
  </si>
  <si>
    <t>shunt_position</t>
  </si>
  <si>
    <t>左</t>
  </si>
  <si>
    <t>22</t>
  </si>
  <si>
    <t>AV30:BR31</t>
  </si>
  <si>
    <t>抗凝固剤ワンショット量</t>
  </si>
  <si>
    <t>anti_coagulant_one_shot_amount</t>
  </si>
  <si>
    <t>1000</t>
  </si>
  <si>
    <t>L32:Z33</t>
  </si>
  <si>
    <t>抗凝固剤単位</t>
  </si>
  <si>
    <t>anti_coagulant_sustained_amount_unit</t>
  </si>
  <si>
    <t>U</t>
  </si>
  <si>
    <t>AA32:AC33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</si>
  <si>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</si>
  <si>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</si>
  <si>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</si>
  <si>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</si>
  <si>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</si>
  <si>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</si>
  <si>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</si>
  <si>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</si>
  <si>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AK32:BR36</t>
  </si>
  <si>
    <t>true</t>
  </si>
  <si>
    <t>抗凝固剤持続速度</t>
  </si>
  <si>
    <t>anti_coagulant_sustained_speed</t>
  </si>
  <si>
    <t>500</t>
  </si>
  <si>
    <t>L34:W36</t>
  </si>
  <si>
    <t>抗凝固剤持続速度単位</t>
  </si>
  <si>
    <t>anti_coagulant_sustained_speed_unit</t>
  </si>
  <si>
    <t>U/h</t>
  </si>
  <si>
    <t>X34:Z36</t>
  </si>
  <si>
    <t>AD34:AE36</t>
  </si>
  <si>
    <t>投薬</t>
  </si>
  <si>
    <t>薬剤名</t>
  </si>
  <si>
    <t>4</t>
  </si>
  <si>
    <t>medi_name</t>
  </si>
  <si>
    <t>テスト薬剤１</t>
  </si>
  <si>
    <t>L37:W38</t>
  </si>
  <si>
    <t>&lt;SelectSetting&gt;&lt;Item tag="Medicine" checkState="Checked" /&gt;&lt;/SelectSetting&gt;</t>
  </si>
  <si>
    <t>Medicine</t>
  </si>
  <si>
    <t>指示.投薬</t>
  </si>
  <si>
    <t>X37:Z38</t>
  </si>
  <si>
    <t>印刷情報</t>
  </si>
  <si>
    <t>共通情報</t>
  </si>
  <si>
    <t>印刷日時</t>
  </si>
  <si>
    <t>prt_dt</t>
  </si>
  <si>
    <t>2011/06/03</t>
  </si>
  <si>
    <t>G55:V56</t>
  </si>
  <si>
    <t>施設</t>
  </si>
  <si>
    <t>施設情報</t>
  </si>
  <si>
    <t>施設名</t>
  </si>
  <si>
    <t>300</t>
  </si>
  <si>
    <t>facility_name</t>
  </si>
  <si>
    <t>大塚医院</t>
  </si>
  <si>
    <t>AA55:AW56</t>
  </si>
  <si>
    <t>診療情報</t>
  </si>
  <si>
    <t>診療科</t>
  </si>
  <si>
    <t>main_course_name</t>
  </si>
  <si>
    <t>泌尿器科</t>
  </si>
  <si>
    <t>13</t>
  </si>
  <si>
    <t>AX55:BK56</t>
  </si>
  <si>
    <t>医師(転入元)</t>
  </si>
  <si>
    <t>from_doctor_name</t>
  </si>
  <si>
    <t>テスト医師１</t>
  </si>
  <si>
    <t>AT57:BK58</t>
  </si>
  <si>
    <t>17</t>
  </si>
  <si>
    <t>2025/07/02 15:12:21</t>
  </si>
  <si>
    <t xml:space="preserve">新規追加_x000D_
表示文字数:24_x000D_
改頁しない_x000D_
プレビューデータ:HDF_x000D_
書式:G/標準_x000D_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</si>
  <si>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</si>
  <si>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プレビューデータ:7_x000D_
書式:0_x000D_
縮小しない_x000D_
テンプレート内外:_x000D_
</t>
  </si>
  <si>
    <t xml:space="preserve">新規追加_x000D_
改頁しない_x000D_
繰返場所:AQ24:AX25_x000D_
グループ名:患者情報.身体情報(昇順)_x000D_
プレビューデータ:35.05_x000D_
書式:0.00_x000D_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</si>
  <si>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</si>
  <si>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改頁しない_x000D_
プレビューデータ:月_x000D_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</si>
  <si>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</si>
  <si>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プレビューデータ:1.2_x000D_
書式:0.0_x000D_
縮小しない_x000D_
テンプレート内外:_x000D_
</t>
  </si>
  <si>
    <t xml:space="preserve">新規追加_x000D_
表示文字数:24_x000D_
改頁しない_x000D_
プレビューデータ:1234567_x000D_
書式:G/標準_x000D_
縮小しない_x000D_
テンプレート内外:_x000D_
</t>
  </si>
  <si>
    <t xml:space="preserve">新規追加_x000D_
表示文字数:22_x000D_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</si>
  <si>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</si>
  <si>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</si>
  <si>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</si>
  <si>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</si>
  <si>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</si>
  <si>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プレビューデータ:切_x000D_
書式:G/標準_x000D_
データ変換:&lt;convTable cls="IP電源自動切り"&gt;&lt;conv code="0" item="切" disp="切" /&gt;&lt;conv code="1" item="入" disp="入" /&gt;&lt;/convTable&gt;_x000D_
縮小しない_x000D_
テンプレート内外:_x000D_
</t>
  </si>
  <si>
    <t xml:space="preserve">新規追加_x000D_
改頁しない_x000D_
繰返場所:L37:W38_x000D_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</si>
  <si>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繰返場所:X37:Z38_x000D_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</si>
  <si>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プレビューデータ:2011/06/03_x000D_
書式:yyyy/mm/dd_x000D_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</si>
  <si>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</si>
  <si>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 xml:space="preserve">新規追加_x000D_
表示文字数:13_x000D_
改頁しない_x000D_
プレビューデータ:泌尿器科_x000D_
書式:G/標準_x000D_
縮小しない_x000D_
テンプレート内外:_x000D_
</t>
  </si>
  <si>
    <t xml:space="preserve">新規追加_x000D_
表示文字数:17_x000D_
改頁しない_x000D_
繰返場所:AT57:BK58_x000D_
グループ名:患者情報.入外・転入出_x000D_
プレビューデータ:テスト医師１_x000D_
書式:G/標準_x000D_
縮小しない_x000D_
テンプレート内外:_x000D_
</t>
  </si>
  <si>
    <t>指示.投薬.指示.投薬.L37:W38</t>
  </si>
  <si>
    <t>患者情報.身体情報(昇順).患者情報.身体情報(昇順).AQ24:AX25</t>
  </si>
  <si>
    <t>2025/07/02 15:12:22</t>
  </si>
  <si>
    <t xml:space="preserve">改頁しない_x000D_
抽出条件:&lt;SelectSetting&gt;&lt;Item tag="Medicine" checkState="Checked" /&gt;&lt;/SelectSetting&gt;_x000D_
</t>
  </si>
  <si>
    <t>##=[##指示.投薬.数量]&amp;[##指示.投薬.単位]</t>
  </si>
  <si>
    <t>##=[##指示.投薬.数量]&amp;[##指示.投薬.単位]</t>
    <phoneticPr fontId="1"/>
  </si>
  <si>
    <t>##指示.透析条件.IP電源自動切り時間</t>
  </si>
  <si>
    <t>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</t>
  </si>
  <si>
    <t>2025/07/02 15:20:39</t>
  </si>
  <si>
    <t xml:space="preserve">設定変更_x000D_
プレビューデータ:切 ⇒ 0_x000D_
書式:G/標準 ⇒ 0_x000D_
データ変換:&lt;convTable cls=""&gt;&lt;conv code="0" item="切" disp="切" /&gt;&lt;conv code="1" item="入" disp="入" /&gt;&lt;/convTable&gt; ⇒ _x000D_
</t>
  </si>
  <si>
    <t xml:space="preserve">設定変更_x000D_
繰返場所:X37:Z38 ⇒ _x000D_
グループ名:指示.投薬 ⇒ _x000D_
プレビューデータ:本 ⇒ 0_x000D_
抽出条件:&lt;SelectSetting&gt;&lt;Item tag="Medicine" checkState="Checked" /&gt;&lt;/SelectSetting&gt; ⇒ _x000D_
</t>
  </si>
  <si>
    <t>##施設.施設情報.電話番号1</t>
  </si>
  <si>
    <t>電話番号1</t>
  </si>
  <si>
    <t>phone_no1</t>
  </si>
  <si>
    <t>028-621-7600</t>
  </si>
  <si>
    <t>AQ52:BK53</t>
  </si>
  <si>
    <t>false</t>
  </si>
  <si>
    <t>2025/07/02 15:31:34</t>
  </si>
  <si>
    <t xml:space="preserve">新規追加_x000D_
改頁しない_x000D_
プレビューデータ:028-621-7600_x000D_
書式:G/標準_x000D_
縮小しない_x000D_
テンプレート内外:_x000D_
</t>
  </si>
  <si>
    <t>##=[##指示.透析条件.IP電源自動切り時間]/60</t>
  </si>
  <si>
    <t>##=[##指示.透析条件.IP電源自動切り時間]/60</t>
    <phoneticPr fontId="1"/>
  </si>
  <si>
    <t>##指示.透析条件.抗凝固剤総量</t>
  </si>
  <si>
    <t>L30</t>
  </si>
  <si>
    <t>AD30:AG31</t>
  </si>
  <si>
    <t>AH30:AJ31</t>
  </si>
  <si>
    <t>2025/07/09 16:27:24</t>
  </si>
  <si>
    <t xml:space="preserve">新規追加_x000D_
改頁しない_x000D_
プレビューデータ:1234567_x000D_
書式:G/標準_x000D_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</si>
  <si>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</si>
  <si>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>L30:AC31</t>
  </si>
  <si>
    <t>2025/07/09 16:30:01</t>
  </si>
  <si>
    <t xml:space="preserve">新規追加_x000D_
表示文字数:23_x000D_
改頁しない_x000D_
プレビューデータ:1234567_x000D_
書式:G/標準_x000D_
縮小しない_x000D_
テンプレート内外:_x000D_
</t>
  </si>
  <si>
    <t>CanBarCode</t>
  </si>
  <si>
    <t>BarCode</t>
  </si>
  <si>
    <t>2025/10/15 09:21:49</t>
  </si>
  <si>
    <t xml:space="preserve">出力値のない列は省略する設定: ⇒ 0_x000D_
</t>
  </si>
  <si>
    <t>BE9:BK10</t>
  </si>
  <si>
    <t>2025/10/17 09:39:32</t>
  </si>
  <si>
    <t xml:space="preserve">新規追加_x000D_
改頁しない_x000D_
プレビューデータ:Rh+_x000D_
データ変換:&lt;convTable cls="血液型Rh型"&gt;&lt;conv code="0" item="不明" disp="不明" /&gt;&lt;conv code="1" item="Rh+" disp="Rh+" /&gt;&lt;conv code="2" item="Rh-" disp="Rh-" /&gt;&lt;/convTable&gt;_x000D_
縮小しない_x000D_
テンプレート内外:_x000D_
</t>
  </si>
  <si>
    <t>2025/10/17 09:43:39</t>
  </si>
  <si>
    <t xml:space="preserve">設定変更_x000D_
データ変換:&lt;convTable cls=""&gt;&lt;conv code="0" item="不明" disp="不明" /&gt;&lt;conv code="1" item="Rh+" disp="Rh+" /&gt;&lt;conv code="2" item="Rh-" disp="Rh-" /&gt;&lt;/convTable&gt; ⇒ &lt;convTable cls="血液型Rh型"&gt;&lt;conv code="0" item="不明" disp="不明" /&gt;&lt;conv code="1" item="Rh+" disp="Rh+" /&gt;&lt;conv code="2" item="Rh-" disp="Rh-" /&gt;&lt;/convTable&gt;_x000D_
</t>
  </si>
  <si>
    <t>2025/10/17 09:49:36</t>
  </si>
  <si>
    <t>2025/10/17 09:53:46</t>
  </si>
  <si>
    <t>2025/10/17 09:55:06</t>
  </si>
  <si>
    <t>2025/10/17 09:56:49</t>
  </si>
  <si>
    <t>2025/10/17 10:01:03</t>
  </si>
  <si>
    <t xml:space="preserve">設定変更_x000D_
書式: ⇒ G/標準_x000D_
データ変換:&lt;convTable cls=""&gt;&lt;conv code="0" item="不明" disp="不明" /&gt;&lt;conv code="1" item="Rh+" disp="Rh+" /&gt;&lt;conv code="2" item="Rh-" disp="Rh-" /&gt;&lt;/convTable&gt; ⇒ &lt;convTable cls="血液型Rh型"&gt;&lt;conv code="0" item="不明" disp="不明" /&gt;&lt;conv code="1" item="Rh+" disp="Rh+" /&gt;&lt;conv code="2" item="Rh-" disp="Rh-" /&gt;&lt;/convTable&gt;_x000D_
</t>
  </si>
  <si>
    <t>時間</t>
    <phoneticPr fontId="1"/>
  </si>
  <si>
    <t>ml/min</t>
    <phoneticPr fontId="1"/>
  </si>
  <si>
    <t>L24:Z25</t>
  </si>
  <si>
    <t>L28:Z29</t>
  </si>
  <si>
    <t>2025/10/17 10:23:51</t>
  </si>
  <si>
    <t>2025/10/17 10:25:02</t>
  </si>
  <si>
    <t>2025/10/17 10:30:13</t>
  </si>
  <si>
    <t>&lt;convTable cls=""&gt;&lt;conv code="0" item="不明" disp="不明" /&gt;&lt;conv code="1" item="Rh+" disp="Rh+" /&gt;&lt;conv code="2" item="Rh-" disp="Rh-" /&gt;&lt;/convTable&gt;</t>
  </si>
  <si>
    <t>2025/10/21 11:05:22</t>
  </si>
  <si>
    <t xml:space="preserve">新規追加_x000D_
表示文字数:22_x000D_
改頁しない_x000D_
プレビューデータ:1234567_x000D_
縮小しない_x000D_
テンプレート内外:_x000D_
</t>
  </si>
  <si>
    <t>2025/10/21 11:05:59</t>
  </si>
  <si>
    <t xml:space="preserve">設定変更_x000D_
書式:0.00 ⇒ 0_x000D_
</t>
  </si>
  <si>
    <t xml:space="preserve">設定変更_x000D_
書式: ⇒ G/標準_x000D_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</si>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</sst>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2" xfId="0" applyFont="1" applyBorder="1">
      <alignment vertical="center"/>
    </xf>
    <xf numFmtId="0" fontId="2" fillId="2" borderId="0" xfId="0" applyNumberFormat="1" applyFont="1" applyFill="1" applyAlignment="1">
      <alignment vertical="center" shrinkToFit="1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 shrinkToFit="1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NumberFormat="1" applyFont="1" applyAlignment="1">
      <alignment horizontal="center" vertical="center" shrinkToFit="1"/>
    </xf>
    <xf numFmtId="0" fontId="4" fillId="0" borderId="6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2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top" shrinkToFit="1"/>
    </xf>
    <xf numFmtId="0" fontId="4" fillId="0" borderId="6" xfId="0" applyNumberFormat="1" applyFont="1" applyBorder="1" applyAlignment="1">
      <alignment horizontal="center" vertical="top" shrinkToFit="1"/>
    </xf>
    <xf numFmtId="0" fontId="4" fillId="0" borderId="6" xfId="0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shrinkToFit="1"/>
    </xf>
    <xf numFmtId="0" fontId="2" fillId="0" borderId="0" xfId="0" applyFont="1" applyFill="1" applyAlignment="1">
      <alignment horizontal="center" vertical="center"/>
    </xf>
    <xf numFmtId="0" fontId="4" fillId="0" borderId="6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7" xfId="0" applyNumberFormat="1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 textRotation="255"/>
    </xf>
    <xf numFmtId="1" fontId="4" fillId="0" borderId="6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center" vertical="center" shrinkToFit="1"/>
    </xf>
    <xf numFmtId="0" fontId="4" fillId="0" borderId="5" xfId="0" applyNumberFormat="1" applyFont="1" applyBorder="1" applyAlignment="1">
      <alignment horizontal="center" vertical="center" shrinkToFit="1"/>
    </xf>
    <xf numFmtId="177" fontId="4" fillId="0" borderId="6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center" vertical="center" shrinkToFit="1"/>
    </xf>
    <xf numFmtId="0" fontId="2" fillId="0" borderId="3" xfId="0" applyNumberFormat="1" applyFont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right" vertical="center"/>
    </xf>
    <xf numFmtId="1" fontId="4" fillId="0" borderId="2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0" fontId="4" fillId="0" borderId="5" xfId="0" applyNumberFormat="1" applyFont="1" applyBorder="1" applyAlignment="1">
      <alignment horizontal="left" vertical="center" shrinkToFit="1"/>
    </xf>
    <xf numFmtId="0" fontId="4" fillId="0" borderId="3" xfId="0" applyNumberFormat="1" applyFont="1" applyBorder="1" applyAlignment="1">
      <alignment horizontal="left" vertical="center" shrinkToFit="1"/>
    </xf>
    <xf numFmtId="0" fontId="4" fillId="0" borderId="4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 shrinkToFit="1"/>
    </xf>
    <xf numFmtId="0" fontId="5" fillId="0" borderId="4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top"/>
    </xf>
    <xf numFmtId="176" fontId="4" fillId="0" borderId="6" xfId="0" applyNumberFormat="1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center" vertical="center" shrinkToFit="1"/>
    </xf>
    <xf numFmtId="0" fontId="4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E40E-AAB8-4608-96F1-EA65FA994787}">
  <dimension ref="A1:E103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56.25" x14ac:dyDescent="0.4">
      <c r="A3" s="1" t="s">
        <v>3</v>
      </c>
      <c r="B3" s="1" t="s">
        <v>58</v>
      </c>
      <c r="C3" s="1" t="s">
        <v>59</v>
      </c>
      <c r="D3" s="1" t="s">
        <v>1</v>
      </c>
      <c r="E3" s="3" t="s">
        <v>60</v>
      </c>
    </row>
    <row r="4" spans="1:5" ht="56.25" x14ac:dyDescent="0.4">
      <c r="A4" s="1" t="s">
        <v>3</v>
      </c>
      <c r="B4" s="1" t="s">
        <v>61</v>
      </c>
      <c r="C4" s="1" t="s">
        <v>59</v>
      </c>
      <c r="D4" s="1" t="s">
        <v>1</v>
      </c>
      <c r="E4" s="3" t="s">
        <v>60</v>
      </c>
    </row>
    <row r="5" spans="1:5" ht="409.5" x14ac:dyDescent="0.4">
      <c r="A5" s="1" t="s">
        <v>3</v>
      </c>
      <c r="B5" s="1" t="s">
        <v>152</v>
      </c>
      <c r="C5" s="1" t="s">
        <v>70</v>
      </c>
      <c r="D5" s="1" t="s">
        <v>85</v>
      </c>
      <c r="E5" s="3" t="s">
        <v>153</v>
      </c>
    </row>
    <row r="6" spans="1:5" ht="337.5" x14ac:dyDescent="0.4">
      <c r="A6" s="1" t="s">
        <v>3</v>
      </c>
      <c r="B6" s="1" t="s">
        <v>152</v>
      </c>
      <c r="C6" s="1" t="s">
        <v>62</v>
      </c>
      <c r="D6" s="1" t="s">
        <v>93</v>
      </c>
      <c r="E6" s="3" t="s">
        <v>154</v>
      </c>
    </row>
    <row r="7" spans="1:5" ht="337.5" x14ac:dyDescent="0.4">
      <c r="A7" s="1" t="s">
        <v>3</v>
      </c>
      <c r="B7" s="1" t="s">
        <v>152</v>
      </c>
      <c r="C7" s="1" t="s">
        <v>67</v>
      </c>
      <c r="D7" s="1" t="s">
        <v>98</v>
      </c>
      <c r="E7" s="3" t="s">
        <v>155</v>
      </c>
    </row>
    <row r="8" spans="1:5" ht="318.75" x14ac:dyDescent="0.4">
      <c r="A8" s="1" t="s">
        <v>3</v>
      </c>
      <c r="B8" s="1" t="s">
        <v>152</v>
      </c>
      <c r="C8" s="1" t="s">
        <v>63</v>
      </c>
      <c r="D8" s="1" t="s">
        <v>104</v>
      </c>
      <c r="E8" s="3" t="s">
        <v>156</v>
      </c>
    </row>
    <row r="9" spans="1:5" ht="409.5" x14ac:dyDescent="0.4">
      <c r="A9" s="1" t="s">
        <v>3</v>
      </c>
      <c r="B9" s="1" t="s">
        <v>152</v>
      </c>
      <c r="C9" s="1" t="s">
        <v>68</v>
      </c>
      <c r="D9" s="1" t="s">
        <v>108</v>
      </c>
      <c r="E9" s="3" t="s">
        <v>157</v>
      </c>
    </row>
    <row r="10" spans="1:5" ht="409.5" x14ac:dyDescent="0.4">
      <c r="A10" s="1" t="s">
        <v>3</v>
      </c>
      <c r="B10" s="1" t="s">
        <v>152</v>
      </c>
      <c r="C10" s="1" t="s">
        <v>69</v>
      </c>
      <c r="D10" s="1" t="s">
        <v>112</v>
      </c>
      <c r="E10" s="3" t="s">
        <v>158</v>
      </c>
    </row>
    <row r="11" spans="1:5" ht="243.75" x14ac:dyDescent="0.4">
      <c r="A11" s="1" t="s">
        <v>3</v>
      </c>
      <c r="B11" s="1" t="s">
        <v>152</v>
      </c>
      <c r="C11" s="1" t="s">
        <v>64</v>
      </c>
      <c r="D11" s="1" t="s">
        <v>117</v>
      </c>
      <c r="E11" s="3" t="s">
        <v>159</v>
      </c>
    </row>
    <row r="12" spans="1:5" ht="409.5" x14ac:dyDescent="0.4">
      <c r="A12" s="1" t="s">
        <v>3</v>
      </c>
      <c r="B12" s="1" t="s">
        <v>152</v>
      </c>
      <c r="C12" s="1" t="s">
        <v>65</v>
      </c>
      <c r="D12" s="1" t="s">
        <v>122</v>
      </c>
      <c r="E12" s="3" t="s">
        <v>160</v>
      </c>
    </row>
    <row r="13" spans="1:5" ht="409.5" x14ac:dyDescent="0.4">
      <c r="A13" s="1" t="s">
        <v>3</v>
      </c>
      <c r="B13" s="1" t="s">
        <v>152</v>
      </c>
      <c r="C13" s="1" t="s">
        <v>72</v>
      </c>
      <c r="D13" s="1" t="s">
        <v>128</v>
      </c>
      <c r="E13" s="3" t="s">
        <v>161</v>
      </c>
    </row>
    <row r="14" spans="1:5" ht="409.5" x14ac:dyDescent="0.4">
      <c r="A14" s="1" t="s">
        <v>3</v>
      </c>
      <c r="B14" s="1" t="s">
        <v>152</v>
      </c>
      <c r="C14" s="1" t="s">
        <v>74</v>
      </c>
      <c r="D14" s="1" t="s">
        <v>136</v>
      </c>
      <c r="E14" s="3" t="s">
        <v>162</v>
      </c>
    </row>
    <row r="15" spans="1:5" ht="409.5" x14ac:dyDescent="0.4">
      <c r="A15" s="1" t="s">
        <v>3</v>
      </c>
      <c r="B15" s="1" t="s">
        <v>152</v>
      </c>
      <c r="C15" s="1" t="s">
        <v>75</v>
      </c>
      <c r="D15" s="1" t="s">
        <v>142</v>
      </c>
      <c r="E15" s="3" t="s">
        <v>163</v>
      </c>
    </row>
    <row r="16" spans="1:5" ht="409.5" x14ac:dyDescent="0.4">
      <c r="A16" s="1" t="s">
        <v>3</v>
      </c>
      <c r="B16" s="1" t="s">
        <v>152</v>
      </c>
      <c r="C16" s="1" t="s">
        <v>66</v>
      </c>
      <c r="D16" s="1" t="s">
        <v>148</v>
      </c>
      <c r="E16" s="3" t="s">
        <v>164</v>
      </c>
    </row>
    <row r="17" spans="1:5" ht="56.25" x14ac:dyDescent="0.4">
      <c r="A17" s="1" t="s">
        <v>3</v>
      </c>
      <c r="B17" s="1" t="s">
        <v>152</v>
      </c>
      <c r="C17" s="1" t="s">
        <v>165</v>
      </c>
      <c r="D17" s="1" t="s">
        <v>169</v>
      </c>
      <c r="E17" s="3" t="s">
        <v>170</v>
      </c>
    </row>
    <row r="18" spans="1:5" ht="56.25" x14ac:dyDescent="0.4">
      <c r="A18" s="1" t="s">
        <v>3</v>
      </c>
      <c r="B18" s="1" t="s">
        <v>152</v>
      </c>
      <c r="C18" s="1" t="s">
        <v>166</v>
      </c>
      <c r="D18" s="1" t="s">
        <v>169</v>
      </c>
      <c r="E18" s="3" t="s">
        <v>170</v>
      </c>
    </row>
    <row r="19" spans="1:5" ht="56.25" x14ac:dyDescent="0.4">
      <c r="A19" s="1" t="s">
        <v>3</v>
      </c>
      <c r="B19" s="1" t="s">
        <v>152</v>
      </c>
      <c r="C19" s="1" t="s">
        <v>167</v>
      </c>
      <c r="D19" s="1" t="s">
        <v>169</v>
      </c>
      <c r="E19" s="3" t="s">
        <v>170</v>
      </c>
    </row>
    <row r="20" spans="1:5" ht="56.25" x14ac:dyDescent="0.4">
      <c r="A20" s="1" t="s">
        <v>3</v>
      </c>
      <c r="B20" s="1" t="s">
        <v>152</v>
      </c>
      <c r="C20" s="1" t="s">
        <v>168</v>
      </c>
      <c r="D20" s="1" t="s">
        <v>169</v>
      </c>
      <c r="E20" s="3" t="s">
        <v>170</v>
      </c>
    </row>
    <row r="21" spans="1:5" ht="56.25" x14ac:dyDescent="0.4">
      <c r="A21" s="1" t="s">
        <v>3</v>
      </c>
      <c r="B21" s="1" t="s">
        <v>171</v>
      </c>
      <c r="C21" s="1" t="s">
        <v>59</v>
      </c>
      <c r="D21" s="1" t="s">
        <v>1</v>
      </c>
      <c r="E21" s="3" t="s">
        <v>60</v>
      </c>
    </row>
    <row r="22" spans="1:5" ht="409.5" x14ac:dyDescent="0.4">
      <c r="A22" s="1" t="s">
        <v>3</v>
      </c>
      <c r="B22" s="1" t="s">
        <v>172</v>
      </c>
      <c r="C22" s="1" t="s">
        <v>68</v>
      </c>
      <c r="D22" s="1" t="s">
        <v>108</v>
      </c>
      <c r="E22" s="3" t="s">
        <v>173</v>
      </c>
    </row>
    <row r="23" spans="1:5" ht="409.5" x14ac:dyDescent="0.4">
      <c r="A23" s="1" t="s">
        <v>3</v>
      </c>
      <c r="B23" s="1" t="s">
        <v>172</v>
      </c>
      <c r="C23" s="1" t="s">
        <v>75</v>
      </c>
      <c r="D23" s="1" t="s">
        <v>142</v>
      </c>
      <c r="E23" s="3" t="s">
        <v>174</v>
      </c>
    </row>
    <row r="24" spans="1:5" x14ac:dyDescent="0.4">
      <c r="A24" s="1" t="s">
        <v>3</v>
      </c>
      <c r="B24" s="1" t="s">
        <v>172</v>
      </c>
      <c r="C24" s="1" t="s">
        <v>168</v>
      </c>
      <c r="D24" s="1" t="s">
        <v>169</v>
      </c>
      <c r="E24" s="1" t="s">
        <v>175</v>
      </c>
    </row>
    <row r="25" spans="1:5" ht="56.25" x14ac:dyDescent="0.4">
      <c r="A25" s="1" t="s">
        <v>3</v>
      </c>
      <c r="B25" s="1" t="s">
        <v>172</v>
      </c>
      <c r="C25" s="1" t="s">
        <v>59</v>
      </c>
      <c r="D25" s="1" t="s">
        <v>1</v>
      </c>
      <c r="E25" s="3" t="s">
        <v>60</v>
      </c>
    </row>
    <row r="26" spans="1:5" ht="409.5" x14ac:dyDescent="0.4">
      <c r="A26" s="1" t="s">
        <v>3</v>
      </c>
      <c r="B26" s="1" t="s">
        <v>177</v>
      </c>
      <c r="C26" s="1" t="s">
        <v>68</v>
      </c>
      <c r="D26" s="1" t="s">
        <v>108</v>
      </c>
      <c r="E26" s="3" t="s">
        <v>173</v>
      </c>
    </row>
    <row r="27" spans="1:5" ht="409.5" x14ac:dyDescent="0.4">
      <c r="A27" s="1" t="s">
        <v>3</v>
      </c>
      <c r="B27" s="1" t="s">
        <v>177</v>
      </c>
      <c r="C27" s="1" t="s">
        <v>75</v>
      </c>
      <c r="D27" s="1" t="s">
        <v>142</v>
      </c>
      <c r="E27" s="3" t="s">
        <v>178</v>
      </c>
    </row>
    <row r="28" spans="1:5" ht="56.25" x14ac:dyDescent="0.4">
      <c r="A28" s="1" t="s">
        <v>3</v>
      </c>
      <c r="B28" s="1" t="s">
        <v>177</v>
      </c>
      <c r="C28" s="1" t="s">
        <v>59</v>
      </c>
      <c r="D28" s="1" t="s">
        <v>1</v>
      </c>
      <c r="E28" s="3" t="s">
        <v>60</v>
      </c>
    </row>
    <row r="29" spans="1:5" ht="409.5" x14ac:dyDescent="0.4">
      <c r="A29" s="1" t="s">
        <v>3</v>
      </c>
      <c r="B29" s="1" t="s">
        <v>181</v>
      </c>
      <c r="C29" s="1" t="s">
        <v>74</v>
      </c>
      <c r="D29" s="1" t="s">
        <v>179</v>
      </c>
      <c r="E29" s="3" t="s">
        <v>182</v>
      </c>
    </row>
    <row r="30" spans="1:5" ht="409.5" x14ac:dyDescent="0.4">
      <c r="A30" s="1" t="s">
        <v>3</v>
      </c>
      <c r="B30" s="1" t="s">
        <v>181</v>
      </c>
      <c r="C30" s="1" t="s">
        <v>75</v>
      </c>
      <c r="D30" s="1" t="s">
        <v>180</v>
      </c>
      <c r="E30" s="3" t="s">
        <v>183</v>
      </c>
    </row>
    <row r="31" spans="1:5" ht="409.5" x14ac:dyDescent="0.4">
      <c r="A31" s="1" t="s">
        <v>3</v>
      </c>
      <c r="B31" s="1" t="s">
        <v>181</v>
      </c>
      <c r="C31" s="1" t="s">
        <v>68</v>
      </c>
      <c r="D31" s="1" t="s">
        <v>108</v>
      </c>
      <c r="E31" s="3" t="s">
        <v>173</v>
      </c>
    </row>
    <row r="32" spans="1:5" ht="56.25" x14ac:dyDescent="0.4">
      <c r="A32" s="1" t="s">
        <v>3</v>
      </c>
      <c r="B32" s="1" t="s">
        <v>181</v>
      </c>
      <c r="C32" s="1" t="s">
        <v>59</v>
      </c>
      <c r="D32" s="1" t="s">
        <v>1</v>
      </c>
      <c r="E32" s="3" t="s">
        <v>60</v>
      </c>
    </row>
    <row r="33" spans="1:5" ht="409.5" x14ac:dyDescent="0.4">
      <c r="A33" s="1" t="s">
        <v>3</v>
      </c>
      <c r="B33" s="1" t="s">
        <v>187</v>
      </c>
      <c r="C33" s="1" t="s">
        <v>74</v>
      </c>
      <c r="D33" s="1" t="s">
        <v>185</v>
      </c>
      <c r="E33" s="3" t="s">
        <v>188</v>
      </c>
    </row>
    <row r="34" spans="1:5" ht="409.5" x14ac:dyDescent="0.4">
      <c r="A34" s="1" t="s">
        <v>3</v>
      </c>
      <c r="B34" s="1" t="s">
        <v>187</v>
      </c>
      <c r="C34" s="1" t="s">
        <v>75</v>
      </c>
      <c r="D34" s="1" t="s">
        <v>186</v>
      </c>
      <c r="E34" s="3" t="s">
        <v>189</v>
      </c>
    </row>
    <row r="35" spans="1:5" ht="409.5" x14ac:dyDescent="0.4">
      <c r="A35" s="1" t="s">
        <v>3</v>
      </c>
      <c r="B35" s="1" t="s">
        <v>187</v>
      </c>
      <c r="C35" s="1" t="s">
        <v>68</v>
      </c>
      <c r="D35" s="1" t="s">
        <v>108</v>
      </c>
      <c r="E35" s="3" t="s">
        <v>173</v>
      </c>
    </row>
    <row r="36" spans="1:5" x14ac:dyDescent="0.4">
      <c r="A36" s="1" t="s">
        <v>3</v>
      </c>
      <c r="B36" s="1" t="s">
        <v>187</v>
      </c>
      <c r="C36" s="1" t="s">
        <v>74</v>
      </c>
      <c r="D36" s="1" t="s">
        <v>179</v>
      </c>
      <c r="E36" s="1" t="s">
        <v>190</v>
      </c>
    </row>
    <row r="37" spans="1:5" x14ac:dyDescent="0.4">
      <c r="A37" s="1" t="s">
        <v>3</v>
      </c>
      <c r="B37" s="1" t="s">
        <v>187</v>
      </c>
      <c r="C37" s="1" t="s">
        <v>75</v>
      </c>
      <c r="D37" s="1" t="s">
        <v>180</v>
      </c>
      <c r="E37" s="1" t="s">
        <v>190</v>
      </c>
    </row>
    <row r="38" spans="1:5" ht="56.25" x14ac:dyDescent="0.4">
      <c r="A38" s="1" t="s">
        <v>3</v>
      </c>
      <c r="B38" s="1" t="s">
        <v>191</v>
      </c>
      <c r="C38" s="1" t="s">
        <v>59</v>
      </c>
      <c r="D38" s="1" t="s">
        <v>1</v>
      </c>
      <c r="E38" s="3" t="s">
        <v>60</v>
      </c>
    </row>
    <row r="39" spans="1:5" ht="409.5" x14ac:dyDescent="0.4">
      <c r="A39" s="1" t="s">
        <v>3</v>
      </c>
      <c r="B39" s="1" t="s">
        <v>192</v>
      </c>
      <c r="C39" s="1" t="s">
        <v>75</v>
      </c>
      <c r="D39" s="1" t="s">
        <v>186</v>
      </c>
      <c r="E39" s="3" t="s">
        <v>174</v>
      </c>
    </row>
    <row r="40" spans="1:5" ht="409.5" x14ac:dyDescent="0.4">
      <c r="A40" s="1" t="s">
        <v>3</v>
      </c>
      <c r="B40" s="1" t="s">
        <v>192</v>
      </c>
      <c r="C40" s="1" t="s">
        <v>68</v>
      </c>
      <c r="D40" s="1" t="s">
        <v>108</v>
      </c>
      <c r="E40" s="3" t="s">
        <v>173</v>
      </c>
    </row>
    <row r="41" spans="1:5" ht="56.25" x14ac:dyDescent="0.4">
      <c r="A41" s="1" t="s">
        <v>3</v>
      </c>
      <c r="B41" s="1" t="s">
        <v>193</v>
      </c>
      <c r="C41" s="1" t="s">
        <v>59</v>
      </c>
      <c r="D41" s="1" t="s">
        <v>1</v>
      </c>
      <c r="E41" s="3" t="s">
        <v>60</v>
      </c>
    </row>
    <row r="42" spans="1:5" ht="409.5" x14ac:dyDescent="0.4">
      <c r="A42" s="1" t="s">
        <v>3</v>
      </c>
      <c r="B42" s="1" t="s">
        <v>194</v>
      </c>
      <c r="C42" s="1" t="s">
        <v>75</v>
      </c>
      <c r="D42" s="1" t="s">
        <v>186</v>
      </c>
      <c r="E42" s="3" t="s">
        <v>174</v>
      </c>
    </row>
    <row r="43" spans="1:5" ht="409.5" x14ac:dyDescent="0.4">
      <c r="A43" s="1" t="s">
        <v>3</v>
      </c>
      <c r="B43" s="1" t="s">
        <v>194</v>
      </c>
      <c r="C43" s="1" t="s">
        <v>68</v>
      </c>
      <c r="D43" s="1" t="s">
        <v>108</v>
      </c>
      <c r="E43" s="3" t="s">
        <v>173</v>
      </c>
    </row>
    <row r="44" spans="1:5" ht="56.25" x14ac:dyDescent="0.4">
      <c r="A44" s="1" t="s">
        <v>3</v>
      </c>
      <c r="B44" s="1" t="s">
        <v>194</v>
      </c>
      <c r="C44" s="1" t="s">
        <v>59</v>
      </c>
      <c r="D44" s="1" t="s">
        <v>1</v>
      </c>
      <c r="E44" s="3" t="s">
        <v>60</v>
      </c>
    </row>
    <row r="45" spans="1:5" ht="409.5" x14ac:dyDescent="0.4">
      <c r="A45" s="1" t="s">
        <v>3</v>
      </c>
      <c r="B45" s="1" t="s">
        <v>196</v>
      </c>
      <c r="C45" s="1" t="s">
        <v>68</v>
      </c>
      <c r="D45" s="1" t="s">
        <v>108</v>
      </c>
      <c r="E45" s="3" t="s">
        <v>197</v>
      </c>
    </row>
    <row r="46" spans="1:5" x14ac:dyDescent="0.4">
      <c r="A46" s="1" t="s">
        <v>3</v>
      </c>
      <c r="B46" s="1" t="s">
        <v>196</v>
      </c>
      <c r="C46" s="1" t="s">
        <v>74</v>
      </c>
      <c r="D46" s="1" t="s">
        <v>185</v>
      </c>
      <c r="E46" s="1" t="s">
        <v>190</v>
      </c>
    </row>
    <row r="47" spans="1:5" x14ac:dyDescent="0.4">
      <c r="A47" s="1" t="s">
        <v>3</v>
      </c>
      <c r="B47" s="1" t="s">
        <v>196</v>
      </c>
      <c r="C47" s="1" t="s">
        <v>75</v>
      </c>
      <c r="D47" s="1" t="s">
        <v>186</v>
      </c>
      <c r="E47" s="1" t="s">
        <v>190</v>
      </c>
    </row>
    <row r="48" spans="1:5" ht="318.75" x14ac:dyDescent="0.4">
      <c r="A48" s="1" t="s">
        <v>3</v>
      </c>
      <c r="B48" s="1" t="s">
        <v>373</v>
      </c>
      <c r="C48" s="1" t="s">
        <v>234</v>
      </c>
      <c r="D48" s="1" t="s">
        <v>265</v>
      </c>
      <c r="E48" s="3" t="s">
        <v>374</v>
      </c>
    </row>
    <row r="49" spans="1:5" ht="262.5" x14ac:dyDescent="0.4">
      <c r="A49" s="1" t="s">
        <v>3</v>
      </c>
      <c r="B49" s="1" t="s">
        <v>373</v>
      </c>
      <c r="C49" s="1" t="s">
        <v>252</v>
      </c>
      <c r="D49" s="1" t="s">
        <v>269</v>
      </c>
      <c r="E49" s="3" t="s">
        <v>375</v>
      </c>
    </row>
    <row r="50" spans="1:5" ht="243.75" x14ac:dyDescent="0.4">
      <c r="A50" s="1" t="s">
        <v>3</v>
      </c>
      <c r="B50" s="1" t="s">
        <v>373</v>
      </c>
      <c r="C50" s="1" t="s">
        <v>235</v>
      </c>
      <c r="D50" s="1" t="s">
        <v>271</v>
      </c>
      <c r="E50" s="3" t="s">
        <v>376</v>
      </c>
    </row>
    <row r="51" spans="1:5" ht="393.75" x14ac:dyDescent="0.4">
      <c r="A51" s="1" t="s">
        <v>3</v>
      </c>
      <c r="B51" s="1" t="s">
        <v>373</v>
      </c>
      <c r="C51" s="1" t="s">
        <v>253</v>
      </c>
      <c r="D51" s="1" t="s">
        <v>276</v>
      </c>
      <c r="E51" s="3" t="s">
        <v>377</v>
      </c>
    </row>
    <row r="52" spans="1:5" ht="318.75" x14ac:dyDescent="0.4">
      <c r="A52" s="1" t="s">
        <v>3</v>
      </c>
      <c r="B52" s="1" t="s">
        <v>373</v>
      </c>
      <c r="C52" s="1" t="s">
        <v>255</v>
      </c>
      <c r="D52" s="1" t="s">
        <v>282</v>
      </c>
      <c r="E52" s="3" t="s">
        <v>156</v>
      </c>
    </row>
    <row r="53" spans="1:5" ht="300" x14ac:dyDescent="0.4">
      <c r="A53" s="1" t="s">
        <v>3</v>
      </c>
      <c r="B53" s="1" t="s">
        <v>373</v>
      </c>
      <c r="C53" s="1" t="s">
        <v>256</v>
      </c>
      <c r="D53" s="1" t="s">
        <v>286</v>
      </c>
      <c r="E53" s="3" t="s">
        <v>378</v>
      </c>
    </row>
    <row r="54" spans="1:5" ht="262.5" x14ac:dyDescent="0.4">
      <c r="A54" s="1" t="s">
        <v>3</v>
      </c>
      <c r="B54" s="1" t="s">
        <v>373</v>
      </c>
      <c r="C54" s="1" t="s">
        <v>237</v>
      </c>
      <c r="D54" s="1" t="s">
        <v>292</v>
      </c>
      <c r="E54" s="3" t="s">
        <v>379</v>
      </c>
    </row>
    <row r="55" spans="1:5" ht="262.5" x14ac:dyDescent="0.4">
      <c r="A55" s="1" t="s">
        <v>3</v>
      </c>
      <c r="B55" s="1" t="s">
        <v>373</v>
      </c>
      <c r="C55" s="1" t="s">
        <v>238</v>
      </c>
      <c r="D55" s="1" t="s">
        <v>295</v>
      </c>
      <c r="E55" s="3" t="s">
        <v>380</v>
      </c>
    </row>
    <row r="56" spans="1:5" ht="262.5" x14ac:dyDescent="0.4">
      <c r="A56" s="1" t="s">
        <v>3</v>
      </c>
      <c r="B56" s="1" t="s">
        <v>373</v>
      </c>
      <c r="C56" s="1" t="s">
        <v>257</v>
      </c>
      <c r="D56" s="1" t="s">
        <v>302</v>
      </c>
      <c r="E56" s="3" t="s">
        <v>381</v>
      </c>
    </row>
    <row r="57" spans="1:5" ht="337.5" x14ac:dyDescent="0.4">
      <c r="A57" s="1" t="s">
        <v>3</v>
      </c>
      <c r="B57" s="1" t="s">
        <v>373</v>
      </c>
      <c r="C57" s="1" t="s">
        <v>239</v>
      </c>
      <c r="D57" s="1" t="s">
        <v>305</v>
      </c>
      <c r="E57" s="3" t="s">
        <v>382</v>
      </c>
    </row>
    <row r="58" spans="1:5" ht="409.5" x14ac:dyDescent="0.4">
      <c r="A58" s="1" t="s">
        <v>3</v>
      </c>
      <c r="B58" s="1" t="s">
        <v>373</v>
      </c>
      <c r="C58" s="1" t="s">
        <v>258</v>
      </c>
      <c r="D58" s="1" t="s">
        <v>311</v>
      </c>
      <c r="E58" s="3" t="s">
        <v>383</v>
      </c>
    </row>
    <row r="59" spans="1:5" ht="262.5" x14ac:dyDescent="0.4">
      <c r="A59" s="1" t="s">
        <v>3</v>
      </c>
      <c r="B59" s="1" t="s">
        <v>373</v>
      </c>
      <c r="C59" s="1" t="s">
        <v>240</v>
      </c>
      <c r="D59" s="1" t="s">
        <v>315</v>
      </c>
      <c r="E59" s="3" t="s">
        <v>384</v>
      </c>
    </row>
    <row r="60" spans="1:5" ht="262.5" x14ac:dyDescent="0.4">
      <c r="A60" s="1" t="s">
        <v>3</v>
      </c>
      <c r="B60" s="1" t="s">
        <v>373</v>
      </c>
      <c r="C60" s="1" t="s">
        <v>241</v>
      </c>
      <c r="D60" s="1" t="s">
        <v>319</v>
      </c>
      <c r="E60" s="3" t="s">
        <v>385</v>
      </c>
    </row>
    <row r="61" spans="1:5" ht="409.5" x14ac:dyDescent="0.4">
      <c r="A61" s="1" t="s">
        <v>3</v>
      </c>
      <c r="B61" s="1" t="s">
        <v>373</v>
      </c>
      <c r="C61" s="1" t="s">
        <v>259</v>
      </c>
      <c r="D61" s="1" t="s">
        <v>328</v>
      </c>
      <c r="E61" s="3" t="s">
        <v>386</v>
      </c>
    </row>
    <row r="62" spans="1:5" ht="262.5" x14ac:dyDescent="0.4">
      <c r="A62" s="1" t="s">
        <v>3</v>
      </c>
      <c r="B62" s="1" t="s">
        <v>373</v>
      </c>
      <c r="C62" s="1" t="s">
        <v>243</v>
      </c>
      <c r="D62" s="1" t="s">
        <v>333</v>
      </c>
      <c r="E62" s="3" t="s">
        <v>387</v>
      </c>
    </row>
    <row r="63" spans="1:5" ht="281.25" x14ac:dyDescent="0.4">
      <c r="A63" s="1" t="s">
        <v>3</v>
      </c>
      <c r="B63" s="1" t="s">
        <v>373</v>
      </c>
      <c r="C63" s="1" t="s">
        <v>244</v>
      </c>
      <c r="D63" s="1" t="s">
        <v>337</v>
      </c>
      <c r="E63" s="3" t="s">
        <v>388</v>
      </c>
    </row>
    <row r="64" spans="1:5" ht="409.5" x14ac:dyDescent="0.4">
      <c r="A64" s="1" t="s">
        <v>3</v>
      </c>
      <c r="B64" s="1" t="s">
        <v>373</v>
      </c>
      <c r="C64" s="1" t="s">
        <v>246</v>
      </c>
      <c r="D64" s="1" t="s">
        <v>338</v>
      </c>
      <c r="E64" s="3" t="s">
        <v>389</v>
      </c>
    </row>
    <row r="65" spans="1:5" ht="409.5" x14ac:dyDescent="0.4">
      <c r="A65" s="1" t="s">
        <v>3</v>
      </c>
      <c r="B65" s="1" t="s">
        <v>373</v>
      </c>
      <c r="C65" s="1" t="s">
        <v>248</v>
      </c>
      <c r="D65" s="1" t="s">
        <v>344</v>
      </c>
      <c r="E65" s="3" t="s">
        <v>390</v>
      </c>
    </row>
    <row r="66" spans="1:5" ht="409.5" x14ac:dyDescent="0.4">
      <c r="A66" s="1" t="s">
        <v>3</v>
      </c>
      <c r="B66" s="1" t="s">
        <v>373</v>
      </c>
      <c r="C66" s="1" t="s">
        <v>249</v>
      </c>
      <c r="D66" s="1" t="s">
        <v>348</v>
      </c>
      <c r="E66" s="3" t="s">
        <v>391</v>
      </c>
    </row>
    <row r="67" spans="1:5" ht="318.75" x14ac:dyDescent="0.4">
      <c r="A67" s="1" t="s">
        <v>3</v>
      </c>
      <c r="B67" s="1" t="s">
        <v>373</v>
      </c>
      <c r="C67" s="1" t="s">
        <v>227</v>
      </c>
      <c r="D67" s="1" t="s">
        <v>354</v>
      </c>
      <c r="E67" s="3" t="s">
        <v>392</v>
      </c>
    </row>
    <row r="68" spans="1:5" ht="281.25" x14ac:dyDescent="0.4">
      <c r="A68" s="1" t="s">
        <v>3</v>
      </c>
      <c r="B68" s="1" t="s">
        <v>373</v>
      </c>
      <c r="C68" s="1" t="s">
        <v>228</v>
      </c>
      <c r="D68" s="1" t="s">
        <v>361</v>
      </c>
      <c r="E68" s="3" t="s">
        <v>393</v>
      </c>
    </row>
    <row r="69" spans="1:5" ht="318.75" x14ac:dyDescent="0.4">
      <c r="A69" s="1" t="s">
        <v>3</v>
      </c>
      <c r="B69" s="1" t="s">
        <v>373</v>
      </c>
      <c r="C69" s="1" t="s">
        <v>229</v>
      </c>
      <c r="D69" s="1" t="s">
        <v>367</v>
      </c>
      <c r="E69" s="3" t="s">
        <v>394</v>
      </c>
    </row>
    <row r="70" spans="1:5" ht="409.5" x14ac:dyDescent="0.4">
      <c r="A70" s="1" t="s">
        <v>3</v>
      </c>
      <c r="B70" s="1" t="s">
        <v>373</v>
      </c>
      <c r="C70" s="1" t="s">
        <v>233</v>
      </c>
      <c r="D70" s="1" t="s">
        <v>371</v>
      </c>
      <c r="E70" s="3" t="s">
        <v>395</v>
      </c>
    </row>
    <row r="71" spans="1:5" ht="281.25" x14ac:dyDescent="0.4">
      <c r="A71" s="1" t="s">
        <v>3</v>
      </c>
      <c r="B71" s="1" t="s">
        <v>398</v>
      </c>
      <c r="C71" s="1" t="s">
        <v>396</v>
      </c>
      <c r="D71" s="1" t="s">
        <v>169</v>
      </c>
      <c r="E71" s="3" t="s">
        <v>399</v>
      </c>
    </row>
    <row r="72" spans="1:5" ht="56.25" x14ac:dyDescent="0.4">
      <c r="A72" s="1" t="s">
        <v>3</v>
      </c>
      <c r="B72" s="1" t="s">
        <v>398</v>
      </c>
      <c r="C72" s="1" t="s">
        <v>397</v>
      </c>
      <c r="D72" s="1" t="s">
        <v>169</v>
      </c>
      <c r="E72" s="3" t="s">
        <v>170</v>
      </c>
    </row>
    <row r="73" spans="1:5" ht="409.5" x14ac:dyDescent="0.4">
      <c r="A73" s="1" t="s">
        <v>3</v>
      </c>
      <c r="B73" s="1" t="s">
        <v>404</v>
      </c>
      <c r="C73" s="1" t="s">
        <v>402</v>
      </c>
      <c r="D73" s="1" t="s">
        <v>338</v>
      </c>
      <c r="E73" s="3" t="s">
        <v>405</v>
      </c>
    </row>
    <row r="74" spans="1:5" ht="409.5" x14ac:dyDescent="0.4">
      <c r="A74" s="1" t="s">
        <v>3</v>
      </c>
      <c r="B74" s="1" t="s">
        <v>404</v>
      </c>
      <c r="C74" s="1" t="s">
        <v>400</v>
      </c>
      <c r="D74" s="1" t="s">
        <v>348</v>
      </c>
      <c r="E74" s="3" t="s">
        <v>406</v>
      </c>
    </row>
    <row r="75" spans="1:5" ht="300" x14ac:dyDescent="0.4">
      <c r="A75" s="1" t="s">
        <v>3</v>
      </c>
      <c r="B75" s="1" t="s">
        <v>413</v>
      </c>
      <c r="C75" s="1" t="s">
        <v>407</v>
      </c>
      <c r="D75" s="1" t="s">
        <v>411</v>
      </c>
      <c r="E75" s="3" t="s">
        <v>414</v>
      </c>
    </row>
    <row r="76" spans="1:5" ht="300" x14ac:dyDescent="0.4">
      <c r="A76" s="1" t="s">
        <v>3</v>
      </c>
      <c r="B76" s="1" t="s">
        <v>421</v>
      </c>
      <c r="C76" s="1" t="s">
        <v>239</v>
      </c>
      <c r="D76" s="1" t="s">
        <v>418</v>
      </c>
      <c r="E76" s="3" t="s">
        <v>422</v>
      </c>
    </row>
    <row r="77" spans="1:5" ht="262.5" x14ac:dyDescent="0.4">
      <c r="A77" s="1" t="s">
        <v>3</v>
      </c>
      <c r="B77" s="1" t="s">
        <v>421</v>
      </c>
      <c r="C77" s="1" t="s">
        <v>417</v>
      </c>
      <c r="D77" s="1" t="s">
        <v>419</v>
      </c>
      <c r="E77" s="3" t="s">
        <v>423</v>
      </c>
    </row>
    <row r="78" spans="1:5" ht="262.5" x14ac:dyDescent="0.4">
      <c r="A78" s="1" t="s">
        <v>3</v>
      </c>
      <c r="B78" s="1" t="s">
        <v>421</v>
      </c>
      <c r="C78" s="1" t="s">
        <v>241</v>
      </c>
      <c r="D78" s="1" t="s">
        <v>420</v>
      </c>
      <c r="E78" s="3" t="s">
        <v>385</v>
      </c>
    </row>
    <row r="79" spans="1:5" x14ac:dyDescent="0.4">
      <c r="A79" s="1" t="s">
        <v>3</v>
      </c>
      <c r="B79" s="1" t="s">
        <v>421</v>
      </c>
      <c r="C79" s="1" t="s">
        <v>239</v>
      </c>
      <c r="D79" s="1" t="s">
        <v>305</v>
      </c>
      <c r="E79" s="1" t="s">
        <v>190</v>
      </c>
    </row>
    <row r="80" spans="1:5" ht="337.5" x14ac:dyDescent="0.4">
      <c r="A80" s="1" t="s">
        <v>3</v>
      </c>
      <c r="B80" s="1" t="s">
        <v>425</v>
      </c>
      <c r="C80" s="1" t="s">
        <v>239</v>
      </c>
      <c r="D80" s="1" t="s">
        <v>424</v>
      </c>
      <c r="E80" s="3" t="s">
        <v>426</v>
      </c>
    </row>
    <row r="81" spans="1:5" x14ac:dyDescent="0.4">
      <c r="A81" s="1" t="s">
        <v>3</v>
      </c>
      <c r="B81" s="1" t="s">
        <v>425</v>
      </c>
      <c r="C81" s="1" t="s">
        <v>239</v>
      </c>
      <c r="D81" s="1" t="s">
        <v>418</v>
      </c>
      <c r="E81" s="1" t="s">
        <v>190</v>
      </c>
    </row>
    <row r="82" spans="1:5" ht="93.75" x14ac:dyDescent="0.4">
      <c r="A82" s="1" t="s">
        <v>3</v>
      </c>
      <c r="B82" s="1" t="s">
        <v>429</v>
      </c>
      <c r="C82" s="1" t="s">
        <v>39</v>
      </c>
      <c r="D82" s="1" t="s">
        <v>1</v>
      </c>
      <c r="E82" s="3" t="s">
        <v>430</v>
      </c>
    </row>
    <row r="83" spans="1:5" ht="409.5" x14ac:dyDescent="0.4">
      <c r="A83" s="1" t="s">
        <v>3</v>
      </c>
      <c r="B83" s="1" t="s">
        <v>432</v>
      </c>
      <c r="C83" s="1" t="s">
        <v>69</v>
      </c>
      <c r="D83" s="1" t="s">
        <v>431</v>
      </c>
      <c r="E83" s="3" t="s">
        <v>433</v>
      </c>
    </row>
    <row r="84" spans="1:5" x14ac:dyDescent="0.4">
      <c r="A84" s="1" t="s">
        <v>3</v>
      </c>
      <c r="B84" s="1" t="s">
        <v>432</v>
      </c>
      <c r="C84" s="1" t="s">
        <v>69</v>
      </c>
      <c r="D84" s="1" t="s">
        <v>112</v>
      </c>
      <c r="E84" s="1" t="s">
        <v>190</v>
      </c>
    </row>
    <row r="85" spans="1:5" ht="409.5" x14ac:dyDescent="0.4">
      <c r="A85" s="1" t="s">
        <v>3</v>
      </c>
      <c r="B85" s="1" t="s">
        <v>434</v>
      </c>
      <c r="C85" s="1" t="s">
        <v>69</v>
      </c>
      <c r="D85" s="1" t="s">
        <v>431</v>
      </c>
      <c r="E85" s="3" t="s">
        <v>435</v>
      </c>
    </row>
    <row r="86" spans="1:5" ht="409.5" x14ac:dyDescent="0.4">
      <c r="A86" s="1" t="s">
        <v>3</v>
      </c>
      <c r="B86" s="1" t="s">
        <v>436</v>
      </c>
      <c r="C86" s="1" t="s">
        <v>69</v>
      </c>
      <c r="D86" s="1" t="s">
        <v>431</v>
      </c>
      <c r="E86" s="3" t="s">
        <v>435</v>
      </c>
    </row>
    <row r="87" spans="1:5" ht="409.5" x14ac:dyDescent="0.4">
      <c r="A87" s="1" t="s">
        <v>3</v>
      </c>
      <c r="B87" s="1" t="s">
        <v>437</v>
      </c>
      <c r="C87" s="1" t="s">
        <v>69</v>
      </c>
      <c r="D87" s="1" t="s">
        <v>431</v>
      </c>
      <c r="E87" s="3" t="s">
        <v>435</v>
      </c>
    </row>
    <row r="88" spans="1:5" ht="409.5" x14ac:dyDescent="0.4">
      <c r="A88" s="1" t="s">
        <v>3</v>
      </c>
      <c r="B88" s="1" t="s">
        <v>438</v>
      </c>
      <c r="C88" s="1" t="s">
        <v>69</v>
      </c>
      <c r="D88" s="1" t="s">
        <v>431</v>
      </c>
      <c r="E88" s="3" t="s">
        <v>435</v>
      </c>
    </row>
    <row r="89" spans="1:5" ht="409.5" x14ac:dyDescent="0.4">
      <c r="A89" s="1" t="s">
        <v>3</v>
      </c>
      <c r="B89" s="1" t="s">
        <v>439</v>
      </c>
      <c r="C89" s="1" t="s">
        <v>69</v>
      </c>
      <c r="D89" s="1" t="s">
        <v>431</v>
      </c>
      <c r="E89" s="3" t="s">
        <v>435</v>
      </c>
    </row>
    <row r="90" spans="1:5" ht="409.5" x14ac:dyDescent="0.4">
      <c r="A90" s="1" t="s">
        <v>3</v>
      </c>
      <c r="B90" s="1" t="s">
        <v>440</v>
      </c>
      <c r="C90" s="1" t="s">
        <v>69</v>
      </c>
      <c r="D90" s="1" t="s">
        <v>431</v>
      </c>
      <c r="E90" s="3" t="s">
        <v>441</v>
      </c>
    </row>
    <row r="91" spans="1:5" ht="409.5" x14ac:dyDescent="0.4">
      <c r="A91" s="1" t="s">
        <v>3</v>
      </c>
      <c r="B91" s="1" t="s">
        <v>446</v>
      </c>
      <c r="C91" s="1" t="s">
        <v>69</v>
      </c>
      <c r="D91" s="1" t="s">
        <v>431</v>
      </c>
      <c r="E91" s="3" t="s">
        <v>435</v>
      </c>
    </row>
    <row r="92" spans="1:5" ht="243.75" x14ac:dyDescent="0.4">
      <c r="A92" s="1" t="s">
        <v>3</v>
      </c>
      <c r="B92" s="1" t="s">
        <v>446</v>
      </c>
      <c r="C92" s="1" t="s">
        <v>235</v>
      </c>
      <c r="D92" s="1" t="s">
        <v>444</v>
      </c>
      <c r="E92" s="3" t="s">
        <v>376</v>
      </c>
    </row>
    <row r="93" spans="1:5" ht="262.5" x14ac:dyDescent="0.4">
      <c r="A93" s="1" t="s">
        <v>3</v>
      </c>
      <c r="B93" s="1" t="s">
        <v>446</v>
      </c>
      <c r="C93" s="1" t="s">
        <v>238</v>
      </c>
      <c r="D93" s="1" t="s">
        <v>445</v>
      </c>
      <c r="E93" s="3" t="s">
        <v>380</v>
      </c>
    </row>
    <row r="94" spans="1:5" x14ac:dyDescent="0.4">
      <c r="A94" s="1" t="s">
        <v>3</v>
      </c>
      <c r="B94" s="1" t="s">
        <v>446</v>
      </c>
      <c r="C94" s="1" t="s">
        <v>235</v>
      </c>
      <c r="D94" s="1" t="s">
        <v>271</v>
      </c>
      <c r="E94" s="1" t="s">
        <v>190</v>
      </c>
    </row>
    <row r="95" spans="1:5" x14ac:dyDescent="0.4">
      <c r="A95" s="1" t="s">
        <v>3</v>
      </c>
      <c r="B95" s="1" t="s">
        <v>446</v>
      </c>
      <c r="C95" s="1" t="s">
        <v>238</v>
      </c>
      <c r="D95" s="1" t="s">
        <v>295</v>
      </c>
      <c r="E95" s="1" t="s">
        <v>190</v>
      </c>
    </row>
    <row r="96" spans="1:5" x14ac:dyDescent="0.4">
      <c r="A96" s="1" t="s">
        <v>3</v>
      </c>
      <c r="B96" s="1" t="s">
        <v>446</v>
      </c>
      <c r="C96" s="1" t="s">
        <v>417</v>
      </c>
      <c r="D96" s="1" t="s">
        <v>419</v>
      </c>
      <c r="E96" s="1" t="s">
        <v>190</v>
      </c>
    </row>
    <row r="97" spans="1:5" x14ac:dyDescent="0.4">
      <c r="A97" s="1" t="s">
        <v>3</v>
      </c>
      <c r="B97" s="1" t="s">
        <v>446</v>
      </c>
      <c r="C97" s="1" t="s">
        <v>241</v>
      </c>
      <c r="D97" s="1" t="s">
        <v>420</v>
      </c>
      <c r="E97" s="1" t="s">
        <v>190</v>
      </c>
    </row>
    <row r="98" spans="1:5" ht="409.5" x14ac:dyDescent="0.4">
      <c r="A98" s="1" t="s">
        <v>3</v>
      </c>
      <c r="B98" s="1" t="s">
        <v>447</v>
      </c>
      <c r="C98" s="1" t="s">
        <v>69</v>
      </c>
      <c r="D98" s="1" t="s">
        <v>431</v>
      </c>
      <c r="E98" s="3" t="s">
        <v>435</v>
      </c>
    </row>
    <row r="99" spans="1:5" ht="409.5" x14ac:dyDescent="0.4">
      <c r="A99" s="1" t="s">
        <v>3</v>
      </c>
      <c r="B99" s="1" t="s">
        <v>448</v>
      </c>
      <c r="C99" s="1" t="s">
        <v>69</v>
      </c>
      <c r="D99" s="1" t="s">
        <v>431</v>
      </c>
      <c r="E99" s="3" t="s">
        <v>435</v>
      </c>
    </row>
    <row r="100" spans="1:5" ht="300" x14ac:dyDescent="0.4">
      <c r="A100" s="1" t="s">
        <v>3</v>
      </c>
      <c r="B100" s="1" t="s">
        <v>450</v>
      </c>
      <c r="C100" s="1" t="s">
        <v>239</v>
      </c>
      <c r="D100" s="1" t="s">
        <v>305</v>
      </c>
      <c r="E100" s="3" t="s">
        <v>451</v>
      </c>
    </row>
    <row r="101" spans="1:5" x14ac:dyDescent="0.4">
      <c r="A101" s="1" t="s">
        <v>3</v>
      </c>
      <c r="B101" s="1" t="s">
        <v>450</v>
      </c>
      <c r="C101" s="1" t="s">
        <v>239</v>
      </c>
      <c r="D101" s="1" t="s">
        <v>424</v>
      </c>
      <c r="E101" s="1" t="s">
        <v>190</v>
      </c>
    </row>
    <row r="102" spans="1:5" ht="75" x14ac:dyDescent="0.4">
      <c r="A102" s="1" t="s">
        <v>3</v>
      </c>
      <c r="B102" s="1" t="s">
        <v>452</v>
      </c>
      <c r="C102" s="1" t="s">
        <v>253</v>
      </c>
      <c r="D102" s="1" t="s">
        <v>276</v>
      </c>
      <c r="E102" s="3" t="s">
        <v>453</v>
      </c>
    </row>
    <row r="103" spans="1:5" ht="75" x14ac:dyDescent="0.4">
      <c r="A103" s="1" t="s">
        <v>3</v>
      </c>
      <c r="B103" s="1" t="s">
        <v>452</v>
      </c>
      <c r="C103" s="1" t="s">
        <v>239</v>
      </c>
      <c r="D103" s="1" t="s">
        <v>305</v>
      </c>
      <c r="E103" s="3" t="s">
        <v>454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0716-36C2-4496-B072-1B78F39967B0}">
  <dimension ref="A1:I7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165</v>
      </c>
      <c r="B2" s="2" t="s">
        <v>76</v>
      </c>
      <c r="C2" s="2" t="s">
        <v>143</v>
      </c>
      <c r="D2" s="2" t="s">
        <v>150</v>
      </c>
      <c r="E2" s="2" t="s">
        <v>1</v>
      </c>
      <c r="F2" s="2" t="s">
        <v>1</v>
      </c>
      <c r="G2" s="2" t="s">
        <v>1</v>
      </c>
      <c r="H2" s="2" t="s">
        <v>7</v>
      </c>
      <c r="I2" s="2" t="s">
        <v>1</v>
      </c>
    </row>
    <row r="3" spans="1:9" x14ac:dyDescent="0.4">
      <c r="A3" s="2" t="s">
        <v>166</v>
      </c>
      <c r="B3" s="2" t="s">
        <v>76</v>
      </c>
      <c r="C3" s="2" t="s">
        <v>77</v>
      </c>
      <c r="D3" s="2" t="s">
        <v>86</v>
      </c>
      <c r="E3" s="2" t="s">
        <v>1</v>
      </c>
      <c r="F3" s="2" t="s">
        <v>1</v>
      </c>
      <c r="G3" s="2" t="s">
        <v>1</v>
      </c>
      <c r="H3" s="2" t="s">
        <v>7</v>
      </c>
      <c r="I3" s="2" t="s">
        <v>1</v>
      </c>
    </row>
    <row r="4" spans="1:9" x14ac:dyDescent="0.4">
      <c r="A4" s="2" t="s">
        <v>167</v>
      </c>
      <c r="B4" s="2" t="s">
        <v>76</v>
      </c>
      <c r="C4" s="2" t="s">
        <v>123</v>
      </c>
      <c r="D4" s="2" t="s">
        <v>129</v>
      </c>
      <c r="E4" s="2" t="s">
        <v>1</v>
      </c>
      <c r="F4" s="2" t="s">
        <v>1</v>
      </c>
      <c r="G4" s="2" t="s">
        <v>1</v>
      </c>
      <c r="H4" s="2" t="s">
        <v>7</v>
      </c>
      <c r="I4" s="2" t="s">
        <v>1</v>
      </c>
    </row>
    <row r="5" spans="1:9" x14ac:dyDescent="0.4">
      <c r="A5" s="2" t="s">
        <v>168</v>
      </c>
      <c r="B5" s="2" t="s">
        <v>76</v>
      </c>
      <c r="C5" s="2" t="s">
        <v>130</v>
      </c>
      <c r="D5" s="2" t="s">
        <v>137</v>
      </c>
      <c r="E5" s="2" t="s">
        <v>7</v>
      </c>
      <c r="F5" s="2" t="s">
        <v>1</v>
      </c>
      <c r="G5" s="2" t="s">
        <v>1</v>
      </c>
      <c r="H5" s="2" t="s">
        <v>184</v>
      </c>
      <c r="I5" s="2" t="s">
        <v>1</v>
      </c>
    </row>
    <row r="6" spans="1:9" x14ac:dyDescent="0.4">
      <c r="A6" s="2" t="s">
        <v>396</v>
      </c>
      <c r="B6" s="2" t="s">
        <v>261</v>
      </c>
      <c r="C6" s="2" t="s">
        <v>339</v>
      </c>
      <c r="D6" s="2" t="s">
        <v>347</v>
      </c>
      <c r="E6" s="2" t="s">
        <v>1</v>
      </c>
      <c r="F6" s="2" t="s">
        <v>345</v>
      </c>
      <c r="G6" s="2" t="s">
        <v>346</v>
      </c>
      <c r="H6" s="2" t="s">
        <v>7</v>
      </c>
      <c r="I6" s="2" t="s">
        <v>1</v>
      </c>
    </row>
    <row r="7" spans="1:9" x14ac:dyDescent="0.4">
      <c r="A7" s="2" t="s">
        <v>397</v>
      </c>
      <c r="B7" s="2" t="s">
        <v>76</v>
      </c>
      <c r="C7" s="2" t="s">
        <v>272</v>
      </c>
      <c r="D7" s="2" t="s">
        <v>277</v>
      </c>
      <c r="E7" s="2" t="s">
        <v>1</v>
      </c>
      <c r="F7" s="2" t="s">
        <v>1</v>
      </c>
      <c r="G7" s="2" t="s">
        <v>1</v>
      </c>
      <c r="H7" s="2" t="s">
        <v>7</v>
      </c>
      <c r="I7" s="2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67CD-ADD7-4542-8CBA-3C902D4C649C}">
  <dimension ref="A1:AC37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427</v>
      </c>
      <c r="AA1" s="2" t="s">
        <v>428</v>
      </c>
      <c r="AB1" s="2" t="s">
        <v>34</v>
      </c>
      <c r="AC1" s="2" t="s">
        <v>35</v>
      </c>
    </row>
    <row r="2" spans="1:29" x14ac:dyDescent="0.4">
      <c r="A2" s="2" t="s">
        <v>70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K2" s="2" t="s">
        <v>84</v>
      </c>
      <c r="L2" s="2" t="s">
        <v>85</v>
      </c>
      <c r="M2" s="2" t="s">
        <v>7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85</v>
      </c>
      <c r="T2" s="2" t="s">
        <v>86</v>
      </c>
      <c r="U2" s="2" t="s">
        <v>1</v>
      </c>
      <c r="V2" s="2" t="s">
        <v>1</v>
      </c>
      <c r="W2" s="2" t="s">
        <v>1</v>
      </c>
      <c r="X2" s="2" t="s">
        <v>87</v>
      </c>
      <c r="Z2" s="2" t="s">
        <v>87</v>
      </c>
      <c r="AA2" s="2" t="s">
        <v>1</v>
      </c>
      <c r="AB2" s="2" t="s">
        <v>1</v>
      </c>
      <c r="AC2" s="2" t="s">
        <v>1</v>
      </c>
    </row>
    <row r="3" spans="1:29" x14ac:dyDescent="0.4">
      <c r="A3" s="2" t="s">
        <v>62</v>
      </c>
      <c r="B3" s="2" t="s">
        <v>76</v>
      </c>
      <c r="C3" s="2" t="s">
        <v>88</v>
      </c>
      <c r="D3" s="2" t="s">
        <v>89</v>
      </c>
      <c r="E3" s="2" t="s">
        <v>7</v>
      </c>
      <c r="F3" s="2" t="s">
        <v>90</v>
      </c>
      <c r="G3" s="2" t="s">
        <v>81</v>
      </c>
      <c r="H3" s="2" t="s">
        <v>91</v>
      </c>
      <c r="I3" s="2" t="s">
        <v>83</v>
      </c>
      <c r="K3" s="2" t="s">
        <v>87</v>
      </c>
      <c r="L3" s="2" t="s">
        <v>1</v>
      </c>
      <c r="M3" s="2" t="s">
        <v>1</v>
      </c>
      <c r="N3" s="2" t="s">
        <v>92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93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87</v>
      </c>
      <c r="Z3" s="2" t="s">
        <v>87</v>
      </c>
      <c r="AA3" s="2" t="s">
        <v>1</v>
      </c>
      <c r="AB3" s="2" t="s">
        <v>1</v>
      </c>
      <c r="AC3" s="2" t="s">
        <v>7</v>
      </c>
    </row>
    <row r="4" spans="1:29" x14ac:dyDescent="0.4">
      <c r="A4" s="2" t="s">
        <v>67</v>
      </c>
      <c r="B4" s="2" t="s">
        <v>76</v>
      </c>
      <c r="C4" s="2" t="s">
        <v>88</v>
      </c>
      <c r="D4" s="2" t="s">
        <v>94</v>
      </c>
      <c r="E4" s="2" t="s">
        <v>7</v>
      </c>
      <c r="F4" s="2" t="s">
        <v>95</v>
      </c>
      <c r="G4" s="2" t="s">
        <v>81</v>
      </c>
      <c r="H4" s="2" t="s">
        <v>96</v>
      </c>
      <c r="I4" s="2" t="s">
        <v>83</v>
      </c>
      <c r="K4" s="2" t="s">
        <v>87</v>
      </c>
      <c r="L4" s="2" t="s">
        <v>1</v>
      </c>
      <c r="M4" s="2" t="s">
        <v>1</v>
      </c>
      <c r="N4" s="2" t="s">
        <v>97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98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87</v>
      </c>
      <c r="Z4" s="2" t="s">
        <v>87</v>
      </c>
      <c r="AA4" s="2" t="s">
        <v>1</v>
      </c>
      <c r="AB4" s="2" t="s">
        <v>1</v>
      </c>
      <c r="AC4" s="2" t="s">
        <v>7</v>
      </c>
    </row>
    <row r="5" spans="1:29" x14ac:dyDescent="0.4">
      <c r="A5" s="2" t="s">
        <v>63</v>
      </c>
      <c r="B5" s="2" t="s">
        <v>76</v>
      </c>
      <c r="C5" s="2" t="s">
        <v>88</v>
      </c>
      <c r="D5" s="2" t="s">
        <v>99</v>
      </c>
      <c r="E5" s="2" t="s">
        <v>7</v>
      </c>
      <c r="F5" s="2" t="s">
        <v>100</v>
      </c>
      <c r="G5" s="2" t="s">
        <v>101</v>
      </c>
      <c r="H5" s="2" t="s">
        <v>102</v>
      </c>
      <c r="I5" s="2" t="s">
        <v>103</v>
      </c>
      <c r="K5" s="2" t="s">
        <v>87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104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87</v>
      </c>
      <c r="Z5" s="2" t="s">
        <v>87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68</v>
      </c>
      <c r="B6" s="2" t="s">
        <v>76</v>
      </c>
      <c r="C6" s="2" t="s">
        <v>88</v>
      </c>
      <c r="D6" s="2" t="s">
        <v>105</v>
      </c>
      <c r="E6" s="2" t="s">
        <v>7</v>
      </c>
      <c r="F6" s="2" t="s">
        <v>106</v>
      </c>
      <c r="G6" s="2" t="s">
        <v>81</v>
      </c>
      <c r="H6" s="2" t="s">
        <v>107</v>
      </c>
      <c r="I6" s="2" t="s">
        <v>83</v>
      </c>
      <c r="J6" s="2" t="s">
        <v>195</v>
      </c>
      <c r="K6" s="2" t="s">
        <v>87</v>
      </c>
      <c r="L6" s="2" t="s">
        <v>1</v>
      </c>
      <c r="M6" s="2" t="s">
        <v>7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108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87</v>
      </c>
      <c r="Z6" s="2" t="s">
        <v>87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69</v>
      </c>
      <c r="B7" s="2" t="s">
        <v>76</v>
      </c>
      <c r="C7" s="2" t="s">
        <v>88</v>
      </c>
      <c r="D7" s="2" t="s">
        <v>109</v>
      </c>
      <c r="E7" s="2" t="s">
        <v>7</v>
      </c>
      <c r="F7" s="2" t="s">
        <v>110</v>
      </c>
      <c r="G7" s="2" t="s">
        <v>81</v>
      </c>
      <c r="H7" s="2" t="s">
        <v>111</v>
      </c>
      <c r="I7" s="2" t="s">
        <v>83</v>
      </c>
      <c r="J7" s="2" t="s">
        <v>449</v>
      </c>
      <c r="K7" s="2" t="s">
        <v>87</v>
      </c>
      <c r="L7" s="2" t="s">
        <v>1</v>
      </c>
      <c r="M7" s="2" t="s">
        <v>7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431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87</v>
      </c>
      <c r="Z7" s="2" t="s">
        <v>87</v>
      </c>
      <c r="AA7" s="2" t="s">
        <v>1</v>
      </c>
      <c r="AB7" s="2" t="s">
        <v>1</v>
      </c>
      <c r="AC7" s="2" t="s">
        <v>1</v>
      </c>
    </row>
    <row r="8" spans="1:29" x14ac:dyDescent="0.4">
      <c r="A8" s="2" t="s">
        <v>64</v>
      </c>
      <c r="B8" s="2" t="s">
        <v>76</v>
      </c>
      <c r="C8" s="2" t="s">
        <v>88</v>
      </c>
      <c r="D8" s="2" t="s">
        <v>113</v>
      </c>
      <c r="E8" s="2" t="s">
        <v>7</v>
      </c>
      <c r="F8" s="2" t="s">
        <v>114</v>
      </c>
      <c r="G8" s="2" t="s">
        <v>115</v>
      </c>
      <c r="H8" s="2" t="s">
        <v>116</v>
      </c>
      <c r="I8" s="2" t="s">
        <v>2</v>
      </c>
      <c r="K8" s="2" t="s">
        <v>87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117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87</v>
      </c>
      <c r="Z8" s="2" t="s">
        <v>87</v>
      </c>
      <c r="AA8" s="2" t="s">
        <v>1</v>
      </c>
      <c r="AB8" s="2" t="s">
        <v>1</v>
      </c>
      <c r="AC8" s="2" t="s">
        <v>1</v>
      </c>
    </row>
    <row r="9" spans="1:29" x14ac:dyDescent="0.4">
      <c r="A9" s="2" t="s">
        <v>65</v>
      </c>
      <c r="B9" s="2" t="s">
        <v>76</v>
      </c>
      <c r="C9" s="2" t="s">
        <v>88</v>
      </c>
      <c r="D9" s="2" t="s">
        <v>118</v>
      </c>
      <c r="E9" s="2" t="s">
        <v>7</v>
      </c>
      <c r="F9" s="2" t="s">
        <v>119</v>
      </c>
      <c r="G9" s="2" t="s">
        <v>81</v>
      </c>
      <c r="H9" s="2" t="s">
        <v>120</v>
      </c>
      <c r="I9" s="2" t="s">
        <v>83</v>
      </c>
      <c r="J9" s="2" t="s">
        <v>121</v>
      </c>
      <c r="K9" s="2" t="s">
        <v>87</v>
      </c>
      <c r="L9" s="2" t="s">
        <v>1</v>
      </c>
      <c r="M9" s="2" t="s">
        <v>7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122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87</v>
      </c>
      <c r="Z9" s="2" t="s">
        <v>87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72</v>
      </c>
      <c r="B10" s="2" t="s">
        <v>76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81</v>
      </c>
      <c r="H10" s="2" t="s">
        <v>127</v>
      </c>
      <c r="I10" s="2" t="s">
        <v>83</v>
      </c>
      <c r="K10" s="2" t="s">
        <v>84</v>
      </c>
      <c r="L10" s="2" t="s">
        <v>128</v>
      </c>
      <c r="M10" s="2" t="s">
        <v>7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128</v>
      </c>
      <c r="T10" s="2" t="s">
        <v>129</v>
      </c>
      <c r="U10" s="2" t="s">
        <v>1</v>
      </c>
      <c r="V10" s="2" t="s">
        <v>1</v>
      </c>
      <c r="W10" s="2" t="s">
        <v>1</v>
      </c>
      <c r="X10" s="2" t="s">
        <v>87</v>
      </c>
      <c r="Z10" s="2" t="s">
        <v>87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74</v>
      </c>
      <c r="B11" s="2" t="s">
        <v>76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81</v>
      </c>
      <c r="H11" s="2" t="s">
        <v>134</v>
      </c>
      <c r="I11" s="2" t="s">
        <v>83</v>
      </c>
      <c r="K11" s="2" t="s">
        <v>84</v>
      </c>
      <c r="L11" s="2" t="s">
        <v>135</v>
      </c>
      <c r="M11" s="2" t="s">
        <v>7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136</v>
      </c>
      <c r="T11" s="2" t="s">
        <v>137</v>
      </c>
      <c r="U11" s="2" t="s">
        <v>1</v>
      </c>
      <c r="V11" s="2" t="s">
        <v>1</v>
      </c>
      <c r="W11" s="2" t="s">
        <v>1</v>
      </c>
      <c r="X11" s="2" t="s">
        <v>87</v>
      </c>
      <c r="Z11" s="2" t="s">
        <v>87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75</v>
      </c>
      <c r="B12" s="2" t="s">
        <v>76</v>
      </c>
      <c r="C12" s="2" t="s">
        <v>130</v>
      </c>
      <c r="D12" s="2" t="s">
        <v>138</v>
      </c>
      <c r="E12" s="2" t="s">
        <v>132</v>
      </c>
      <c r="F12" s="2" t="s">
        <v>139</v>
      </c>
      <c r="G12" s="2" t="s">
        <v>81</v>
      </c>
      <c r="H12" s="2" t="s">
        <v>140</v>
      </c>
      <c r="I12" s="2" t="s">
        <v>83</v>
      </c>
      <c r="J12" s="2" t="s">
        <v>176</v>
      </c>
      <c r="K12" s="2" t="s">
        <v>84</v>
      </c>
      <c r="L12" s="2" t="s">
        <v>141</v>
      </c>
      <c r="M12" s="2" t="s">
        <v>7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142</v>
      </c>
      <c r="T12" s="2" t="s">
        <v>137</v>
      </c>
      <c r="U12" s="2" t="s">
        <v>1</v>
      </c>
      <c r="V12" s="2" t="s">
        <v>1</v>
      </c>
      <c r="W12" s="2" t="s">
        <v>1</v>
      </c>
      <c r="X12" s="2" t="s">
        <v>87</v>
      </c>
      <c r="Z12" s="2" t="s">
        <v>87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66</v>
      </c>
      <c r="B13" s="2" t="s">
        <v>76</v>
      </c>
      <c r="C13" s="2" t="s">
        <v>143</v>
      </c>
      <c r="D13" s="2" t="s">
        <v>144</v>
      </c>
      <c r="E13" s="2" t="s">
        <v>145</v>
      </c>
      <c r="F13" s="2" t="s">
        <v>146</v>
      </c>
      <c r="G13" s="2" t="s">
        <v>81</v>
      </c>
      <c r="H13" s="2" t="s">
        <v>147</v>
      </c>
      <c r="I13" s="2" t="s">
        <v>83</v>
      </c>
      <c r="K13" s="2" t="s">
        <v>84</v>
      </c>
      <c r="L13" s="2" t="s">
        <v>148</v>
      </c>
      <c r="M13" s="2" t="s">
        <v>1</v>
      </c>
      <c r="N13" s="2" t="s">
        <v>149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148</v>
      </c>
      <c r="T13" s="2" t="s">
        <v>150</v>
      </c>
      <c r="U13" s="2" t="s">
        <v>1</v>
      </c>
      <c r="V13" s="2" t="s">
        <v>1</v>
      </c>
      <c r="W13" s="2" t="s">
        <v>1</v>
      </c>
      <c r="X13" s="2" t="s">
        <v>87</v>
      </c>
      <c r="Z13" s="2" t="s">
        <v>87</v>
      </c>
      <c r="AA13" s="2" t="s">
        <v>1</v>
      </c>
      <c r="AB13" s="2" t="s">
        <v>1</v>
      </c>
      <c r="AC13" s="2" t="s">
        <v>341</v>
      </c>
    </row>
    <row r="14" spans="1:29" x14ac:dyDescent="0.4">
      <c r="A14" s="2" t="s">
        <v>234</v>
      </c>
      <c r="B14" s="2" t="s">
        <v>261</v>
      </c>
      <c r="C14" s="2" t="s">
        <v>202</v>
      </c>
      <c r="D14" s="2" t="s">
        <v>262</v>
      </c>
      <c r="E14" s="2" t="s">
        <v>184</v>
      </c>
      <c r="F14" s="2" t="s">
        <v>263</v>
      </c>
      <c r="G14" s="2" t="s">
        <v>81</v>
      </c>
      <c r="H14" s="2" t="s">
        <v>264</v>
      </c>
      <c r="I14" s="2" t="s">
        <v>83</v>
      </c>
      <c r="K14" s="2" t="s">
        <v>87</v>
      </c>
      <c r="L14" s="2" t="s">
        <v>1</v>
      </c>
      <c r="M14" s="2" t="s">
        <v>1</v>
      </c>
      <c r="N14" s="2" t="s">
        <v>97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265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87</v>
      </c>
      <c r="Z14" s="2" t="s">
        <v>87</v>
      </c>
      <c r="AA14" s="2" t="s">
        <v>1</v>
      </c>
      <c r="AB14" s="2" t="s">
        <v>1</v>
      </c>
      <c r="AC14" s="2" t="s">
        <v>7</v>
      </c>
    </row>
    <row r="15" spans="1:29" x14ac:dyDescent="0.4">
      <c r="A15" s="2" t="s">
        <v>252</v>
      </c>
      <c r="B15" s="2" t="s">
        <v>261</v>
      </c>
      <c r="C15" s="2" t="s">
        <v>202</v>
      </c>
      <c r="D15" s="2" t="s">
        <v>214</v>
      </c>
      <c r="E15" s="2" t="s">
        <v>184</v>
      </c>
      <c r="F15" s="2" t="s">
        <v>266</v>
      </c>
      <c r="G15" s="2" t="s">
        <v>115</v>
      </c>
      <c r="H15" s="2" t="s">
        <v>267</v>
      </c>
      <c r="I15" s="2" t="s">
        <v>268</v>
      </c>
      <c r="K15" s="2" t="s">
        <v>87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269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87</v>
      </c>
      <c r="Z15" s="2" t="s">
        <v>87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235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115</v>
      </c>
      <c r="H16" s="2" t="s">
        <v>270</v>
      </c>
      <c r="I16" s="2" t="s">
        <v>2</v>
      </c>
      <c r="K16" s="2" t="s">
        <v>87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444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84</v>
      </c>
      <c r="Z16" s="2" t="s">
        <v>84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253</v>
      </c>
      <c r="B17" s="2" t="s">
        <v>76</v>
      </c>
      <c r="C17" s="2" t="s">
        <v>272</v>
      </c>
      <c r="D17" s="2" t="s">
        <v>216</v>
      </c>
      <c r="E17" s="2" t="s">
        <v>273</v>
      </c>
      <c r="F17" s="2" t="s">
        <v>274</v>
      </c>
      <c r="G17" s="2" t="s">
        <v>115</v>
      </c>
      <c r="H17" s="2" t="s">
        <v>275</v>
      </c>
      <c r="I17" s="2" t="s">
        <v>2</v>
      </c>
      <c r="K17" s="2" t="s">
        <v>84</v>
      </c>
      <c r="L17" s="2" t="s">
        <v>276</v>
      </c>
      <c r="M17" s="2" t="s">
        <v>7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276</v>
      </c>
      <c r="T17" s="2" t="s">
        <v>277</v>
      </c>
      <c r="U17" s="2" t="s">
        <v>1</v>
      </c>
      <c r="V17" s="2" t="s">
        <v>1</v>
      </c>
      <c r="W17" s="2" t="s">
        <v>1</v>
      </c>
      <c r="X17" s="2" t="s">
        <v>87</v>
      </c>
      <c r="Z17" s="2" t="s">
        <v>87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255</v>
      </c>
      <c r="B18" s="2" t="s">
        <v>278</v>
      </c>
      <c r="C18" s="2" t="s">
        <v>279</v>
      </c>
      <c r="D18" s="2" t="s">
        <v>280</v>
      </c>
      <c r="E18" s="2" t="s">
        <v>151</v>
      </c>
      <c r="F18" s="2" t="s">
        <v>281</v>
      </c>
      <c r="G18" s="2" t="s">
        <v>101</v>
      </c>
      <c r="H18" s="2" t="s">
        <v>102</v>
      </c>
      <c r="I18" s="2" t="s">
        <v>103</v>
      </c>
      <c r="K18" s="2" t="s">
        <v>87</v>
      </c>
      <c r="L18" s="2" t="s">
        <v>1</v>
      </c>
      <c r="M18" s="2" t="s">
        <v>7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282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87</v>
      </c>
      <c r="Z18" s="2" t="s">
        <v>87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256</v>
      </c>
      <c r="B19" s="2" t="s">
        <v>261</v>
      </c>
      <c r="C19" s="2" t="s">
        <v>202</v>
      </c>
      <c r="D19" s="2" t="s">
        <v>283</v>
      </c>
      <c r="E19" s="2" t="s">
        <v>184</v>
      </c>
      <c r="F19" s="2" t="s">
        <v>284</v>
      </c>
      <c r="G19" s="2" t="s">
        <v>81</v>
      </c>
      <c r="H19" s="2" t="s">
        <v>285</v>
      </c>
      <c r="I19" s="2" t="s">
        <v>83</v>
      </c>
      <c r="K19" s="2" t="s">
        <v>87</v>
      </c>
      <c r="L19" s="2" t="s">
        <v>1</v>
      </c>
      <c r="M19" s="2" t="s">
        <v>7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286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87</v>
      </c>
      <c r="Z19" s="2" t="s">
        <v>87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237</v>
      </c>
      <c r="B20" s="2" t="s">
        <v>261</v>
      </c>
      <c r="C20" s="2" t="s">
        <v>287</v>
      </c>
      <c r="D20" s="2" t="s">
        <v>288</v>
      </c>
      <c r="E20" s="2" t="s">
        <v>289</v>
      </c>
      <c r="F20" s="2" t="s">
        <v>290</v>
      </c>
      <c r="G20" s="2" t="s">
        <v>81</v>
      </c>
      <c r="H20" s="2" t="s">
        <v>291</v>
      </c>
      <c r="I20" s="2" t="s">
        <v>83</v>
      </c>
      <c r="K20" s="2" t="s">
        <v>87</v>
      </c>
      <c r="L20" s="2" t="s">
        <v>1</v>
      </c>
      <c r="M20" s="2" t="s">
        <v>7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292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87</v>
      </c>
      <c r="Z20" s="2" t="s">
        <v>87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238</v>
      </c>
      <c r="B21" s="2" t="s">
        <v>261</v>
      </c>
      <c r="C21" s="2" t="s">
        <v>202</v>
      </c>
      <c r="D21" s="2" t="s">
        <v>207</v>
      </c>
      <c r="E21" s="2" t="s">
        <v>184</v>
      </c>
      <c r="F21" s="2" t="s">
        <v>293</v>
      </c>
      <c r="G21" s="2" t="s">
        <v>115</v>
      </c>
      <c r="H21" s="2" t="s">
        <v>294</v>
      </c>
      <c r="I21" s="2" t="s">
        <v>2</v>
      </c>
      <c r="K21" s="2" t="s">
        <v>87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445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87</v>
      </c>
      <c r="Z21" s="2" t="s">
        <v>87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257</v>
      </c>
      <c r="B22" s="2" t="s">
        <v>261</v>
      </c>
      <c r="C22" s="2" t="s">
        <v>296</v>
      </c>
      <c r="D22" s="2" t="s">
        <v>297</v>
      </c>
      <c r="E22" s="2" t="s">
        <v>298</v>
      </c>
      <c r="F22" s="2" t="s">
        <v>299</v>
      </c>
      <c r="G22" s="2" t="s">
        <v>115</v>
      </c>
      <c r="H22" s="2" t="s">
        <v>300</v>
      </c>
      <c r="I22" s="2" t="s">
        <v>301</v>
      </c>
      <c r="K22" s="2" t="s">
        <v>87</v>
      </c>
      <c r="L22" s="2" t="s">
        <v>1</v>
      </c>
      <c r="M22" s="2" t="s">
        <v>7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302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87</v>
      </c>
      <c r="Z22" s="2" t="s">
        <v>87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239</v>
      </c>
      <c r="B23" s="2" t="s">
        <v>261</v>
      </c>
      <c r="C23" s="2" t="s">
        <v>202</v>
      </c>
      <c r="D23" s="2" t="s">
        <v>209</v>
      </c>
      <c r="E23" s="2" t="s">
        <v>298</v>
      </c>
      <c r="F23" s="2" t="s">
        <v>303</v>
      </c>
      <c r="G23" s="2" t="s">
        <v>81</v>
      </c>
      <c r="H23" s="2" t="s">
        <v>304</v>
      </c>
      <c r="I23" s="2" t="s">
        <v>83</v>
      </c>
      <c r="K23" s="2" t="s">
        <v>87</v>
      </c>
      <c r="L23" s="2" t="s">
        <v>1</v>
      </c>
      <c r="M23" s="2" t="s">
        <v>1</v>
      </c>
      <c r="N23" s="2" t="s">
        <v>310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305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87</v>
      </c>
      <c r="Z23" s="2" t="s">
        <v>87</v>
      </c>
      <c r="AA23" s="2" t="s">
        <v>1</v>
      </c>
      <c r="AB23" s="2" t="s">
        <v>1</v>
      </c>
      <c r="AC23" s="2" t="s">
        <v>7</v>
      </c>
    </row>
    <row r="24" spans="1:29" x14ac:dyDescent="0.4">
      <c r="A24" s="2" t="s">
        <v>258</v>
      </c>
      <c r="B24" s="2" t="s">
        <v>261</v>
      </c>
      <c r="C24" s="2" t="s">
        <v>306</v>
      </c>
      <c r="D24" s="2" t="s">
        <v>307</v>
      </c>
      <c r="E24" s="2" t="s">
        <v>298</v>
      </c>
      <c r="F24" s="2" t="s">
        <v>308</v>
      </c>
      <c r="G24" s="2" t="s">
        <v>81</v>
      </c>
      <c r="H24" s="2" t="s">
        <v>309</v>
      </c>
      <c r="I24" s="2" t="s">
        <v>83</v>
      </c>
      <c r="J24" s="2" t="s">
        <v>403</v>
      </c>
      <c r="K24" s="2" t="s">
        <v>87</v>
      </c>
      <c r="L24" s="2" t="s">
        <v>1</v>
      </c>
      <c r="M24" s="2" t="s">
        <v>1</v>
      </c>
      <c r="N24" s="2" t="s">
        <v>310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311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87</v>
      </c>
      <c r="Z24" s="2" t="s">
        <v>87</v>
      </c>
      <c r="AA24" s="2" t="s">
        <v>1</v>
      </c>
      <c r="AB24" s="2" t="s">
        <v>1</v>
      </c>
      <c r="AC24" s="2" t="s">
        <v>7</v>
      </c>
    </row>
    <row r="25" spans="1:29" x14ac:dyDescent="0.4">
      <c r="A25" s="2" t="s">
        <v>240</v>
      </c>
      <c r="B25" s="2" t="s">
        <v>261</v>
      </c>
      <c r="C25" s="2" t="s">
        <v>202</v>
      </c>
      <c r="D25" s="2" t="s">
        <v>312</v>
      </c>
      <c r="E25" s="2" t="s">
        <v>184</v>
      </c>
      <c r="F25" s="2" t="s">
        <v>313</v>
      </c>
      <c r="G25" s="2" t="s">
        <v>115</v>
      </c>
      <c r="H25" s="2" t="s">
        <v>314</v>
      </c>
      <c r="I25" s="2" t="s">
        <v>268</v>
      </c>
      <c r="K25" s="2" t="s">
        <v>87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315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87</v>
      </c>
      <c r="Z25" s="2" t="s">
        <v>87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241</v>
      </c>
      <c r="B26" s="2" t="s">
        <v>261</v>
      </c>
      <c r="C26" s="2" t="s">
        <v>202</v>
      </c>
      <c r="D26" s="2" t="s">
        <v>316</v>
      </c>
      <c r="E26" s="2" t="s">
        <v>184</v>
      </c>
      <c r="F26" s="2" t="s">
        <v>317</v>
      </c>
      <c r="G26" s="2" t="s">
        <v>81</v>
      </c>
      <c r="H26" s="2" t="s">
        <v>318</v>
      </c>
      <c r="I26" s="2" t="s">
        <v>83</v>
      </c>
      <c r="K26" s="2" t="s">
        <v>87</v>
      </c>
      <c r="L26" s="2" t="s">
        <v>1</v>
      </c>
      <c r="M26" s="2" t="s">
        <v>7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319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87</v>
      </c>
      <c r="Z26" s="2" t="s">
        <v>87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259</v>
      </c>
      <c r="B27" s="2" t="s">
        <v>261</v>
      </c>
      <c r="C27" s="2" t="s">
        <v>320</v>
      </c>
      <c r="D27" s="2" t="s">
        <v>321</v>
      </c>
      <c r="E27" s="2" t="s">
        <v>322</v>
      </c>
      <c r="F27" s="2" t="s">
        <v>323</v>
      </c>
      <c r="G27" s="2" t="s">
        <v>324</v>
      </c>
      <c r="H27" s="2" t="s">
        <v>325</v>
      </c>
      <c r="I27" s="2" t="s">
        <v>83</v>
      </c>
      <c r="K27" s="2" t="s">
        <v>87</v>
      </c>
      <c r="L27" s="2" t="s">
        <v>1</v>
      </c>
      <c r="M27" s="2" t="s">
        <v>1</v>
      </c>
      <c r="N27" s="2" t="s">
        <v>1</v>
      </c>
      <c r="O27" s="2" t="s">
        <v>326</v>
      </c>
      <c r="P27" s="2" t="s">
        <v>327</v>
      </c>
      <c r="Q27" s="2" t="s">
        <v>1</v>
      </c>
      <c r="R27" s="2" t="s">
        <v>1</v>
      </c>
      <c r="S27" s="2" t="s">
        <v>328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87</v>
      </c>
      <c r="Z27" s="2" t="s">
        <v>87</v>
      </c>
      <c r="AA27" s="2" t="s">
        <v>1</v>
      </c>
      <c r="AB27" s="2" t="s">
        <v>329</v>
      </c>
      <c r="AC27" s="2" t="s">
        <v>1</v>
      </c>
    </row>
    <row r="28" spans="1:29" x14ac:dyDescent="0.4">
      <c r="A28" s="2" t="s">
        <v>243</v>
      </c>
      <c r="B28" s="2" t="s">
        <v>261</v>
      </c>
      <c r="C28" s="2" t="s">
        <v>202</v>
      </c>
      <c r="D28" s="2" t="s">
        <v>330</v>
      </c>
      <c r="E28" s="2" t="s">
        <v>184</v>
      </c>
      <c r="F28" s="2" t="s">
        <v>331</v>
      </c>
      <c r="G28" s="2" t="s">
        <v>115</v>
      </c>
      <c r="H28" s="2" t="s">
        <v>332</v>
      </c>
      <c r="I28" s="2" t="s">
        <v>268</v>
      </c>
      <c r="K28" s="2" t="s">
        <v>87</v>
      </c>
      <c r="L28" s="2" t="s">
        <v>1</v>
      </c>
      <c r="M28" s="2" t="s">
        <v>7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333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87</v>
      </c>
      <c r="Z28" s="2" t="s">
        <v>87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244</v>
      </c>
      <c r="B29" s="2" t="s">
        <v>261</v>
      </c>
      <c r="C29" s="2" t="s">
        <v>202</v>
      </c>
      <c r="D29" s="2" t="s">
        <v>334</v>
      </c>
      <c r="E29" s="2" t="s">
        <v>184</v>
      </c>
      <c r="F29" s="2" t="s">
        <v>335</v>
      </c>
      <c r="G29" s="2" t="s">
        <v>81</v>
      </c>
      <c r="H29" s="2" t="s">
        <v>336</v>
      </c>
      <c r="I29" s="2" t="s">
        <v>83</v>
      </c>
      <c r="K29" s="2" t="s">
        <v>87</v>
      </c>
      <c r="L29" s="2" t="s">
        <v>1</v>
      </c>
      <c r="M29" s="2" t="s">
        <v>7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337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87</v>
      </c>
      <c r="Z29" s="2" t="s">
        <v>87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415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115</v>
      </c>
      <c r="H30" s="2" t="s">
        <v>2</v>
      </c>
      <c r="I30" s="2" t="s">
        <v>2</v>
      </c>
      <c r="K30" s="2" t="s">
        <v>87</v>
      </c>
      <c r="L30" s="2" t="s">
        <v>1</v>
      </c>
      <c r="M30" s="2" t="s">
        <v>7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338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84</v>
      </c>
      <c r="Z30" s="2" t="s">
        <v>84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248</v>
      </c>
      <c r="B31" s="2" t="s">
        <v>261</v>
      </c>
      <c r="C31" s="2" t="s">
        <v>339</v>
      </c>
      <c r="D31" s="2" t="s">
        <v>340</v>
      </c>
      <c r="E31" s="2" t="s">
        <v>341</v>
      </c>
      <c r="F31" s="2" t="s">
        <v>342</v>
      </c>
      <c r="G31" s="2" t="s">
        <v>81</v>
      </c>
      <c r="H31" s="2" t="s">
        <v>343</v>
      </c>
      <c r="I31" s="2" t="s">
        <v>83</v>
      </c>
      <c r="K31" s="2" t="s">
        <v>84</v>
      </c>
      <c r="L31" s="2" t="s">
        <v>344</v>
      </c>
      <c r="M31" s="2" t="s">
        <v>7</v>
      </c>
      <c r="N31" s="2" t="s">
        <v>1</v>
      </c>
      <c r="O31" s="2" t="s">
        <v>345</v>
      </c>
      <c r="P31" s="2" t="s">
        <v>346</v>
      </c>
      <c r="Q31" s="2" t="s">
        <v>1</v>
      </c>
      <c r="R31" s="2" t="s">
        <v>1</v>
      </c>
      <c r="S31" s="2" t="s">
        <v>344</v>
      </c>
      <c r="T31" s="2" t="s">
        <v>347</v>
      </c>
      <c r="U31" s="2" t="s">
        <v>1</v>
      </c>
      <c r="V31" s="2" t="s">
        <v>1</v>
      </c>
      <c r="W31" s="2" t="s">
        <v>1</v>
      </c>
      <c r="X31" s="2" t="s">
        <v>87</v>
      </c>
      <c r="Z31" s="2" t="s">
        <v>87</v>
      </c>
      <c r="AA31" s="2" t="s">
        <v>1</v>
      </c>
      <c r="AB31" s="2" t="s">
        <v>1</v>
      </c>
      <c r="AC31" s="2" t="s">
        <v>1</v>
      </c>
    </row>
    <row r="32" spans="1:29" x14ac:dyDescent="0.4">
      <c r="A32" s="2" t="s">
        <v>400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115</v>
      </c>
      <c r="H32" s="2" t="s">
        <v>2</v>
      </c>
      <c r="I32" s="2" t="s">
        <v>83</v>
      </c>
      <c r="K32" s="2" t="s">
        <v>87</v>
      </c>
      <c r="L32" s="2" t="s">
        <v>1</v>
      </c>
      <c r="M32" s="2" t="s">
        <v>7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348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84</v>
      </c>
      <c r="Z32" s="2" t="s">
        <v>84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407</v>
      </c>
      <c r="B33" s="2" t="s">
        <v>355</v>
      </c>
      <c r="C33" s="2" t="s">
        <v>356</v>
      </c>
      <c r="D33" s="2" t="s">
        <v>408</v>
      </c>
      <c r="E33" s="2" t="s">
        <v>358</v>
      </c>
      <c r="F33" s="2" t="s">
        <v>409</v>
      </c>
      <c r="G33" s="2" t="s">
        <v>81</v>
      </c>
      <c r="H33" s="2" t="s">
        <v>410</v>
      </c>
      <c r="I33" s="2" t="s">
        <v>83</v>
      </c>
      <c r="K33" s="2" t="s">
        <v>87</v>
      </c>
      <c r="L33" s="2" t="s">
        <v>1</v>
      </c>
      <c r="M33" s="2" t="s">
        <v>7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411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87</v>
      </c>
      <c r="Z33" s="2" t="s">
        <v>87</v>
      </c>
      <c r="AA33" s="2" t="s">
        <v>1</v>
      </c>
      <c r="AB33" s="2" t="s">
        <v>412</v>
      </c>
      <c r="AC33" s="2" t="s">
        <v>1</v>
      </c>
    </row>
    <row r="34" spans="1:29" x14ac:dyDescent="0.4">
      <c r="A34" s="2" t="s">
        <v>227</v>
      </c>
      <c r="B34" s="2" t="s">
        <v>349</v>
      </c>
      <c r="C34" s="2" t="s">
        <v>350</v>
      </c>
      <c r="D34" s="2" t="s">
        <v>351</v>
      </c>
      <c r="E34" s="2" t="s">
        <v>1</v>
      </c>
      <c r="F34" s="2" t="s">
        <v>352</v>
      </c>
      <c r="G34" s="2" t="s">
        <v>101</v>
      </c>
      <c r="H34" s="2" t="s">
        <v>353</v>
      </c>
      <c r="I34" s="2" t="s">
        <v>103</v>
      </c>
      <c r="K34" s="2" t="s">
        <v>87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354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87</v>
      </c>
      <c r="Z34" s="2" t="s">
        <v>87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228</v>
      </c>
      <c r="B35" s="2" t="s">
        <v>355</v>
      </c>
      <c r="C35" s="2" t="s">
        <v>356</v>
      </c>
      <c r="D35" s="2" t="s">
        <v>357</v>
      </c>
      <c r="E35" s="2" t="s">
        <v>358</v>
      </c>
      <c r="F35" s="2" t="s">
        <v>359</v>
      </c>
      <c r="G35" s="2" t="s">
        <v>81</v>
      </c>
      <c r="H35" s="2" t="s">
        <v>360</v>
      </c>
      <c r="I35" s="2" t="s">
        <v>83</v>
      </c>
      <c r="K35" s="2" t="s">
        <v>87</v>
      </c>
      <c r="L35" s="2" t="s">
        <v>1</v>
      </c>
      <c r="M35" s="2" t="s">
        <v>7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361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87</v>
      </c>
      <c r="Z35" s="2" t="s">
        <v>87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229</v>
      </c>
      <c r="B36" s="2" t="s">
        <v>76</v>
      </c>
      <c r="C36" s="2" t="s">
        <v>362</v>
      </c>
      <c r="D36" s="2" t="s">
        <v>363</v>
      </c>
      <c r="E36" s="2" t="s">
        <v>92</v>
      </c>
      <c r="F36" s="2" t="s">
        <v>364</v>
      </c>
      <c r="G36" s="2" t="s">
        <v>81</v>
      </c>
      <c r="H36" s="2" t="s">
        <v>365</v>
      </c>
      <c r="I36" s="2" t="s">
        <v>83</v>
      </c>
      <c r="K36" s="2" t="s">
        <v>87</v>
      </c>
      <c r="L36" s="2" t="s">
        <v>1</v>
      </c>
      <c r="M36" s="2" t="s">
        <v>1</v>
      </c>
      <c r="N36" s="2" t="s">
        <v>366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367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87</v>
      </c>
      <c r="Z36" s="2" t="s">
        <v>87</v>
      </c>
      <c r="AA36" s="2" t="s">
        <v>1</v>
      </c>
      <c r="AB36" s="2" t="s">
        <v>1</v>
      </c>
      <c r="AC36" s="2" t="s">
        <v>7</v>
      </c>
    </row>
    <row r="37" spans="1:29" x14ac:dyDescent="0.4">
      <c r="A37" s="2" t="s">
        <v>233</v>
      </c>
      <c r="B37" s="2" t="s">
        <v>76</v>
      </c>
      <c r="C37" s="2" t="s">
        <v>77</v>
      </c>
      <c r="D37" s="2" t="s">
        <v>368</v>
      </c>
      <c r="E37" s="2" t="s">
        <v>79</v>
      </c>
      <c r="F37" s="2" t="s">
        <v>369</v>
      </c>
      <c r="G37" s="2" t="s">
        <v>81</v>
      </c>
      <c r="H37" s="2" t="s">
        <v>370</v>
      </c>
      <c r="I37" s="2" t="s">
        <v>83</v>
      </c>
      <c r="K37" s="2" t="s">
        <v>84</v>
      </c>
      <c r="L37" s="2" t="s">
        <v>371</v>
      </c>
      <c r="M37" s="2" t="s">
        <v>1</v>
      </c>
      <c r="N37" s="2" t="s">
        <v>372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371</v>
      </c>
      <c r="T37" s="2" t="s">
        <v>86</v>
      </c>
      <c r="U37" s="2" t="s">
        <v>1</v>
      </c>
      <c r="V37" s="2" t="s">
        <v>1</v>
      </c>
      <c r="W37" s="2" t="s">
        <v>1</v>
      </c>
      <c r="X37" s="2" t="s">
        <v>87</v>
      </c>
      <c r="Z37" s="2" t="s">
        <v>87</v>
      </c>
      <c r="AA37" s="2" t="s">
        <v>1</v>
      </c>
      <c r="AB37" s="2" t="s">
        <v>1</v>
      </c>
      <c r="AC37" s="2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EAA2-AFAC-4633-B545-6489724B75B7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57</v>
      </c>
    </row>
    <row r="3" spans="1:1" x14ac:dyDescent="0.4">
      <c r="A3" s="2" t="s">
        <v>2</v>
      </c>
    </row>
    <row r="11" spans="1:1" x14ac:dyDescent="0.4">
      <c r="A11" s="2" t="s">
        <v>1</v>
      </c>
    </row>
    <row r="12" spans="1:1" x14ac:dyDescent="0.4">
      <c r="A12" s="2" t="s">
        <v>2</v>
      </c>
    </row>
    <row r="13" spans="1:1" x14ac:dyDescent="0.4">
      <c r="A13" s="2" t="s">
        <v>2</v>
      </c>
    </row>
    <row r="14" spans="1:1" x14ac:dyDescent="0.4">
      <c r="A14" s="2" t="s">
        <v>7</v>
      </c>
    </row>
    <row r="15" spans="1:1" x14ac:dyDescent="0.4">
      <c r="A15" s="2" t="s">
        <v>7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1</v>
      </c>
      <c r="B31" s="2" t="s">
        <v>1</v>
      </c>
      <c r="C31" s="2" t="s">
        <v>2</v>
      </c>
    </row>
    <row r="32" spans="1:3" x14ac:dyDescent="0.4">
      <c r="A32" s="2" t="s">
        <v>1</v>
      </c>
      <c r="B32" s="2" t="s">
        <v>1</v>
      </c>
      <c r="C32" s="2"/>
    </row>
    <row r="33" spans="1:3" x14ac:dyDescent="0.4">
      <c r="A33" s="2" t="s">
        <v>1</v>
      </c>
      <c r="B33" s="2"/>
      <c r="C33" s="2"/>
    </row>
    <row r="34" spans="1:3" x14ac:dyDescent="0.4">
      <c r="A34" s="2" t="s">
        <v>1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51" spans="1:1" x14ac:dyDescent="0.4">
      <c r="A51" s="2" t="s">
        <v>455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05DC-E16A-4891-A882-75966823471A}">
  <dimension ref="B1:CL77"/>
  <sheetViews>
    <sheetView tabSelected="1" view="pageBreakPreview" zoomScale="145" zoomScaleNormal="100" zoomScaleSheetLayoutView="145" workbookViewId="0">
      <selection activeCell="BN55" sqref="BN55"/>
    </sheetView>
  </sheetViews>
  <sheetFormatPr defaultColWidth="1.125" defaultRowHeight="9" customHeight="1" x14ac:dyDescent="0.4"/>
  <cols>
    <col min="1" max="1" width="1" style="5" customWidth="1"/>
    <col min="2" max="9" width="1.125" style="4"/>
    <col min="10" max="11" width="0.875" style="4" customWidth="1"/>
    <col min="12" max="23" width="0.625" style="4" customWidth="1"/>
    <col min="24" max="34" width="1.125" style="4"/>
    <col min="35" max="37" width="0.875" style="4" customWidth="1"/>
    <col min="38" max="45" width="0.875" style="5" customWidth="1"/>
    <col min="46" max="46" width="1" style="5" customWidth="1"/>
    <col min="47" max="52" width="0.875" style="5" customWidth="1"/>
    <col min="53" max="53" width="1" style="5" customWidth="1"/>
    <col min="54" max="56" width="0.875" style="5" customWidth="1"/>
    <col min="57" max="62" width="0.625" style="5" customWidth="1"/>
    <col min="63" max="63" width="1" style="5" customWidth="1"/>
    <col min="64" max="69" width="0.875" style="5" customWidth="1"/>
    <col min="70" max="70" width="1" style="5" customWidth="1"/>
    <col min="71" max="90" width="1.125" style="5" hidden="1" customWidth="1"/>
    <col min="91" max="16384" width="1.125" style="5"/>
  </cols>
  <sheetData>
    <row r="1" spans="3:90" ht="9" customHeight="1" x14ac:dyDescent="0.4">
      <c r="Y1" s="14"/>
      <c r="Z1" s="15" t="s">
        <v>41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</row>
    <row r="2" spans="3:90" ht="9" customHeight="1" x14ac:dyDescent="0.4">
      <c r="X2" s="14"/>
      <c r="Y2" s="14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</row>
    <row r="3" spans="3:90" ht="9" customHeight="1" x14ac:dyDescent="0.4">
      <c r="AL3" s="4"/>
      <c r="AM3" s="4"/>
      <c r="AN3" s="4"/>
      <c r="AO3" s="4"/>
      <c r="AP3" s="4"/>
      <c r="AQ3" s="4"/>
      <c r="AR3" s="4"/>
      <c r="AS3" s="4"/>
      <c r="AT3" s="4"/>
      <c r="AU3" s="4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3:90" ht="9" customHeight="1" x14ac:dyDescent="0.4">
      <c r="C4" s="142" t="s">
        <v>70</v>
      </c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21" t="s">
        <v>71</v>
      </c>
      <c r="W4" s="121"/>
      <c r="X4" s="121"/>
      <c r="Y4" s="121"/>
      <c r="Z4" s="121"/>
      <c r="AA4" s="121"/>
      <c r="AB4" s="121"/>
      <c r="AC4" s="121"/>
      <c r="AL4" s="4"/>
      <c r="AM4" s="4"/>
      <c r="AN4" s="4"/>
      <c r="AO4" s="4"/>
      <c r="AP4" s="4"/>
      <c r="AQ4" s="4"/>
      <c r="AR4" s="4"/>
      <c r="AS4" s="4"/>
      <c r="AT4" s="4"/>
      <c r="AU4" s="4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3:90" ht="9" customHeight="1" x14ac:dyDescent="0.4"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22"/>
      <c r="W5" s="122"/>
      <c r="X5" s="122"/>
      <c r="Y5" s="122"/>
      <c r="Z5" s="122"/>
      <c r="AA5" s="122"/>
      <c r="AB5" s="122"/>
      <c r="AC5" s="122"/>
      <c r="AL5" s="4"/>
      <c r="AM5" s="4"/>
      <c r="AN5" s="4"/>
      <c r="AO5" s="4"/>
      <c r="AP5" s="4"/>
      <c r="AQ5" s="4"/>
      <c r="AR5" s="4"/>
      <c r="AS5" s="4"/>
      <c r="AT5" s="4"/>
      <c r="AU5" s="4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3:90" ht="9" customHeight="1" x14ac:dyDescent="0.4"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3:90" ht="8.1" customHeight="1" x14ac:dyDescent="0.4">
      <c r="C7" s="126" t="s">
        <v>50</v>
      </c>
      <c r="D7" s="126"/>
      <c r="E7" s="126"/>
      <c r="F7" s="127" t="s">
        <v>46</v>
      </c>
      <c r="G7" s="127"/>
      <c r="H7" s="127"/>
      <c r="I7" s="127"/>
      <c r="J7" s="127"/>
      <c r="K7" s="86"/>
      <c r="L7" s="69" t="s">
        <v>62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53" t="s">
        <v>48</v>
      </c>
      <c r="AG7" s="53"/>
      <c r="AH7" s="53"/>
      <c r="AI7" s="53"/>
      <c r="AJ7" s="54"/>
      <c r="AK7" s="127" t="s">
        <v>51</v>
      </c>
      <c r="AL7" s="127"/>
      <c r="AM7" s="127"/>
      <c r="AN7" s="127"/>
      <c r="AO7" s="127"/>
      <c r="AP7" s="127"/>
      <c r="AQ7" s="127"/>
      <c r="AR7" s="127"/>
      <c r="AS7" s="127"/>
      <c r="AT7" s="143" t="s">
        <v>67</v>
      </c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6"/>
      <c r="BT7" s="6"/>
      <c r="BU7" s="8"/>
      <c r="BV7" s="8"/>
      <c r="BW7" s="8"/>
      <c r="BX7" s="8"/>
      <c r="BY7" s="8"/>
      <c r="BZ7" s="8"/>
      <c r="CA7" s="8"/>
      <c r="CB7" s="8"/>
      <c r="CC7" s="8"/>
      <c r="CD7" s="6"/>
      <c r="CE7" s="6"/>
      <c r="CF7" s="6"/>
      <c r="CG7" s="6"/>
      <c r="CH7" s="6"/>
      <c r="CI7" s="6"/>
      <c r="CJ7" s="6"/>
      <c r="CK7" s="6"/>
      <c r="CL7" s="6"/>
    </row>
    <row r="8" spans="3:90" ht="8.1" customHeight="1" x14ac:dyDescent="0.4">
      <c r="C8" s="126"/>
      <c r="D8" s="126"/>
      <c r="E8" s="126"/>
      <c r="F8" s="127"/>
      <c r="G8" s="127"/>
      <c r="H8" s="127"/>
      <c r="I8" s="127"/>
      <c r="J8" s="127"/>
      <c r="K8" s="86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53"/>
      <c r="AG8" s="53"/>
      <c r="AH8" s="53"/>
      <c r="AI8" s="53"/>
      <c r="AJ8" s="54"/>
      <c r="AK8" s="127"/>
      <c r="AL8" s="127"/>
      <c r="AM8" s="127"/>
      <c r="AN8" s="127"/>
      <c r="AO8" s="127"/>
      <c r="AP8" s="127"/>
      <c r="AQ8" s="127"/>
      <c r="AR8" s="127"/>
      <c r="AS8" s="127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6"/>
      <c r="BT8" s="6"/>
      <c r="BU8" s="8"/>
      <c r="BV8" s="8"/>
      <c r="BW8" s="8"/>
      <c r="BX8" s="8"/>
      <c r="BY8" s="8"/>
      <c r="BZ8" s="8"/>
      <c r="CA8" s="8"/>
      <c r="CB8" s="8"/>
      <c r="CC8" s="8"/>
      <c r="CD8" s="6"/>
      <c r="CE8" s="6"/>
      <c r="CF8" s="6"/>
      <c r="CG8" s="6"/>
      <c r="CH8" s="6"/>
      <c r="CI8" s="6"/>
      <c r="CJ8" s="6"/>
      <c r="CK8" s="6"/>
      <c r="CL8" s="6"/>
    </row>
    <row r="9" spans="3:90" ht="6.95" customHeight="1" x14ac:dyDescent="0.4">
      <c r="C9" s="126"/>
      <c r="D9" s="126"/>
      <c r="E9" s="126"/>
      <c r="F9" s="127" t="s">
        <v>47</v>
      </c>
      <c r="G9" s="127"/>
      <c r="H9" s="127"/>
      <c r="I9" s="127"/>
      <c r="J9" s="127"/>
      <c r="K9" s="86"/>
      <c r="L9" s="140" t="s">
        <v>63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1"/>
      <c r="AK9" s="127" t="s">
        <v>52</v>
      </c>
      <c r="AL9" s="127"/>
      <c r="AM9" s="127"/>
      <c r="AN9" s="127"/>
      <c r="AO9" s="127"/>
      <c r="AP9" s="127"/>
      <c r="AQ9" s="127"/>
      <c r="AR9" s="127"/>
      <c r="AS9" s="127"/>
      <c r="AT9" s="103" t="s">
        <v>68</v>
      </c>
      <c r="AU9" s="103"/>
      <c r="AV9" s="103"/>
      <c r="AW9" s="103"/>
      <c r="AX9" s="103"/>
      <c r="AY9" s="103"/>
      <c r="AZ9" s="104"/>
      <c r="BA9" s="108" t="s">
        <v>53</v>
      </c>
      <c r="BB9" s="109"/>
      <c r="BC9" s="109"/>
      <c r="BD9" s="110" t="s">
        <v>55</v>
      </c>
      <c r="BE9" s="28" t="s">
        <v>69</v>
      </c>
      <c r="BF9" s="28"/>
      <c r="BG9" s="28"/>
      <c r="BH9" s="28"/>
      <c r="BI9" s="28"/>
      <c r="BJ9" s="28"/>
      <c r="BK9" s="28"/>
      <c r="BL9" s="49" t="s">
        <v>56</v>
      </c>
      <c r="BM9" s="49"/>
      <c r="BN9" s="49"/>
      <c r="BO9" s="49"/>
      <c r="BP9" s="49"/>
      <c r="BQ9" s="49"/>
      <c r="BR9" s="50"/>
      <c r="BS9" s="6"/>
      <c r="BT9" s="6"/>
      <c r="BU9" s="8"/>
      <c r="BV9" s="8"/>
      <c r="BW9" s="8"/>
      <c r="BX9" s="8"/>
      <c r="BY9" s="8"/>
      <c r="BZ9" s="8"/>
      <c r="CA9" s="8"/>
      <c r="CB9" s="8"/>
      <c r="CC9" s="8"/>
      <c r="CD9" s="6"/>
      <c r="CE9" s="6"/>
      <c r="CF9" s="6"/>
      <c r="CG9" s="6"/>
      <c r="CH9" s="6"/>
      <c r="CI9" s="6"/>
      <c r="CJ9" s="6"/>
      <c r="CK9" s="6"/>
      <c r="CL9" s="6"/>
    </row>
    <row r="10" spans="3:90" ht="6.95" customHeight="1" x14ac:dyDescent="0.4">
      <c r="C10" s="126"/>
      <c r="D10" s="126"/>
      <c r="E10" s="126"/>
      <c r="F10" s="127"/>
      <c r="G10" s="127"/>
      <c r="H10" s="127"/>
      <c r="I10" s="127"/>
      <c r="J10" s="127"/>
      <c r="K10" s="86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1"/>
      <c r="AK10" s="127"/>
      <c r="AL10" s="127"/>
      <c r="AM10" s="127"/>
      <c r="AN10" s="127"/>
      <c r="AO10" s="127"/>
      <c r="AP10" s="127"/>
      <c r="AQ10" s="127"/>
      <c r="AR10" s="127"/>
      <c r="AS10" s="127"/>
      <c r="AT10" s="103"/>
      <c r="AU10" s="103"/>
      <c r="AV10" s="103"/>
      <c r="AW10" s="103"/>
      <c r="AX10" s="103"/>
      <c r="AY10" s="103"/>
      <c r="AZ10" s="104"/>
      <c r="BA10" s="108"/>
      <c r="BB10" s="109"/>
      <c r="BC10" s="109"/>
      <c r="BD10" s="110"/>
      <c r="BE10" s="111"/>
      <c r="BF10" s="111"/>
      <c r="BG10" s="111"/>
      <c r="BH10" s="111"/>
      <c r="BI10" s="111"/>
      <c r="BJ10" s="111"/>
      <c r="BK10" s="111"/>
      <c r="BL10" s="29"/>
      <c r="BM10" s="29"/>
      <c r="BN10" s="29"/>
      <c r="BO10" s="29"/>
      <c r="BP10" s="29"/>
      <c r="BQ10" s="29"/>
      <c r="BR10" s="112"/>
      <c r="BS10" s="6"/>
      <c r="BT10" s="6"/>
      <c r="BU10" s="8"/>
      <c r="BV10" s="8"/>
      <c r="BW10" s="8"/>
      <c r="BX10" s="8"/>
      <c r="BY10" s="8"/>
      <c r="BZ10" s="8"/>
      <c r="CA10" s="8"/>
      <c r="CB10" s="8"/>
      <c r="CC10" s="8"/>
      <c r="CD10" s="6"/>
      <c r="CE10" s="6"/>
      <c r="CF10" s="6"/>
      <c r="CG10" s="6"/>
      <c r="CH10" s="6"/>
      <c r="CI10" s="6"/>
      <c r="CJ10" s="6"/>
      <c r="CK10" s="6"/>
      <c r="CL10" s="6"/>
    </row>
    <row r="11" spans="3:90" ht="6.95" customHeight="1" x14ac:dyDescent="0.4">
      <c r="C11" s="126"/>
      <c r="D11" s="126"/>
      <c r="E11" s="126"/>
      <c r="F11" s="127" t="s">
        <v>44</v>
      </c>
      <c r="G11" s="127"/>
      <c r="H11" s="127"/>
      <c r="I11" s="127"/>
      <c r="J11" s="127"/>
      <c r="K11" s="86"/>
      <c r="L11" s="128" t="s">
        <v>64</v>
      </c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58" t="s">
        <v>42</v>
      </c>
      <c r="X11" s="58"/>
      <c r="Y11" s="58"/>
      <c r="Z11" s="58"/>
      <c r="AA11" s="93" t="s">
        <v>43</v>
      </c>
      <c r="AB11" s="53"/>
      <c r="AC11" s="53"/>
      <c r="AD11" s="53"/>
      <c r="AE11" s="27" t="s">
        <v>65</v>
      </c>
      <c r="AF11" s="27"/>
      <c r="AG11" s="27"/>
      <c r="AH11" s="27"/>
      <c r="AI11" s="27"/>
      <c r="AJ11" s="91"/>
      <c r="AK11" s="123" t="s">
        <v>54</v>
      </c>
      <c r="AL11" s="123"/>
      <c r="AM11" s="123"/>
      <c r="AN11" s="123"/>
      <c r="AO11" s="123"/>
      <c r="AP11" s="123"/>
      <c r="AQ11" s="123"/>
      <c r="AR11" s="123"/>
      <c r="AS11" s="124"/>
      <c r="AT11" s="54" t="str">
        <f>IF(BC11="","無","有")</f>
        <v>有</v>
      </c>
      <c r="AU11" s="125"/>
      <c r="AV11" s="125"/>
      <c r="AW11" s="125"/>
      <c r="AX11" s="125"/>
      <c r="AY11" s="125"/>
      <c r="AZ11" s="125"/>
      <c r="BA11" s="93"/>
      <c r="BB11" s="30" t="s">
        <v>55</v>
      </c>
      <c r="BC11" s="105" t="s">
        <v>73</v>
      </c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7"/>
      <c r="BR11" s="48" t="s">
        <v>56</v>
      </c>
      <c r="BS11" s="6"/>
      <c r="BT11" s="6"/>
      <c r="BU11" s="8"/>
      <c r="BV11" s="8"/>
      <c r="BW11" s="8"/>
      <c r="BX11" s="8"/>
      <c r="BY11" s="8"/>
      <c r="BZ11" s="8"/>
      <c r="CA11" s="8"/>
      <c r="CB11" s="8"/>
      <c r="CC11" s="8"/>
      <c r="CD11" s="6"/>
      <c r="CE11" s="6"/>
      <c r="CF11" s="6"/>
      <c r="CG11" s="6"/>
      <c r="CH11" s="6"/>
      <c r="CI11" s="6"/>
      <c r="CJ11" s="6"/>
      <c r="CK11" s="6"/>
      <c r="CL11" s="6"/>
    </row>
    <row r="12" spans="3:90" ht="6.95" customHeight="1" x14ac:dyDescent="0.4">
      <c r="C12" s="126"/>
      <c r="D12" s="126"/>
      <c r="E12" s="126"/>
      <c r="F12" s="127"/>
      <c r="G12" s="127"/>
      <c r="H12" s="127"/>
      <c r="I12" s="127"/>
      <c r="J12" s="127"/>
      <c r="K12" s="86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58"/>
      <c r="X12" s="58"/>
      <c r="Y12" s="58"/>
      <c r="Z12" s="58"/>
      <c r="AA12" s="93"/>
      <c r="AB12" s="53"/>
      <c r="AC12" s="53"/>
      <c r="AD12" s="53"/>
      <c r="AE12" s="27"/>
      <c r="AF12" s="27"/>
      <c r="AG12" s="27"/>
      <c r="AH12" s="27"/>
      <c r="AI12" s="27"/>
      <c r="AJ12" s="91"/>
      <c r="AK12" s="123"/>
      <c r="AL12" s="123"/>
      <c r="AM12" s="123"/>
      <c r="AN12" s="123"/>
      <c r="AO12" s="123"/>
      <c r="AP12" s="123"/>
      <c r="AQ12" s="123"/>
      <c r="AR12" s="123"/>
      <c r="AS12" s="124"/>
      <c r="AT12" s="54"/>
      <c r="AU12" s="125"/>
      <c r="AV12" s="125"/>
      <c r="AW12" s="125"/>
      <c r="AX12" s="125"/>
      <c r="AY12" s="125"/>
      <c r="AZ12" s="125"/>
      <c r="BA12" s="93"/>
      <c r="BB12" s="30"/>
      <c r="BC12" s="105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7"/>
      <c r="BR12" s="48"/>
      <c r="BS12" s="6"/>
      <c r="BT12" s="6"/>
      <c r="BU12" s="8"/>
      <c r="BV12" s="8"/>
      <c r="BW12" s="8"/>
      <c r="BX12" s="8"/>
      <c r="BY12" s="8"/>
      <c r="BZ12" s="8"/>
      <c r="CA12" s="8"/>
      <c r="CB12" s="8"/>
      <c r="CC12" s="8"/>
      <c r="CD12" s="6"/>
      <c r="CE12" s="6"/>
      <c r="CF12" s="6"/>
      <c r="CG12" s="6"/>
      <c r="CH12" s="6"/>
      <c r="CI12" s="6"/>
      <c r="CJ12" s="6"/>
      <c r="CK12" s="6"/>
      <c r="CL12" s="6"/>
    </row>
    <row r="13" spans="3:90" ht="6.95" customHeight="1" x14ac:dyDescent="0.4">
      <c r="C13" s="126"/>
      <c r="D13" s="126"/>
      <c r="E13" s="126"/>
      <c r="F13" s="129" t="s">
        <v>45</v>
      </c>
      <c r="G13" s="130"/>
      <c r="H13" s="130"/>
      <c r="I13" s="130"/>
      <c r="J13" s="130"/>
      <c r="K13" s="130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5"/>
      <c r="AK13" s="119" t="s">
        <v>74</v>
      </c>
      <c r="AL13" s="119"/>
      <c r="AM13" s="119"/>
      <c r="AN13" s="119"/>
      <c r="AO13" s="119"/>
      <c r="AP13" s="119"/>
      <c r="AQ13" s="119"/>
      <c r="AR13" s="119"/>
      <c r="AS13" s="120"/>
      <c r="AT13" s="30" t="s">
        <v>55</v>
      </c>
      <c r="AU13" s="96" t="s">
        <v>75</v>
      </c>
      <c r="AV13" s="97"/>
      <c r="AW13" s="97"/>
      <c r="AX13" s="97"/>
      <c r="AY13" s="97"/>
      <c r="AZ13" s="98"/>
      <c r="BA13" s="48" t="s">
        <v>56</v>
      </c>
      <c r="BB13" s="117"/>
      <c r="BC13" s="117"/>
      <c r="BD13" s="117"/>
      <c r="BE13" s="117"/>
      <c r="BF13" s="117"/>
      <c r="BG13" s="117"/>
      <c r="BH13" s="117"/>
      <c r="BI13" s="117"/>
      <c r="BJ13" s="118"/>
      <c r="BK13" s="30" t="s">
        <v>55</v>
      </c>
      <c r="BL13" s="48"/>
      <c r="BM13" s="116"/>
      <c r="BN13" s="116"/>
      <c r="BO13" s="116"/>
      <c r="BP13" s="116"/>
      <c r="BQ13" s="110"/>
      <c r="BR13" s="48" t="s">
        <v>56</v>
      </c>
      <c r="BS13" s="6"/>
      <c r="BT13" s="6"/>
      <c r="BU13" s="8"/>
      <c r="BV13" s="8"/>
      <c r="BW13" s="8"/>
      <c r="BX13" s="8"/>
      <c r="BY13" s="8"/>
      <c r="BZ13" s="8"/>
      <c r="CA13" s="8"/>
      <c r="CB13" s="8"/>
      <c r="CC13" s="8"/>
      <c r="CD13" s="6"/>
      <c r="CE13" s="6"/>
      <c r="CF13" s="6"/>
      <c r="CG13" s="6"/>
      <c r="CH13" s="6"/>
      <c r="CI13" s="6"/>
      <c r="CJ13" s="6"/>
      <c r="CK13" s="6"/>
      <c r="CL13" s="6"/>
    </row>
    <row r="14" spans="3:90" ht="6.95" customHeight="1" x14ac:dyDescent="0.4">
      <c r="C14" s="126"/>
      <c r="D14" s="126"/>
      <c r="E14" s="126"/>
      <c r="F14" s="131"/>
      <c r="G14" s="23"/>
      <c r="H14" s="23"/>
      <c r="I14" s="23"/>
      <c r="J14" s="23"/>
      <c r="K14" s="23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7"/>
      <c r="AK14" s="119"/>
      <c r="AL14" s="119"/>
      <c r="AM14" s="119"/>
      <c r="AN14" s="119"/>
      <c r="AO14" s="119"/>
      <c r="AP14" s="119"/>
      <c r="AQ14" s="119"/>
      <c r="AR14" s="119"/>
      <c r="AS14" s="120"/>
      <c r="AT14" s="30"/>
      <c r="AU14" s="96"/>
      <c r="AV14" s="97"/>
      <c r="AW14" s="97"/>
      <c r="AX14" s="97"/>
      <c r="AY14" s="97"/>
      <c r="AZ14" s="98"/>
      <c r="BA14" s="48"/>
      <c r="BB14" s="117"/>
      <c r="BC14" s="117"/>
      <c r="BD14" s="117"/>
      <c r="BE14" s="117"/>
      <c r="BF14" s="117"/>
      <c r="BG14" s="117"/>
      <c r="BH14" s="117"/>
      <c r="BI14" s="117"/>
      <c r="BJ14" s="118"/>
      <c r="BK14" s="30"/>
      <c r="BL14" s="48"/>
      <c r="BM14" s="116"/>
      <c r="BN14" s="116"/>
      <c r="BO14" s="116"/>
      <c r="BP14" s="116"/>
      <c r="BQ14" s="110"/>
      <c r="BR14" s="48"/>
      <c r="BS14" s="6"/>
      <c r="BT14" s="6"/>
      <c r="BU14" s="8"/>
      <c r="BV14" s="8"/>
      <c r="BW14" s="8"/>
      <c r="BX14" s="8"/>
      <c r="BY14" s="8"/>
      <c r="BZ14" s="8"/>
      <c r="CA14" s="8"/>
      <c r="CB14" s="8"/>
      <c r="CC14" s="8"/>
      <c r="CD14" s="6"/>
      <c r="CE14" s="6"/>
      <c r="CF14" s="6"/>
      <c r="CG14" s="6"/>
      <c r="CH14" s="6"/>
      <c r="CI14" s="6"/>
      <c r="CJ14" s="6"/>
      <c r="CK14" s="6"/>
      <c r="CL14" s="6"/>
    </row>
    <row r="15" spans="3:90" ht="6.95" customHeight="1" x14ac:dyDescent="0.4">
      <c r="C15" s="126"/>
      <c r="D15" s="126"/>
      <c r="E15" s="126"/>
      <c r="F15" s="131"/>
      <c r="G15" s="23"/>
      <c r="H15" s="23"/>
      <c r="I15" s="23"/>
      <c r="J15" s="23"/>
      <c r="K15" s="23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7"/>
      <c r="AK15" s="117"/>
      <c r="AL15" s="117"/>
      <c r="AM15" s="117"/>
      <c r="AN15" s="117"/>
      <c r="AO15" s="117"/>
      <c r="AP15" s="117"/>
      <c r="AQ15" s="117"/>
      <c r="AR15" s="117"/>
      <c r="AS15" s="118"/>
      <c r="AT15" s="30" t="s">
        <v>55</v>
      </c>
      <c r="AU15" s="48"/>
      <c r="AV15" s="116"/>
      <c r="AW15" s="116"/>
      <c r="AX15" s="116"/>
      <c r="AY15" s="116"/>
      <c r="AZ15" s="110"/>
      <c r="BA15" s="48" t="s">
        <v>56</v>
      </c>
      <c r="BB15" s="117"/>
      <c r="BC15" s="117"/>
      <c r="BD15" s="117"/>
      <c r="BE15" s="117"/>
      <c r="BF15" s="117"/>
      <c r="BG15" s="117"/>
      <c r="BH15" s="117"/>
      <c r="BI15" s="117"/>
      <c r="BJ15" s="118"/>
      <c r="BK15" s="30" t="s">
        <v>55</v>
      </c>
      <c r="BL15" s="48"/>
      <c r="BM15" s="116"/>
      <c r="BN15" s="116"/>
      <c r="BO15" s="116"/>
      <c r="BP15" s="116"/>
      <c r="BQ15" s="110"/>
      <c r="BR15" s="48" t="s">
        <v>56</v>
      </c>
      <c r="BS15" s="6"/>
      <c r="BT15" s="6"/>
      <c r="BU15" s="8"/>
      <c r="BV15" s="8"/>
      <c r="BW15" s="8"/>
      <c r="BX15" s="8"/>
      <c r="BY15" s="8"/>
      <c r="BZ15" s="8"/>
      <c r="CA15" s="8"/>
      <c r="CB15" s="8"/>
      <c r="CC15" s="8"/>
      <c r="CD15" s="6"/>
      <c r="CE15" s="6"/>
      <c r="CF15" s="6"/>
      <c r="CG15" s="6"/>
      <c r="CH15" s="6"/>
      <c r="CI15" s="6"/>
      <c r="CJ15" s="6"/>
      <c r="CK15" s="6"/>
      <c r="CL15" s="6"/>
    </row>
    <row r="16" spans="3:90" ht="6.95" customHeight="1" x14ac:dyDescent="0.4">
      <c r="C16" s="126"/>
      <c r="D16" s="126"/>
      <c r="E16" s="126"/>
      <c r="F16" s="132"/>
      <c r="G16" s="133"/>
      <c r="H16" s="133"/>
      <c r="I16" s="133"/>
      <c r="J16" s="133"/>
      <c r="K16" s="133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138"/>
      <c r="AK16" s="117"/>
      <c r="AL16" s="117"/>
      <c r="AM16" s="117"/>
      <c r="AN16" s="117"/>
      <c r="AO16" s="117"/>
      <c r="AP16" s="117"/>
      <c r="AQ16" s="117"/>
      <c r="AR16" s="117"/>
      <c r="AS16" s="118"/>
      <c r="AT16" s="30"/>
      <c r="AU16" s="48"/>
      <c r="AV16" s="116"/>
      <c r="AW16" s="116"/>
      <c r="AX16" s="116"/>
      <c r="AY16" s="116"/>
      <c r="AZ16" s="110"/>
      <c r="BA16" s="48"/>
      <c r="BB16" s="117"/>
      <c r="BC16" s="117"/>
      <c r="BD16" s="117"/>
      <c r="BE16" s="117"/>
      <c r="BF16" s="117"/>
      <c r="BG16" s="117"/>
      <c r="BH16" s="117"/>
      <c r="BI16" s="117"/>
      <c r="BJ16" s="118"/>
      <c r="BK16" s="30"/>
      <c r="BL16" s="48"/>
      <c r="BM16" s="116"/>
      <c r="BN16" s="116"/>
      <c r="BO16" s="116"/>
      <c r="BP16" s="116"/>
      <c r="BQ16" s="110"/>
      <c r="BR16" s="48"/>
      <c r="BS16" s="6"/>
      <c r="BT16" s="6"/>
      <c r="BU16" s="8"/>
      <c r="BV16" s="8"/>
      <c r="BW16" s="8"/>
      <c r="BX16" s="8"/>
      <c r="BY16" s="8"/>
      <c r="BZ16" s="8"/>
      <c r="CA16" s="8"/>
      <c r="CB16" s="8"/>
      <c r="CC16" s="8"/>
      <c r="CD16" s="6"/>
      <c r="CE16" s="6"/>
      <c r="CF16" s="6"/>
      <c r="CG16" s="6"/>
      <c r="CH16" s="6"/>
      <c r="CI16" s="6"/>
      <c r="CJ16" s="6"/>
      <c r="CK16" s="6"/>
      <c r="CL16" s="6"/>
    </row>
    <row r="17" spans="3:90" ht="12" customHeight="1" x14ac:dyDescent="0.4">
      <c r="C17" s="126"/>
      <c r="D17" s="126"/>
      <c r="E17" s="126"/>
      <c r="F17" s="127" t="s">
        <v>49</v>
      </c>
      <c r="G17" s="127"/>
      <c r="H17" s="127"/>
      <c r="I17" s="127"/>
      <c r="J17" s="127"/>
      <c r="K17" s="127"/>
      <c r="L17" s="139" t="s">
        <v>66</v>
      </c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6"/>
      <c r="BT17" s="6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6"/>
      <c r="CF17" s="6"/>
      <c r="CG17" s="6"/>
      <c r="CH17" s="6"/>
      <c r="CI17" s="6"/>
      <c r="CJ17" s="6"/>
      <c r="CK17" s="6"/>
      <c r="CL17" s="6"/>
    </row>
    <row r="18" spans="3:90" ht="12" customHeight="1" x14ac:dyDescent="0.4">
      <c r="C18" s="126"/>
      <c r="D18" s="126"/>
      <c r="E18" s="126"/>
      <c r="F18" s="127"/>
      <c r="G18" s="127"/>
      <c r="H18" s="127"/>
      <c r="I18" s="127"/>
      <c r="J18" s="127"/>
      <c r="K18" s="127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3:90" ht="12" customHeight="1" x14ac:dyDescent="0.4">
      <c r="C19" s="126"/>
      <c r="D19" s="126"/>
      <c r="E19" s="126"/>
      <c r="F19" s="127"/>
      <c r="G19" s="127"/>
      <c r="H19" s="127"/>
      <c r="I19" s="127"/>
      <c r="J19" s="127"/>
      <c r="K19" s="127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3:90" ht="12" customHeight="1" x14ac:dyDescent="0.4">
      <c r="C20" s="126"/>
      <c r="D20" s="126"/>
      <c r="E20" s="126"/>
      <c r="F20" s="127"/>
      <c r="G20" s="127"/>
      <c r="H20" s="127"/>
      <c r="I20" s="127"/>
      <c r="J20" s="127"/>
      <c r="K20" s="127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3:90" ht="12" customHeight="1" x14ac:dyDescent="0.4">
      <c r="C21" s="126"/>
      <c r="D21" s="126"/>
      <c r="E21" s="126"/>
      <c r="F21" s="127"/>
      <c r="G21" s="127"/>
      <c r="H21" s="127"/>
      <c r="I21" s="127"/>
      <c r="J21" s="127"/>
      <c r="K21" s="127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3:90" ht="9" customHeight="1" x14ac:dyDescent="0.4">
      <c r="C22" s="79" t="s">
        <v>203</v>
      </c>
      <c r="D22" s="80"/>
      <c r="E22" s="81"/>
      <c r="F22" s="39" t="s">
        <v>204</v>
      </c>
      <c r="G22" s="40"/>
      <c r="H22" s="40"/>
      <c r="I22" s="40"/>
      <c r="J22" s="40"/>
      <c r="K22" s="40"/>
      <c r="L22" s="69" t="s">
        <v>234</v>
      </c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70"/>
      <c r="AK22" s="86" t="s">
        <v>215</v>
      </c>
      <c r="AL22" s="87"/>
      <c r="AM22" s="87"/>
      <c r="AN22" s="87"/>
      <c r="AO22" s="87"/>
      <c r="AP22" s="87"/>
      <c r="AQ22" s="113" t="s">
        <v>252</v>
      </c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87" t="s">
        <v>222</v>
      </c>
      <c r="BR22" s="115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</row>
    <row r="23" spans="3:90" ht="9" customHeight="1" x14ac:dyDescent="0.4">
      <c r="C23" s="82"/>
      <c r="D23" s="83"/>
      <c r="E23" s="84"/>
      <c r="F23" s="39"/>
      <c r="G23" s="40"/>
      <c r="H23" s="40"/>
      <c r="I23" s="40"/>
      <c r="J23" s="40"/>
      <c r="K23" s="40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70"/>
      <c r="AK23" s="86"/>
      <c r="AL23" s="87"/>
      <c r="AM23" s="87"/>
      <c r="AN23" s="87"/>
      <c r="AO23" s="87"/>
      <c r="AP23" s="87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87"/>
      <c r="BR23" s="115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3:90" ht="9" customHeight="1" x14ac:dyDescent="0.4">
      <c r="C24" s="82"/>
      <c r="D24" s="83"/>
      <c r="E24" s="84"/>
      <c r="F24" s="39" t="s">
        <v>205</v>
      </c>
      <c r="G24" s="40"/>
      <c r="H24" s="40"/>
      <c r="I24" s="40"/>
      <c r="J24" s="40"/>
      <c r="K24" s="40"/>
      <c r="L24" s="99" t="s">
        <v>236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102"/>
      <c r="AB24" s="102"/>
      <c r="AC24" s="95" t="s">
        <v>442</v>
      </c>
      <c r="AD24" s="95"/>
      <c r="AE24" s="95"/>
      <c r="AF24" s="95"/>
      <c r="AG24" s="95"/>
      <c r="AH24" s="95"/>
      <c r="AI24" s="95"/>
      <c r="AJ24" s="101"/>
      <c r="AK24" s="86" t="s">
        <v>217</v>
      </c>
      <c r="AL24" s="87"/>
      <c r="AM24" s="87"/>
      <c r="AN24" s="87"/>
      <c r="AO24" s="87"/>
      <c r="AP24" s="87"/>
      <c r="AQ24" s="85" t="s">
        <v>253</v>
      </c>
      <c r="AR24" s="85"/>
      <c r="AS24" s="85"/>
      <c r="AT24" s="85"/>
      <c r="AU24" s="85"/>
      <c r="AV24" s="85"/>
      <c r="AW24" s="85"/>
      <c r="AX24" s="85"/>
      <c r="AY24" s="58" t="s">
        <v>254</v>
      </c>
      <c r="AZ24" s="58"/>
      <c r="BA24" s="58"/>
      <c r="BB24" s="30" t="s">
        <v>200</v>
      </c>
      <c r="BC24" s="90" t="s">
        <v>255</v>
      </c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88" t="s">
        <v>201</v>
      </c>
      <c r="BQ24" s="88"/>
      <c r="BR24" s="89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3:90" ht="9" customHeight="1" x14ac:dyDescent="0.4">
      <c r="C25" s="82"/>
      <c r="D25" s="83"/>
      <c r="E25" s="84"/>
      <c r="F25" s="39"/>
      <c r="G25" s="40"/>
      <c r="H25" s="40"/>
      <c r="I25" s="40"/>
      <c r="J25" s="40"/>
      <c r="K25" s="4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37"/>
      <c r="AB25" s="37"/>
      <c r="AC25" s="51"/>
      <c r="AD25" s="51"/>
      <c r="AE25" s="51"/>
      <c r="AF25" s="51"/>
      <c r="AG25" s="51"/>
      <c r="AH25" s="51"/>
      <c r="AI25" s="51"/>
      <c r="AJ25" s="52"/>
      <c r="AK25" s="86"/>
      <c r="AL25" s="87"/>
      <c r="AM25" s="87"/>
      <c r="AN25" s="87"/>
      <c r="AO25" s="87"/>
      <c r="AP25" s="87"/>
      <c r="AQ25" s="85"/>
      <c r="AR25" s="85"/>
      <c r="AS25" s="85"/>
      <c r="AT25" s="85"/>
      <c r="AU25" s="85"/>
      <c r="AV25" s="85"/>
      <c r="AW25" s="85"/>
      <c r="AX25" s="85"/>
      <c r="AY25" s="58"/>
      <c r="AZ25" s="58"/>
      <c r="BA25" s="58"/>
      <c r="BB25" s="3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88"/>
      <c r="BQ25" s="88"/>
      <c r="BR25" s="89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3:90" ht="9" customHeight="1" x14ac:dyDescent="0.4">
      <c r="C26" s="82"/>
      <c r="D26" s="83"/>
      <c r="E26" s="84"/>
      <c r="F26" s="39" t="s">
        <v>206</v>
      </c>
      <c r="G26" s="40"/>
      <c r="H26" s="40"/>
      <c r="I26" s="40"/>
      <c r="J26" s="40"/>
      <c r="K26" s="40"/>
      <c r="L26" s="53" t="str" cm="1">
        <f t="array" ref="L26">_xlfn.TEXTJOIN("・", TRUE, IF(BT26:BX26&lt;&gt;"", BT26:BX26, ""))</f>
        <v>#・#・指・示・.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86" t="s">
        <v>218</v>
      </c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27" t="s">
        <v>256</v>
      </c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91"/>
      <c r="BS26" s="8" t="s">
        <v>237</v>
      </c>
      <c r="BT26" s="6" t="str">
        <f>IF(LEN($BS26) &gt;= 1, MID($BS26, 1, 1), "")</f>
        <v>#</v>
      </c>
      <c r="BU26" s="6" t="str">
        <f>IF(LEN($BS26) &gt;= 2, MID($BS26, 2, 1), "")</f>
        <v>#</v>
      </c>
      <c r="BV26" s="6" t="str">
        <f>IF(LEN($BS26) &gt;= 3, MID($BS26, 3, 1), "")</f>
        <v>指</v>
      </c>
      <c r="BW26" s="6" t="str">
        <f>IF(LEN($BS26) &gt;= 4, MID($BS26, 4, 1), "")</f>
        <v>示</v>
      </c>
      <c r="BX26" s="6" t="str">
        <f>IF(LEN($BS26) &gt;= 5, MID($BS26, 5, 1), "")</f>
        <v>.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3:90" ht="9" customHeight="1" x14ac:dyDescent="0.4">
      <c r="C27" s="82"/>
      <c r="D27" s="83"/>
      <c r="E27" s="84"/>
      <c r="F27" s="39"/>
      <c r="G27" s="40"/>
      <c r="H27" s="40"/>
      <c r="I27" s="40"/>
      <c r="J27" s="40"/>
      <c r="K27" s="40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86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91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3:90" ht="9" customHeight="1" x14ac:dyDescent="0.4">
      <c r="C28" s="82"/>
      <c r="D28" s="83"/>
      <c r="E28" s="84"/>
      <c r="F28" s="39" t="s">
        <v>208</v>
      </c>
      <c r="G28" s="40"/>
      <c r="H28" s="40"/>
      <c r="I28" s="40"/>
      <c r="J28" s="40"/>
      <c r="K28" s="40"/>
      <c r="L28" s="99" t="s">
        <v>238</v>
      </c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102"/>
      <c r="AB28" s="102"/>
      <c r="AC28" s="95" t="s">
        <v>443</v>
      </c>
      <c r="AD28" s="95"/>
      <c r="AE28" s="95"/>
      <c r="AF28" s="95"/>
      <c r="AG28" s="95"/>
      <c r="AH28" s="95"/>
      <c r="AI28" s="95"/>
      <c r="AJ28" s="101"/>
      <c r="AK28" s="39" t="s">
        <v>219</v>
      </c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92" t="s">
        <v>257</v>
      </c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53" t="s">
        <v>221</v>
      </c>
      <c r="BR28" s="54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3:90" ht="9" customHeight="1" x14ac:dyDescent="0.4">
      <c r="C29" s="82"/>
      <c r="D29" s="83"/>
      <c r="E29" s="84"/>
      <c r="F29" s="39"/>
      <c r="G29" s="40"/>
      <c r="H29" s="40"/>
      <c r="I29" s="40"/>
      <c r="J29" s="40"/>
      <c r="K29" s="4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37"/>
      <c r="AB29" s="37"/>
      <c r="AC29" s="51"/>
      <c r="AD29" s="51"/>
      <c r="AE29" s="51"/>
      <c r="AF29" s="51"/>
      <c r="AG29" s="51"/>
      <c r="AH29" s="51"/>
      <c r="AI29" s="51"/>
      <c r="AJ29" s="52"/>
      <c r="AK29" s="39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53"/>
      <c r="BR29" s="54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3:90" ht="9" customHeight="1" x14ac:dyDescent="0.4">
      <c r="C30" s="82"/>
      <c r="D30" s="83"/>
      <c r="E30" s="84"/>
      <c r="F30" s="39" t="s">
        <v>210</v>
      </c>
      <c r="G30" s="40"/>
      <c r="H30" s="40"/>
      <c r="I30" s="40"/>
      <c r="J30" s="40"/>
      <c r="K30" s="40"/>
      <c r="L30" s="59" t="s">
        <v>239</v>
      </c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60"/>
      <c r="AK30" s="93" t="s">
        <v>220</v>
      </c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69" t="s">
        <v>258</v>
      </c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70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</row>
    <row r="31" spans="3:90" ht="9" customHeight="1" x14ac:dyDescent="0.4">
      <c r="C31" s="82"/>
      <c r="D31" s="83"/>
      <c r="E31" s="84"/>
      <c r="F31" s="39"/>
      <c r="G31" s="40"/>
      <c r="H31" s="40"/>
      <c r="I31" s="40"/>
      <c r="J31" s="40"/>
      <c r="K31" s="4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2"/>
      <c r="AK31" s="94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2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</row>
    <row r="32" spans="3:90" ht="9" customHeight="1" x14ac:dyDescent="0.4">
      <c r="C32" s="82"/>
      <c r="D32" s="83"/>
      <c r="E32" s="84"/>
      <c r="F32" s="39" t="s">
        <v>211</v>
      </c>
      <c r="G32" s="40"/>
      <c r="H32" s="40"/>
      <c r="I32" s="40"/>
      <c r="J32" s="40"/>
      <c r="K32" s="40"/>
      <c r="L32" s="41" t="s">
        <v>240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27" t="s">
        <v>241</v>
      </c>
      <c r="AB32" s="27"/>
      <c r="AC32" s="27"/>
      <c r="AD32" s="42" t="s">
        <v>242</v>
      </c>
      <c r="AE32" s="42"/>
      <c r="AF32" s="42"/>
      <c r="AG32" s="42"/>
      <c r="AH32" s="42"/>
      <c r="AI32" s="42"/>
      <c r="AJ32" s="43"/>
      <c r="AK32" s="73" t="s">
        <v>260</v>
      </c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5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</row>
    <row r="33" spans="2:90" ht="9" customHeight="1" x14ac:dyDescent="0.4">
      <c r="C33" s="82"/>
      <c r="D33" s="83"/>
      <c r="E33" s="84"/>
      <c r="F33" s="39"/>
      <c r="G33" s="40"/>
      <c r="H33" s="40"/>
      <c r="I33" s="40"/>
      <c r="J33" s="40"/>
      <c r="K33" s="40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27"/>
      <c r="AB33" s="27"/>
      <c r="AC33" s="27"/>
      <c r="AD33" s="42"/>
      <c r="AE33" s="42"/>
      <c r="AF33" s="42"/>
      <c r="AG33" s="42"/>
      <c r="AH33" s="42"/>
      <c r="AI33" s="42"/>
      <c r="AJ33" s="43"/>
      <c r="AK33" s="76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8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</row>
    <row r="34" spans="2:90" s="13" customFormat="1" ht="6.95" customHeight="1" x14ac:dyDescent="0.4">
      <c r="B34" s="11"/>
      <c r="C34" s="82"/>
      <c r="D34" s="83"/>
      <c r="E34" s="84"/>
      <c r="F34" s="44" t="s">
        <v>212</v>
      </c>
      <c r="G34" s="45"/>
      <c r="H34" s="45"/>
      <c r="I34" s="45"/>
      <c r="J34" s="45"/>
      <c r="K34" s="45"/>
      <c r="L34" s="63" t="s">
        <v>243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4" t="s">
        <v>244</v>
      </c>
      <c r="Y34" s="64"/>
      <c r="Z34" s="64"/>
      <c r="AA34" s="65" t="s">
        <v>245</v>
      </c>
      <c r="AB34" s="65"/>
      <c r="AC34" s="65"/>
      <c r="AD34" s="66" t="s">
        <v>416</v>
      </c>
      <c r="AE34" s="66"/>
      <c r="AF34" s="65" t="s">
        <v>247</v>
      </c>
      <c r="AG34" s="65"/>
      <c r="AH34" s="65"/>
      <c r="AI34" s="65"/>
      <c r="AJ34" s="67"/>
      <c r="AK34" s="76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8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</row>
    <row r="35" spans="2:90" s="13" customFormat="1" ht="6.95" customHeight="1" x14ac:dyDescent="0.4">
      <c r="B35" s="11"/>
      <c r="C35" s="82"/>
      <c r="D35" s="83"/>
      <c r="E35" s="84"/>
      <c r="F35" s="44"/>
      <c r="G35" s="45"/>
      <c r="H35" s="45"/>
      <c r="I35" s="45"/>
      <c r="J35" s="45"/>
      <c r="K35" s="45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4"/>
      <c r="Y35" s="64"/>
      <c r="Z35" s="64"/>
      <c r="AA35" s="65"/>
      <c r="AB35" s="65"/>
      <c r="AC35" s="65"/>
      <c r="AD35" s="66"/>
      <c r="AE35" s="66"/>
      <c r="AF35" s="65"/>
      <c r="AG35" s="65"/>
      <c r="AH35" s="65"/>
      <c r="AI35" s="65"/>
      <c r="AJ35" s="67"/>
      <c r="AK35" s="76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8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</row>
    <row r="36" spans="2:90" s="13" customFormat="1" ht="6.95" customHeight="1" x14ac:dyDescent="0.4">
      <c r="B36" s="11"/>
      <c r="C36" s="82"/>
      <c r="D36" s="83"/>
      <c r="E36" s="84"/>
      <c r="F36" s="44"/>
      <c r="G36" s="45"/>
      <c r="H36" s="45"/>
      <c r="I36" s="45"/>
      <c r="J36" s="45"/>
      <c r="K36" s="45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4"/>
      <c r="Y36" s="64"/>
      <c r="Z36" s="64"/>
      <c r="AA36" s="65"/>
      <c r="AB36" s="65"/>
      <c r="AC36" s="65"/>
      <c r="AD36" s="66"/>
      <c r="AE36" s="66"/>
      <c r="AF36" s="65"/>
      <c r="AG36" s="65"/>
      <c r="AH36" s="65"/>
      <c r="AI36" s="65"/>
      <c r="AJ36" s="67"/>
      <c r="AK36" s="76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8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</row>
    <row r="37" spans="2:90" ht="11.25" customHeight="1" x14ac:dyDescent="0.25">
      <c r="C37" s="82"/>
      <c r="D37" s="83"/>
      <c r="E37" s="84"/>
      <c r="F37" s="39" t="s">
        <v>213</v>
      </c>
      <c r="G37" s="40"/>
      <c r="H37" s="40"/>
      <c r="I37" s="40"/>
      <c r="J37" s="40"/>
      <c r="K37" s="40"/>
      <c r="L37" s="27" t="s">
        <v>250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 t="s">
        <v>401</v>
      </c>
      <c r="Y37" s="27"/>
      <c r="Z37" s="27"/>
      <c r="AA37" s="30"/>
      <c r="AB37" s="30"/>
      <c r="AC37" s="30"/>
      <c r="AD37" s="30"/>
      <c r="AE37" s="30"/>
      <c r="AF37" s="30"/>
      <c r="AG37" s="30"/>
      <c r="AH37" s="30"/>
      <c r="AI37" s="30"/>
      <c r="AJ37" s="48"/>
      <c r="AK37" s="31" t="s">
        <v>198</v>
      </c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3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</row>
    <row r="38" spans="2:90" ht="9" customHeight="1" x14ac:dyDescent="0.4">
      <c r="C38" s="82"/>
      <c r="D38" s="83"/>
      <c r="E38" s="84"/>
      <c r="F38" s="55"/>
      <c r="G38" s="56"/>
      <c r="H38" s="56"/>
      <c r="I38" s="56"/>
      <c r="J38" s="56"/>
      <c r="K38" s="56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49"/>
      <c r="AB38" s="49"/>
      <c r="AC38" s="49"/>
      <c r="AD38" s="49"/>
      <c r="AE38" s="49"/>
      <c r="AF38" s="49"/>
      <c r="AG38" s="49"/>
      <c r="AH38" s="49"/>
      <c r="AI38" s="49"/>
      <c r="AJ38" s="50"/>
      <c r="AK38" s="34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35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2:90" ht="8.1" customHeight="1" x14ac:dyDescent="0.4">
      <c r="C39" s="82"/>
      <c r="D39" s="83"/>
      <c r="E39" s="84"/>
      <c r="F39" s="36"/>
      <c r="G39" s="37"/>
      <c r="H39" s="37"/>
      <c r="I39" s="37"/>
      <c r="J39" s="37"/>
      <c r="K39" s="37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46"/>
      <c r="Y39" s="46"/>
      <c r="Z39" s="46"/>
      <c r="AA39" s="51" t="s">
        <v>251</v>
      </c>
      <c r="AB39" s="51"/>
      <c r="AC39" s="51"/>
      <c r="AD39" s="51"/>
      <c r="AE39" s="51"/>
      <c r="AF39" s="51"/>
      <c r="AG39" s="51"/>
      <c r="AH39" s="51"/>
      <c r="AI39" s="51"/>
      <c r="AJ39" s="52"/>
      <c r="AK39" s="34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35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2:90" ht="8.1" customHeight="1" x14ac:dyDescent="0.4">
      <c r="C40" s="82"/>
      <c r="D40" s="83"/>
      <c r="E40" s="84"/>
      <c r="F40" s="57"/>
      <c r="G40" s="58"/>
      <c r="H40" s="58"/>
      <c r="I40" s="58"/>
      <c r="J40" s="58"/>
      <c r="K40" s="58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47"/>
      <c r="Y40" s="47"/>
      <c r="Z40" s="47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36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8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</row>
    <row r="41" spans="2:90" ht="12.75" customHeight="1" x14ac:dyDescent="0.25">
      <c r="C41" s="31" t="s">
        <v>199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3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2:90" ht="9" customHeight="1" x14ac:dyDescent="0.4">
      <c r="C42" s="34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35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2:90" ht="9" customHeight="1" x14ac:dyDescent="0.4">
      <c r="C43" s="3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35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2:90" ht="9" customHeight="1" x14ac:dyDescent="0.4">
      <c r="C44" s="34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35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</row>
    <row r="45" spans="2:90" ht="9" customHeight="1" x14ac:dyDescent="0.4">
      <c r="C45" s="34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35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</row>
    <row r="46" spans="2:90" ht="9" customHeight="1" x14ac:dyDescent="0.4">
      <c r="C46" s="34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35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</row>
    <row r="47" spans="2:90" ht="9" customHeight="1" x14ac:dyDescent="0.4">
      <c r="C47" s="34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35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</row>
    <row r="48" spans="2:90" ht="9" customHeight="1" x14ac:dyDescent="0.4"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8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</row>
    <row r="49" spans="2:90" ht="9" customHeight="1" x14ac:dyDescent="0.4"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</row>
    <row r="50" spans="2:90" ht="8.1" customHeight="1" x14ac:dyDescent="0.4">
      <c r="C50" s="23" t="s">
        <v>223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9"/>
      <c r="AL50" s="10"/>
      <c r="AM50" s="10"/>
      <c r="AN50" s="10"/>
      <c r="AO50" s="10"/>
      <c r="AP50" s="10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</row>
    <row r="51" spans="2:90" ht="8.1" customHeight="1" x14ac:dyDescent="0.4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9"/>
      <c r="AL51" s="10"/>
      <c r="AM51" s="10"/>
      <c r="AN51" s="10"/>
      <c r="AO51" s="10"/>
      <c r="AP51" s="10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</row>
    <row r="52" spans="2:90" ht="8.1" customHeight="1" x14ac:dyDescent="0.4">
      <c r="C52" s="23" t="s">
        <v>224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 t="s">
        <v>225</v>
      </c>
      <c r="AL52" s="25"/>
      <c r="AM52" s="25"/>
      <c r="AN52" s="25"/>
      <c r="AO52" s="25"/>
      <c r="AP52" s="25"/>
      <c r="AQ52" s="26" t="s">
        <v>407</v>
      </c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18"/>
      <c r="BM52" s="68"/>
      <c r="BN52" s="68"/>
      <c r="BO52" s="68"/>
      <c r="BP52" s="68"/>
      <c r="BQ52" s="68"/>
      <c r="BR52" s="18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</row>
    <row r="53" spans="2:90" ht="8.1" customHeight="1" x14ac:dyDescent="0.4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4"/>
      <c r="AL53" s="25"/>
      <c r="AM53" s="25"/>
      <c r="AN53" s="25"/>
      <c r="AO53" s="25"/>
      <c r="AP53" s="25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18"/>
      <c r="BM53" s="68"/>
      <c r="BN53" s="68"/>
      <c r="BO53" s="68"/>
      <c r="BP53" s="68"/>
      <c r="BQ53" s="68"/>
      <c r="BR53" s="18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</row>
    <row r="54" spans="2:90" ht="6.95" customHeight="1" x14ac:dyDescent="0.4"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</row>
    <row r="55" spans="2:90" ht="9" customHeight="1" x14ac:dyDescent="0.4">
      <c r="C55" s="19" t="s">
        <v>226</v>
      </c>
      <c r="D55" s="19"/>
      <c r="E55" s="19"/>
      <c r="F55" s="19"/>
      <c r="G55" s="20" t="s">
        <v>227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AA55" s="21" t="s">
        <v>228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2" t="s">
        <v>229</v>
      </c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</row>
    <row r="56" spans="2:90" ht="9" customHeight="1" x14ac:dyDescent="0.4">
      <c r="C56" s="19"/>
      <c r="D56" s="19"/>
      <c r="E56" s="19"/>
      <c r="F56" s="1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</row>
    <row r="57" spans="2:90" ht="9" customHeight="1" x14ac:dyDescent="0.4">
      <c r="AN57" s="16" t="s">
        <v>230</v>
      </c>
      <c r="AO57" s="16"/>
      <c r="AP57" s="16"/>
      <c r="AQ57" s="16"/>
      <c r="AR57" s="16"/>
      <c r="AS57" s="16"/>
      <c r="AT57" s="17" t="s">
        <v>233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</row>
    <row r="58" spans="2:90" ht="9" customHeight="1" x14ac:dyDescent="0.4">
      <c r="AN58" s="16"/>
      <c r="AO58" s="16"/>
      <c r="AP58" s="16"/>
      <c r="AQ58" s="16"/>
      <c r="AR58" s="16"/>
      <c r="AS58" s="16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</row>
    <row r="59" spans="2:90" ht="9" customHeight="1" x14ac:dyDescent="0.4">
      <c r="AN59" s="16" t="s">
        <v>231</v>
      </c>
      <c r="AO59" s="16"/>
      <c r="AP59" s="16"/>
      <c r="AQ59" s="16"/>
      <c r="AR59" s="16"/>
      <c r="AS59" s="16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</row>
    <row r="60" spans="2:90" ht="9" customHeight="1" x14ac:dyDescent="0.4">
      <c r="AN60" s="16"/>
      <c r="AO60" s="16"/>
      <c r="AP60" s="16"/>
      <c r="AQ60" s="16"/>
      <c r="AR60" s="16"/>
      <c r="AS60" s="16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</row>
    <row r="61" spans="2:90" ht="9" customHeight="1" x14ac:dyDescent="0.4">
      <c r="AN61" s="16" t="s">
        <v>232</v>
      </c>
      <c r="AO61" s="16"/>
      <c r="AP61" s="16"/>
      <c r="AQ61" s="16"/>
      <c r="AR61" s="16"/>
      <c r="AS61" s="16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</row>
    <row r="62" spans="2:90" ht="9" customHeight="1" x14ac:dyDescent="0.4">
      <c r="AN62" s="16"/>
      <c r="AO62" s="16"/>
      <c r="AP62" s="16"/>
      <c r="AQ62" s="16"/>
      <c r="AR62" s="16"/>
      <c r="AS62" s="16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</row>
    <row r="63" spans="2:90" ht="9" customHeight="1" x14ac:dyDescent="0.4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2:90" ht="9" customHeight="1" x14ac:dyDescent="0.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="5" customFormat="1" ht="9" customHeight="1" x14ac:dyDescent="0.4"/>
    <row r="66" s="5" customFormat="1" ht="9" customHeight="1" x14ac:dyDescent="0.4"/>
    <row r="67" s="5" customFormat="1" ht="9" customHeight="1" x14ac:dyDescent="0.4"/>
    <row r="68" s="5" customFormat="1" ht="9" customHeight="1" x14ac:dyDescent="0.4"/>
    <row r="69" s="5" customFormat="1" ht="9" customHeight="1" x14ac:dyDescent="0.4"/>
    <row r="70" s="5" customFormat="1" ht="9" customHeight="1" x14ac:dyDescent="0.4"/>
    <row r="71" s="5" customFormat="1" ht="9" customHeight="1" x14ac:dyDescent="0.4"/>
    <row r="72" s="5" customFormat="1" ht="9" customHeight="1" x14ac:dyDescent="0.4"/>
    <row r="73" s="5" customFormat="1" ht="9" customHeight="1" x14ac:dyDescent="0.4"/>
    <row r="74" s="5" customFormat="1" ht="9" customHeight="1" x14ac:dyDescent="0.4"/>
    <row r="75" s="5" customFormat="1" ht="9" customHeight="1" x14ac:dyDescent="0.4"/>
    <row r="76" s="5" customFormat="1" ht="9" customHeight="1" x14ac:dyDescent="0.4"/>
    <row r="77" s="5" customFormat="1" ht="9" customHeight="1" x14ac:dyDescent="0.4"/>
  </sheetData>
  <mergeCells count="119">
    <mergeCell ref="V4:AC5"/>
    <mergeCell ref="AE11:AJ12"/>
    <mergeCell ref="W11:Z12"/>
    <mergeCell ref="AK11:AS12"/>
    <mergeCell ref="AT11:BA12"/>
    <mergeCell ref="C7:E21"/>
    <mergeCell ref="F7:K8"/>
    <mergeCell ref="F9:K10"/>
    <mergeCell ref="F11:K12"/>
    <mergeCell ref="L11:V12"/>
    <mergeCell ref="L7:AE8"/>
    <mergeCell ref="F17:K21"/>
    <mergeCell ref="F13:K16"/>
    <mergeCell ref="L13:AJ16"/>
    <mergeCell ref="L17:BR21"/>
    <mergeCell ref="BB11:BB12"/>
    <mergeCell ref="L9:AJ10"/>
    <mergeCell ref="BB13:BJ14"/>
    <mergeCell ref="AF7:AJ8"/>
    <mergeCell ref="AA11:AD12"/>
    <mergeCell ref="C4:U5"/>
    <mergeCell ref="AK7:AS8"/>
    <mergeCell ref="AK9:AS10"/>
    <mergeCell ref="AT7:BR8"/>
    <mergeCell ref="AT9:AZ10"/>
    <mergeCell ref="BR11:BR12"/>
    <mergeCell ref="BC11:BQ12"/>
    <mergeCell ref="BA9:BC10"/>
    <mergeCell ref="BD9:BD10"/>
    <mergeCell ref="BE9:BK10"/>
    <mergeCell ref="BL9:BL10"/>
    <mergeCell ref="BM9:BR10"/>
    <mergeCell ref="AQ22:BP23"/>
    <mergeCell ref="BQ22:BR23"/>
    <mergeCell ref="BR13:BR14"/>
    <mergeCell ref="BR15:BR16"/>
    <mergeCell ref="BL13:BQ14"/>
    <mergeCell ref="BL15:BQ16"/>
    <mergeCell ref="AU15:AZ16"/>
    <mergeCell ref="BA13:BA14"/>
    <mergeCell ref="BA15:BA16"/>
    <mergeCell ref="BK13:BK14"/>
    <mergeCell ref="BK15:BK16"/>
    <mergeCell ref="BB15:BJ16"/>
    <mergeCell ref="AK13:AS14"/>
    <mergeCell ref="AK15:AS16"/>
    <mergeCell ref="AT13:AT14"/>
    <mergeCell ref="AT15:AT16"/>
    <mergeCell ref="AU13:AZ14"/>
    <mergeCell ref="F22:K23"/>
    <mergeCell ref="L22:AJ23"/>
    <mergeCell ref="L28:Z29"/>
    <mergeCell ref="L24:Z25"/>
    <mergeCell ref="AC24:AJ25"/>
    <mergeCell ref="AC28:AJ29"/>
    <mergeCell ref="AA24:AB25"/>
    <mergeCell ref="AA28:AB29"/>
    <mergeCell ref="AK22:AP23"/>
    <mergeCell ref="F28:K29"/>
    <mergeCell ref="BR52:BR53"/>
    <mergeCell ref="BL52:BL53"/>
    <mergeCell ref="BM52:BQ53"/>
    <mergeCell ref="AV30:BR31"/>
    <mergeCell ref="AK32:BR36"/>
    <mergeCell ref="F24:K25"/>
    <mergeCell ref="F26:K27"/>
    <mergeCell ref="L26:AJ27"/>
    <mergeCell ref="C41:BR41"/>
    <mergeCell ref="C42:BR48"/>
    <mergeCell ref="C22:E40"/>
    <mergeCell ref="AQ24:AX25"/>
    <mergeCell ref="AY24:BA25"/>
    <mergeCell ref="AK24:AP25"/>
    <mergeCell ref="BB24:BB25"/>
    <mergeCell ref="BP24:BR25"/>
    <mergeCell ref="BC24:BO25"/>
    <mergeCell ref="AK26:AU27"/>
    <mergeCell ref="AV26:BR27"/>
    <mergeCell ref="AK28:AU29"/>
    <mergeCell ref="AV28:BP29"/>
    <mergeCell ref="BQ28:BR29"/>
    <mergeCell ref="AK30:AU31"/>
    <mergeCell ref="X37:Z38"/>
    <mergeCell ref="X39:Z40"/>
    <mergeCell ref="AA37:AJ38"/>
    <mergeCell ref="AA39:AJ40"/>
    <mergeCell ref="F37:K38"/>
    <mergeCell ref="F39:K40"/>
    <mergeCell ref="L30:AJ31"/>
    <mergeCell ref="L34:W36"/>
    <mergeCell ref="X34:Z36"/>
    <mergeCell ref="AA34:AC36"/>
    <mergeCell ref="AD34:AE36"/>
    <mergeCell ref="AF34:AJ36"/>
    <mergeCell ref="F30:K31"/>
    <mergeCell ref="Z1:AV2"/>
    <mergeCell ref="AN59:AS60"/>
    <mergeCell ref="AN61:AS62"/>
    <mergeCell ref="AT57:BK58"/>
    <mergeCell ref="AT59:BK60"/>
    <mergeCell ref="AT61:BK62"/>
    <mergeCell ref="C55:F56"/>
    <mergeCell ref="G55:V56"/>
    <mergeCell ref="AA55:AW56"/>
    <mergeCell ref="AX55:BK56"/>
    <mergeCell ref="AN57:AS58"/>
    <mergeCell ref="C50:AJ51"/>
    <mergeCell ref="C52:AJ53"/>
    <mergeCell ref="AK52:AP53"/>
    <mergeCell ref="AQ52:BK53"/>
    <mergeCell ref="L37:W38"/>
    <mergeCell ref="L39:W40"/>
    <mergeCell ref="AK37:BR37"/>
    <mergeCell ref="AK38:BR40"/>
    <mergeCell ref="F32:K33"/>
    <mergeCell ref="L32:Z33"/>
    <mergeCell ref="AA32:AC33"/>
    <mergeCell ref="AD32:AJ33"/>
    <mergeCell ref="F34:K36"/>
  </mergeCells>
  <phoneticPr fontId="1"/>
  <pageMargins left="0.70866141732283472" right="0.70866141732283472" top="0.74803149606299213" bottom="0.74803149606299213" header="0.31496062992125984" footer="0.31496062992125984"/>
  <pageSetup paperSize="9" scale="12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A34E1CD0-CF8A-4762-BFE7-62FD743CD353}"/>
</file>

<file path=customXml/itemProps2.xml><?xml version="1.0" encoding="utf-8"?>
<ds:datastoreItem xmlns:ds="http://schemas.openxmlformats.org/officeDocument/2006/customXml" ds:itemID="{BB51B8EA-982A-435E-8122-1F9AACB050B9}"/>
</file>

<file path=customXml/itemProps3.xml><?xml version="1.0" encoding="utf-8"?>
<ds:datastoreItem xmlns:ds="http://schemas.openxmlformats.org/officeDocument/2006/customXml" ds:itemID="{D373C5B7-D67A-4A22-B5ED-609946D75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2025-10-21T02:04:35Z</cp:lastPrinted>
  <dcterms:created xsi:type="dcterms:W3CDTF">2025-07-02T00:10:41Z</dcterms:created>
  <dcterms:modified xsi:type="dcterms:W3CDTF">2026-01-13T23:39:12Z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