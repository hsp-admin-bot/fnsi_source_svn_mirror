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536C51F1-2C5E-46A7-8018-2F2A326152DD}" xr6:coauthVersionLast="47" xr6:coauthVersionMax="47" xr10:uidLastSave="{00000000-0000-0000-0000-000000000000}"/>
  <bookViews>
    <workbookView xWindow="4485" yWindow="1170" windowWidth="19845" windowHeight="16110" firstSheet="4" activeTab="4" xr2:uid="{486EF6C5-9B01-485F-A443-8F42A8453C99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レイアウト!$A$1:$AY$43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2" l="1"/>
  <c r="W17" i="2"/>
  <c r="W18" i="2"/>
  <c r="W19" i="2"/>
  <c r="W20" i="2"/>
  <c r="W15" i="2"/>
  <c r="X24" i="2"/>
  <c r="F8" i="2"/>
  <c r="W4" i="2"/>
  <c r="AN17" i="2"/>
  <c r="AM17" i="2"/>
  <c r="AL17" i="2"/>
  <c r="AK17" i="2"/>
  <c r="F16" i="2" s="1" a="1"/>
  <c r="F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<sst xmlns="http://schemas.openxmlformats.org/spreadsheetml/2006/main" count="1965" uniqueCount="476">
  <si>
    <t>ReferralLetter</t>
  </si>
  <si>
    <t/>
  </si>
  <si>
    <t>0</t>
  </si>
  <si>
    <t>255100</t>
  </si>
  <si>
    <t>2025/06/23 14:27:20</t>
  </si>
  <si>
    <t>帳票設定</t>
  </si>
  <si>
    <t xml:space="preserve">有り_x000D_
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</si>
  <si>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</si>
  <si>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</si>
  <si>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</si>
  <si>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</si>
  <si>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</si>
  <si>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</si>
  <si>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</si>
  <si>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</si>
  <si>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</si>
  <si>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</si>
  <si>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</si>
  <si>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</si>
  <si>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</si>
  <si>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</si>
  <si>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</si>
  <si>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</si>
  <si>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</si>
  <si>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</si>
  <si>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</si>
  <si>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</si>
  <si>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</si>
  <si>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</si>
  <si>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</si>
  <si>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</si>
  <si>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</si>
  <si>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</si>
  <si>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</si>
  <si>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</si>
  <si>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</si>
  <si>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</si>
  <si>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</si>
  <si>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2025/06/23 14:27:45</t>
  </si>
  <si>
    <t>集計設定</t>
  </si>
  <si>
    <t xml:space="preserve">縦の合計: ⇒ 0_x000D_
横の合計: ⇒ 0_x000D_
</t>
  </si>
  <si>
    <t>血液透析看護連絡表</t>
    <rPh sb="0" eb="2">
      <t>ケツエキ</t>
    </rPh>
    <rPh sb="2" eb="4">
      <t>トウセキ</t>
    </rPh>
    <rPh sb="4" eb="6">
      <t>カンゴ</t>
    </rPh>
    <rPh sb="6" eb="8">
      <t>レンラク</t>
    </rPh>
    <rPh sb="8" eb="9">
      <t>ヒョウ</t>
    </rPh>
    <phoneticPr fontId="1"/>
  </si>
  <si>
    <t>患者氏名</t>
    <rPh sb="0" eb="4">
      <t>カンジャシメイ</t>
    </rPh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</si>
  <si>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</si>
  <si>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</si>
  <si>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透析導入日</t>
    <rPh sb="0" eb="4">
      <t>トウセキドウニュウ</t>
    </rPh>
    <rPh sb="4" eb="5">
      <t>ヒ</t>
    </rPh>
    <phoneticPr fontId="1"/>
  </si>
  <si>
    <t>シャント作成日</t>
    <rPh sb="4" eb="7">
      <t>サクセイヒ</t>
    </rPh>
    <phoneticPr fontId="1"/>
  </si>
  <si>
    <t>血液型RH</t>
    <rPh sb="0" eb="3">
      <t>ケツエキガタ</t>
    </rPh>
    <phoneticPr fontId="1"/>
  </si>
  <si>
    <t>DW</t>
    <phoneticPr fontId="1"/>
  </si>
  <si>
    <t>ダイアライザ</t>
    <phoneticPr fontId="1"/>
  </si>
  <si>
    <t>血流量</t>
    <rPh sb="0" eb="2">
      <t>ケツリュウ</t>
    </rPh>
    <rPh sb="2" eb="3">
      <t>リョウ</t>
    </rPh>
    <phoneticPr fontId="1"/>
  </si>
  <si>
    <t>抗凝固剤</t>
    <rPh sb="0" eb="4">
      <t>コウギョウコザイ</t>
    </rPh>
    <phoneticPr fontId="1"/>
  </si>
  <si>
    <t>ワンショット</t>
    <phoneticPr fontId="1"/>
  </si>
  <si>
    <t>持続速度</t>
    <rPh sb="0" eb="4">
      <t>ジゾクソクド</t>
    </rPh>
    <phoneticPr fontId="1"/>
  </si>
  <si>
    <t>透析曜日</t>
    <rPh sb="0" eb="2">
      <t>トウセキ</t>
    </rPh>
    <rPh sb="2" eb="4">
      <t>ヨウビ</t>
    </rPh>
    <phoneticPr fontId="1"/>
  </si>
  <si>
    <t>CTR</t>
    <phoneticPr fontId="1"/>
  </si>
  <si>
    <t>透析液</t>
    <rPh sb="0" eb="3">
      <t>トウセキエキ</t>
    </rPh>
    <phoneticPr fontId="1"/>
  </si>
  <si>
    <t>生年月日</t>
    <rPh sb="0" eb="4">
      <t>セイネンガッピ</t>
    </rPh>
    <phoneticPr fontId="1"/>
  </si>
  <si>
    <t>年齢 性別</t>
    <rPh sb="0" eb="2">
      <t>ネンレイ</t>
    </rPh>
    <rPh sb="3" eb="5">
      <t>セイベツ</t>
    </rPh>
    <phoneticPr fontId="1"/>
  </si>
  <si>
    <t>kg</t>
    <phoneticPr fontId="1"/>
  </si>
  <si>
    <t>㎡</t>
    <phoneticPr fontId="1"/>
  </si>
  <si>
    <t>mL/min</t>
    <phoneticPr fontId="1"/>
  </si>
  <si>
    <t>時間</t>
    <rPh sb="0" eb="2">
      <t>ジカン</t>
    </rPh>
    <phoneticPr fontId="1"/>
  </si>
  <si>
    <t>％</t>
    <phoneticPr fontId="1"/>
  </si>
  <si>
    <t>20825</t>
  </si>
  <si>
    <t>2025/06/23 14:52:31</t>
  </si>
  <si>
    <t>定期日常点検・交換部品記録簿設定</t>
  </si>
  <si>
    <t xml:space="preserve">帳票区分:1 ⇒ _x000D_
</t>
  </si>
  <si>
    <t>携帯番号</t>
    <rPh sb="0" eb="2">
      <t>ケイタイ</t>
    </rPh>
    <rPh sb="2" eb="4">
      <t>バンゴウ</t>
    </rPh>
    <phoneticPr fontId="1"/>
  </si>
  <si>
    <t>原疾患</t>
    <rPh sb="0" eb="3">
      <t>ゲンシッカン</t>
    </rPh>
    <phoneticPr fontId="1"/>
  </si>
  <si>
    <t>病歴</t>
    <rPh sb="0" eb="2">
      <t>ビョウレキ</t>
    </rPh>
    <phoneticPr fontId="1"/>
  </si>
  <si>
    <t>感染症</t>
    <rPh sb="0" eb="3">
      <t>カンセンショウ</t>
    </rPh>
    <phoneticPr fontId="1"/>
  </si>
  <si>
    <t>2025/06/23 14:55:06</t>
  </si>
  <si>
    <t>投与薬剤</t>
    <rPh sb="0" eb="4">
      <t>トウヨヤクザイ</t>
    </rPh>
    <phoneticPr fontId="1"/>
  </si>
  <si>
    <t>TEL:</t>
    <phoneticPr fontId="1"/>
  </si>
  <si>
    <t>##施設.施設情報.電話番号1</t>
  </si>
  <si>
    <t>##施設.施設情報.施設名</t>
  </si>
  <si>
    <t>作成日:</t>
    <rPh sb="0" eb="3">
      <t>サクセイビ</t>
    </rPh>
    <phoneticPr fontId="1"/>
  </si>
  <si>
    <t>##印刷情報.共通情報.印刷日時</t>
  </si>
  <si>
    <t>印刷情報</t>
  </si>
  <si>
    <t>共通情報</t>
  </si>
  <si>
    <t>印刷日時</t>
  </si>
  <si>
    <t>prt_dt</t>
  </si>
  <si>
    <t>DateTime</t>
  </si>
  <si>
    <t>2025/06/23</t>
  </si>
  <si>
    <t>yyyy/mm/dd</t>
  </si>
  <si>
    <t>False</t>
  </si>
  <si>
    <t>E42:Q42</t>
  </si>
  <si>
    <t>施設</t>
  </si>
  <si>
    <t>施設情報</t>
  </si>
  <si>
    <t>施設名</t>
  </si>
  <si>
    <t>300</t>
  </si>
  <si>
    <t>facility_name</t>
  </si>
  <si>
    <t>string</t>
  </si>
  <si>
    <t>大塚医院</t>
  </si>
  <si>
    <t>G/標準</t>
  </si>
  <si>
    <t>S42:AB42</t>
  </si>
  <si>
    <t>電話番号1</t>
  </si>
  <si>
    <t>phone_no1</t>
  </si>
  <si>
    <t>028-621-7600</t>
  </si>
  <si>
    <t>AE42:AI42</t>
  </si>
  <si>
    <t>false</t>
  </si>
  <si>
    <t>2025/06/23 15:26:12</t>
  </si>
  <si>
    <t xml:space="preserve">新規追加_x000D_
改頁しない_x000D_
プレビューデータ:2025/06/23_x000D_
書式:yyyy/mm/dd_x000D_
縮小しない_x000D_
テンプレート内外:_x000D_
</t>
  </si>
  <si>
    <t xml:space="preserve">新規追加_x000D_
改頁しない_x000D_
プレビューデータ:大塚医院_x000D_
書式:G/標準_x000D_
縮小しない_x000D_
テンプレート内外:_x000D_
</t>
  </si>
  <si>
    <t xml:space="preserve">新規追加_x000D_
改頁しない_x000D_
プレビューデータ:028-621-7600_x000D_
書式:G/標準_x000D_
縮小しない_x000D_
テンプレート内外:_x000D_
</t>
  </si>
  <si>
    <t>##患者情報.本人情報.患者名</t>
  </si>
  <si>
    <t>##患者情報.本人情報.フリガナ</t>
  </si>
  <si>
    <t>##患者情報.本人情報.生年月日</t>
  </si>
  <si>
    <t>##患者情報.本人情報.年齢</t>
  </si>
  <si>
    <t>##患者情報.本人情報.性別</t>
  </si>
  <si>
    <t>##患者情報.本人情報.性別</t>
    <phoneticPr fontId="1"/>
  </si>
  <si>
    <t>##患者情報.本人情報.住所</t>
  </si>
  <si>
    <t>##患者情報.本人情報.電話番号1</t>
  </si>
  <si>
    <t>##患者情報.診療情報.透析導入日</t>
  </si>
  <si>
    <t>##患者情報.本人情報.血液型ABORH</t>
  </si>
  <si>
    <t>##指示.透析条件.DW</t>
  </si>
  <si>
    <t>##指示.透析条件.ダイアライザ</t>
  </si>
  <si>
    <t>##指示.透析条件.ダイアライザ</t>
    <phoneticPr fontId="1"/>
  </si>
  <si>
    <t>##指示.ダイアライザ情報.面積</t>
  </si>
  <si>
    <t>##指示.透析条件.血流量</t>
  </si>
  <si>
    <t>##指示.透析条件.抗凝固剤</t>
  </si>
  <si>
    <t>##指示.透析条件.抗凝固剤ワンショット量</t>
  </si>
  <si>
    <t>##指示.透析条件.抗凝固剤持続速度</t>
  </si>
  <si>
    <t>##指示.透析条件.抗凝固剤持続速度単位</t>
  </si>
  <si>
    <t>##指示.透析条件.抗凝固剤単位</t>
  </si>
  <si>
    <t>##指示.透析パターン.透析パターン曜日</t>
  </si>
  <si>
    <t>患者情報</t>
  </si>
  <si>
    <t>本人情報</t>
  </si>
  <si>
    <t>フリガナ</t>
  </si>
  <si>
    <t>pat_name_kana</t>
  </si>
  <si>
    <t>ニッキソウ　タロウ</t>
  </si>
  <si>
    <t>25</t>
  </si>
  <si>
    <t>F3:R3</t>
  </si>
  <si>
    <t>生年月日</t>
  </si>
  <si>
    <t>pat_birthday</t>
  </si>
  <si>
    <t>1945/01/01</t>
  </si>
  <si>
    <t>W3:AI3</t>
  </si>
  <si>
    <t>患者名</t>
  </si>
  <si>
    <t>pat_name</t>
  </si>
  <si>
    <t>日機装　太郎</t>
  </si>
  <si>
    <t>F4:R4</t>
  </si>
  <si>
    <t>年齢</t>
  </si>
  <si>
    <t>pat_age</t>
  </si>
  <si>
    <t>decimal</t>
  </si>
  <si>
    <t>70</t>
  </si>
  <si>
    <t>AJ4</t>
  </si>
  <si>
    <t>性別</t>
  </si>
  <si>
    <t>pat_sex</t>
  </si>
  <si>
    <t>男性</t>
  </si>
  <si>
    <t>&lt;convTable cls=""&gt;&lt;conv code="0" item="不明" disp="不明" /&gt;&lt;conv code="1" item="男性" disp="男" /&gt;&lt;conv code="2" item="女性" disp="女" /&gt;&lt;/convTable&gt;</t>
  </si>
  <si>
    <t>AK4</t>
  </si>
  <si>
    <t>住所</t>
  </si>
  <si>
    <t>pat_address</t>
  </si>
  <si>
    <t>東京都渋谷区恵比寿3-43-2 日機装第１別館１F</t>
  </si>
  <si>
    <t>58</t>
  </si>
  <si>
    <t>F5:AI5</t>
  </si>
  <si>
    <t>pat_tel1</t>
  </si>
  <si>
    <t>03-1234-5678</t>
  </si>
  <si>
    <t>F6:R6</t>
  </si>
  <si>
    <t>診療情報</t>
  </si>
  <si>
    <t>透析導入日</t>
  </si>
  <si>
    <t>19</t>
  </si>
  <si>
    <t>dialysis_start_date</t>
  </si>
  <si>
    <t>2000/02/10</t>
  </si>
  <si>
    <t>F7:R7</t>
  </si>
  <si>
    <t>血液型ABORH</t>
  </si>
  <si>
    <t>pat_blood_type_abo_rh</t>
  </si>
  <si>
    <t>A型 Rh-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</si>
  <si>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</si>
  <si>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F9:R9</t>
  </si>
  <si>
    <t>指示</t>
  </si>
  <si>
    <t>透析条件</t>
  </si>
  <si>
    <t>DW</t>
  </si>
  <si>
    <t>5</t>
  </si>
  <si>
    <t>dw</t>
  </si>
  <si>
    <t>55.00</t>
  </si>
  <si>
    <t>0.00</t>
  </si>
  <si>
    <t>F10:H10</t>
  </si>
  <si>
    <t>ダイアライザ</t>
  </si>
  <si>
    <t>dialyzer</t>
  </si>
  <si>
    <t>FDX-120GW</t>
  </si>
  <si>
    <t>F11:M11</t>
  </si>
  <si>
    <t>ダイアライザ情報</t>
  </si>
  <si>
    <t>面積</t>
  </si>
  <si>
    <t>45</t>
  </si>
  <si>
    <t>area</t>
  </si>
  <si>
    <t>1.2</t>
  </si>
  <si>
    <t>0.0</t>
  </si>
  <si>
    <t>N11:P11</t>
  </si>
  <si>
    <t>血流量</t>
  </si>
  <si>
    <t>blood_flow</t>
  </si>
  <si>
    <t>180</t>
  </si>
  <si>
    <t>F12:N12</t>
  </si>
  <si>
    <t>抗凝固剤</t>
  </si>
  <si>
    <t>anti_coagulant_name</t>
  </si>
  <si>
    <t>1234567</t>
  </si>
  <si>
    <t>F13:R13</t>
  </si>
  <si>
    <t>抗凝固剤ワンショット量</t>
  </si>
  <si>
    <t>anti_coagulant_one_shot_amount</t>
  </si>
  <si>
    <t>1000</t>
  </si>
  <si>
    <t>F14:K14</t>
  </si>
  <si>
    <t>抗凝固剤単位</t>
  </si>
  <si>
    <t>anti_coagulant_sustained_amount_unit</t>
  </si>
  <si>
    <t>U</t>
  </si>
  <si>
    <t>L14:R14</t>
  </si>
  <si>
    <t>抗凝固剤持続速度</t>
  </si>
  <si>
    <t>anti_coagulant_sustained_speed</t>
  </si>
  <si>
    <t>500</t>
  </si>
  <si>
    <t>F15:K15</t>
  </si>
  <si>
    <t>抗凝固剤持続速度単位</t>
  </si>
  <si>
    <t>anti_coagulant_sustained_speed_unit</t>
  </si>
  <si>
    <t>U/h</t>
  </si>
  <si>
    <t>L15:R15</t>
  </si>
  <si>
    <t>透析パターン</t>
  </si>
  <si>
    <t>透析パターン曜日</t>
  </si>
  <si>
    <t>202</t>
  </si>
  <si>
    <t>treat_week</t>
  </si>
  <si>
    <t>月</t>
  </si>
  <si>
    <t>AJ17</t>
  </si>
  <si>
    <t>2025/06/23 15:43:25</t>
  </si>
  <si>
    <t xml:space="preserve">新規追加_x000D_
表示文字数:25_x000D_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</si>
  <si>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</si>
  <si>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表示文字数:25_x000D_
改頁しない_x000D_
プレビューデータ:日機装　太郎_x000D_
書式:G/標準_x000D_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</si>
  <si>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</si>
  <si>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</si>
  <si>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表示文字数:58_x000D_
改頁しない_x000D_
プレビューデータ:東京都渋谷区恵比寿3-43-2 日機装第１別館１F_x000D_
書式:G/標準_x000D_
縮小しない_x000D_
テンプレート内外:_x000D_
</t>
  </si>
  <si>
    <t xml:space="preserve">新規追加_x000D_
表示文字数:25_x000D_
改頁しない_x000D_
プレビューデータ:03-1234-5678_x000D_
書式:G/標準_x000D_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</si>
  <si>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</si>
  <si>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表示文字数:25_x000D_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</si>
  <si>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</si>
  <si>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プレビューデータ:FDX-120GW_x000D_
書式:G/標準_x000D_
縮小しない_x000D_
テンプレート内外:_x000D_
</t>
  </si>
  <si>
    <t xml:space="preserve">新規追加_x000D_
改頁しない_x000D_
プレビューデータ:1.2_x000D_
書式:0.0_x000D_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</si>
  <si>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</si>
  <si>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表示文字数:25_x000D_
改頁しない_x000D_
プレビューデータ:1234567_x000D_
書式:G/標準_x000D_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</si>
  <si>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</si>
  <si>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</si>
  <si>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</si>
  <si>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</si>
  <si>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プレビューデータ:月_x000D_
書式:G/標準_x000D_
縮小しない_x000D_
テンプレート内外:_x000D_
</t>
  </si>
  <si>
    <t>2025/06/23 15:43:26</t>
  </si>
  <si>
    <t>##=[##指示.透析条件.透析時間(分)]/60</t>
  </si>
  <si>
    <t>##=[##指示.透析条件.透析時間(分)]/60</t>
    <phoneticPr fontId="1"/>
  </si>
  <si>
    <t>##患者情報.身体情報(降順).CTR</t>
  </si>
  <si>
    <t>##実績.体重情報.CTR測定日時</t>
  </si>
  <si>
    <t>##指示.透析条件.透析液</t>
  </si>
  <si>
    <t>##患者情報.原疾患.病名</t>
  </si>
  <si>
    <t>##患者情報.既往歴(降順).病名</t>
  </si>
  <si>
    <t>##患者情報.感染症(+)(-).感染症</t>
  </si>
  <si>
    <t>VA</t>
  </si>
  <si>
    <t>VA</t>
    <phoneticPr fontId="1"/>
  </si>
  <si>
    <t>シャント位置</t>
  </si>
  <si>
    <t>シャント位置</t>
    <rPh sb="4" eb="6">
      <t>イチ</t>
    </rPh>
    <phoneticPr fontId="1"/>
  </si>
  <si>
    <t>造設日</t>
  </si>
  <si>
    <t>造設日</t>
    <rPh sb="0" eb="3">
      <t>ゾウセツヒ</t>
    </rPh>
    <phoneticPr fontId="1"/>
  </si>
  <si>
    <t>##指示.透析条件.VA</t>
  </si>
  <si>
    <t>##指示.VA情報.画像</t>
  </si>
  <si>
    <t>##指示.VA情報.造設日</t>
  </si>
  <si>
    <t>##指示.ベッド情報.シャント位置</t>
  </si>
  <si>
    <t>##指示.投薬.治療日</t>
  </si>
  <si>
    <t>##指示.投薬.薬剤名</t>
  </si>
  <si>
    <t>##指示.投薬.薬剤名</t>
    <phoneticPr fontId="1"/>
  </si>
  <si>
    <t>##指示.投薬.数量</t>
  </si>
  <si>
    <t>J34:K34</t>
  </si>
  <si>
    <t>2</t>
  </si>
  <si>
    <t>4</t>
  </si>
  <si>
    <t>2025/06/23 16:02:57</t>
  </si>
  <si>
    <t>テンプレート設定</t>
  </si>
  <si>
    <t xml:space="preserve">設定:無効 ⇒ 有効_x000D_
範囲:未設定 ⇒ J34:K34_x000D_
横回数:1 ⇒ 4_x000D_
縦回数:1 ⇒ 5_x000D_
</t>
  </si>
  <si>
    <t>外</t>
  </si>
  <si>
    <t>原疾患</t>
  </si>
  <si>
    <t>病名</t>
  </si>
  <si>
    <t>26</t>
  </si>
  <si>
    <t>disease_name</t>
  </si>
  <si>
    <t>慢性糸球体腎炎</t>
  </si>
  <si>
    <t>W7:AI7</t>
  </si>
  <si>
    <t>既往歴(降順)</t>
  </si>
  <si>
    <t>28</t>
  </si>
  <si>
    <t>インフルエンザ</t>
  </si>
  <si>
    <t>True</t>
  </si>
  <si>
    <t>W8:AI8,W9:AI9,W10:AI10,W11:AI11,W12:AI12,W13:AI13,W14:AI14</t>
  </si>
  <si>
    <t>W8:AI8</t>
  </si>
  <si>
    <t>患者情報.既往歴(降順)</t>
  </si>
  <si>
    <t>感染症</t>
  </si>
  <si>
    <t>infection_name</t>
  </si>
  <si>
    <t>Hbc抗体</t>
  </si>
  <si>
    <t>W15:AI15</t>
  </si>
  <si>
    <t>7</t>
  </si>
  <si>
    <t>L17:O17</t>
  </si>
  <si>
    <t>身体情報(降順)</t>
  </si>
  <si>
    <t>CTR</t>
  </si>
  <si>
    <t>39</t>
  </si>
  <si>
    <t>ctr</t>
  </si>
  <si>
    <t>35.05</t>
  </si>
  <si>
    <t>F18:K18</t>
  </si>
  <si>
    <t>患者情報.身体情報(降順)</t>
  </si>
  <si>
    <t>実績</t>
  </si>
  <si>
    <t>体重情報</t>
  </si>
  <si>
    <t>CTR測定日時</t>
  </si>
  <si>
    <t>3</t>
  </si>
  <si>
    <t>ctr_measure_date</t>
  </si>
  <si>
    <t>N18:R18</t>
  </si>
  <si>
    <t>透析液</t>
  </si>
  <si>
    <t>dialysate_name</t>
  </si>
  <si>
    <t>Dドライ3.0S</t>
  </si>
  <si>
    <t>F19:R19</t>
  </si>
  <si>
    <t>va_name</t>
  </si>
  <si>
    <t>左手前腕内シャント化静脈</t>
  </si>
  <si>
    <t>X21:AI21</t>
  </si>
  <si>
    <t>ベッド情報</t>
  </si>
  <si>
    <t>shunt_position</t>
  </si>
  <si>
    <t>左</t>
  </si>
  <si>
    <t>X22:AI22</t>
  </si>
  <si>
    <t>VA情報</t>
  </si>
  <si>
    <t>208</t>
  </si>
  <si>
    <t>make_start_date</t>
  </si>
  <si>
    <t>X23:AI23</t>
  </si>
  <si>
    <t>画像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</si>
  <si>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</si>
  <si>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</si>
  <si>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</si>
  <si>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</si>
  <si>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</si>
  <si>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S24:AI28</t>
  </si>
  <si>
    <t>true</t>
  </si>
  <si>
    <t>投薬</t>
  </si>
  <si>
    <t>治療日</t>
  </si>
  <si>
    <t>treat_date</t>
  </si>
  <si>
    <t>&lt;SelectSetting&gt;&lt;Item tag="Medicine" checkState="Checked" /&gt;&lt;/SelectSetting&gt;</t>
  </si>
  <si>
    <t>Medicine</t>
  </si>
  <si>
    <t>J33:K33</t>
  </si>
  <si>
    <t>指示.投薬</t>
  </si>
  <si>
    <t>薬剤名</t>
  </si>
  <si>
    <t>medi_name</t>
  </si>
  <si>
    <t>テスト薬剤１</t>
  </si>
  <si>
    <t>B34:I34</t>
  </si>
  <si>
    <t>数量</t>
  </si>
  <si>
    <t>medi_amount</t>
  </si>
  <si>
    <t>内</t>
  </si>
  <si>
    <t>2025/06/23 16:02:58</t>
  </si>
  <si>
    <t xml:space="preserve">設定変更_x000D_
テンプレート内外: ⇒ 外_x000D_
</t>
  </si>
  <si>
    <t xml:space="preserve">新規追加_x000D_
表示文字数:25_x000D_
改頁しない_x000D_
プレビューデータ:慢性糸球体腎炎_x000D_
書式:G/標準_x000D_
縮小しない_x000D_
テンプレート内外:外_x000D_
</t>
  </si>
  <si>
    <t xml:space="preserve">新規追加_x000D_
表示文字数:25_x000D_
改頁しない_x000D_
繰返場所:W8:AI8,W9:AI9,W10:AI10,W11:AI11,W12:AI12,W13:AI13,W14:AI14_x000D_
グループ名:患者情報.既往歴(降順)_x000D_
プレビューデータ:インフルエンザ_x000D_
書式:G/標準_x000D_
縮小しない_x000D_
テンプレート内外:外_x000D_
</t>
  </si>
  <si>
    <t xml:space="preserve">新規追加_x000D_
表示文字数:25_x000D_
改頁しない_x000D_
繰返場所:W15:AI15,W16:AI16,W17:AI17,W18:AI18,W19:AI19_x000D_
グループ名:患者情報.感染症(+)(-)_x000D_
プレビューデータ:Hbc抗体_x000D_
書式:G/標準_x000D_
縮小しない_x000D_
テンプレート内外:外_x000D_
</t>
  </si>
  <si>
    <t xml:space="preserve">新規追加_x000D_
改頁しない_x000D_
プレビューデータ:7_x000D_
書式:0_x000D_
縮小しない_x000D_
テンプレート内外:外_x000D_
</t>
  </si>
  <si>
    <t xml:space="preserve">新規追加_x000D_
改頁しない_x000D_
繰返場所:F18:K18_x000D_
グループ名:患者情報.身体情報(降順)_x000D_
プレビューデータ:35.05_x000D_
書式:0.00_x000D_
縮小しない_x000D_
テンプレート内外:外_x000D_
</t>
  </si>
  <si>
    <t xml:space="preserve">新規追加_x000D_
改頁しない_x000D_
プレビューデータ:2025/06/23_x000D_
書式:yyyy/mm/dd_x000D_
縮小しない_x000D_
テンプレート内外:外_x000D_
</t>
  </si>
  <si>
    <t xml:space="preserve">新規追加_x000D_
表示文字数:25_x000D_
改頁しない_x000D_
プレビューデータ:Dドライ3.0S_x000D_
書式:G/標準_x000D_
縮小しない_x000D_
テンプレート内外:外_x000D_
</t>
  </si>
  <si>
    <t xml:space="preserve">新規追加_x000D_
改頁しない_x000D_
プレビューデータ:左手前腕内シャント化静脈_x000D_
書式:G/標準_x000D_
縮小しない_x000D_
テンプレート内外:外_x000D_
</t>
  </si>
  <si>
    <t xml:space="preserve">新規追加_x000D_
表示文字数:23_x000D_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</si>
  <si>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</si>
  <si>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 xml:space="preserve">新規追加_x000D_
改頁しない_x000D_
繰返場所:J33:K33,L33:M33,N33:O33,P33:Q33_x000D_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</si>
  <si>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表示文字数:15_x000D_
改頁しない_x000D_
繰返場所:B34:I34,B35:I35,B36:I36,B37:I37,B38:I38_x000D_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</si>
  <si>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繰返場所:J34:K34,J35:K35,J36:K36,J37:K37,J38:K38,L34:M34,L35:M35,L36:M36,L37:M37,L38:M38,N34:O34,N35:O35,N36:O36,N37:O37,N38:O38,P34:Q34,P35:Q35,P36:Q36,P37:Q37,P38:Q38_x000D_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</si>
  <si>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>患者情報.既往歴(降順).患者情報.既往歴(降順).外.W8:AI8</t>
  </si>
  <si>
    <t>患者情報.感染症(+)(-).患者情報.感染症(+)(-).外.W15:AI15</t>
  </si>
  <si>
    <t>患者情報.身体情報(降順).患者情報.身体情報(降順).外.F18:K18</t>
  </si>
  <si>
    <t>指示.投薬.指示.投薬.外.J33:K33</t>
  </si>
  <si>
    <t>指示.投薬.指示.投薬.内.J34:K34</t>
  </si>
  <si>
    <t>グループ</t>
  </si>
  <si>
    <t xml:space="preserve">改頁しない_x000D_
</t>
  </si>
  <si>
    <t xml:space="preserve">改頁しない_x000D_
抽出条件:&lt;SelectSetting&gt;&lt;Item tag="Medicine" checkState="Checked" /&gt;&lt;/SelectSetting&gt;_x000D_
</t>
  </si>
  <si>
    <t>曜日</t>
  </si>
  <si>
    <t>項目値</t>
  </si>
  <si>
    <t>2025/06/23 16:02:59</t>
  </si>
  <si>
    <t xml:space="preserve">横の集計単位: ⇒ treat_date_x000D_
縦の集計単位: ⇒ medi_name_x000D_
集計単位日付: ⇒ 曜日_x000D_
表示内容: ⇒ 項目値_x000D_
</t>
  </si>
  <si>
    <t>2025/06/23 16:04:36</t>
  </si>
  <si>
    <t xml:space="preserve">設定変更_x000D_
書式:0 ⇒ 0.00_x000D_
</t>
  </si>
  <si>
    <t xml:space="preserve">設定変更_x000D_
データ変換:&lt;convTable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 ⇒ 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</t>
  </si>
  <si>
    <t>2025/06/23 16:05:59</t>
  </si>
  <si>
    <t>##患者情報.本人情報.電話番号2</t>
  </si>
  <si>
    <t>電話番号2</t>
  </si>
  <si>
    <t>pat_tel2</t>
  </si>
  <si>
    <t>090-1234-5678</t>
  </si>
  <si>
    <t>W6:AI6</t>
  </si>
  <si>
    <t>F8:R8</t>
  </si>
  <si>
    <t>2025/06/23 16:25:34</t>
  </si>
  <si>
    <t xml:space="preserve">新規追加_x000D_
表示文字数:25_x000D_
改頁しない_x000D_
プレビューデータ:090-1234-5678_x000D_
書式:G/標準_x000D_
縮小しない_x000D_
テンプレート内外:外_x000D_
</t>
  </si>
  <si>
    <t xml:space="preserve">新規追加_x000D_
改頁しない_x000D_
プレビューデータ:G/標準_x000D_
書式:G/標準_x000D_
縮小しない_x000D_
テンプレート内外:外_x000D_
</t>
  </si>
  <si>
    <t>2025/06/23 16:26:58</t>
  </si>
  <si>
    <t xml:space="preserve">設定変更_x000D_
表示文字数:25 ⇒ _x000D_
縮小しない_x000D_
</t>
  </si>
  <si>
    <t>AJ8</t>
  </si>
  <si>
    <t>2025/06/23 16:28:32</t>
  </si>
  <si>
    <t>削除</t>
  </si>
  <si>
    <t>##指示.透析条件.治療方法</t>
  </si>
  <si>
    <t>##指示.透析条件.治療方法</t>
    <phoneticPr fontId="1"/>
  </si>
  <si>
    <t>治療方法</t>
  </si>
  <si>
    <t>treatment_name</t>
  </si>
  <si>
    <t>HDF</t>
  </si>
  <si>
    <t>K10:R10</t>
  </si>
  <si>
    <t>2025/06/23 16:33:09</t>
  </si>
  <si>
    <t xml:space="preserve">新規追加_x000D_
改頁しない_x000D_
プレビューデータ:HDF_x000D_
書式:G/標準_x000D_
縮小しない_x000D_
テンプレート内外:外_x000D_
</t>
  </si>
  <si>
    <t>2025/06/23 16:33:49</t>
  </si>
  <si>
    <t xml:space="preserve">設定変更_x000D_
表示文字数:15 ⇒ _x000D_
縮小しない_x000D_
</t>
  </si>
  <si>
    <t>2025/06/23 16:39:54</t>
  </si>
  <si>
    <t>##患者情報.感染症(+)(-)(不明).感染症</t>
  </si>
  <si>
    <t>##患者情報.感染症(+)(-)(不明).感染症結果</t>
  </si>
  <si>
    <t>##患者情報.感染症(+)(-)(不明).感染症結果</t>
    <phoneticPr fontId="1"/>
  </si>
  <si>
    <t>感染症(+)(-)(不明)</t>
  </si>
  <si>
    <t>AP15</t>
  </si>
  <si>
    <t>患者情報.感染症(+)(-)(不明)</t>
  </si>
  <si>
    <t>感染症結果</t>
  </si>
  <si>
    <t>infect</t>
  </si>
  <si>
    <t>(不明)</t>
  </si>
  <si>
    <t>AQ15</t>
  </si>
  <si>
    <t>2025/07/09 13:37:25</t>
  </si>
  <si>
    <t xml:space="preserve">新規追加_x000D_
改頁しない_x000D_
繰返場所:AP15,AP16,AP17,AP18,AP19_x000D_
グループ名:患者情報.感染症(+)(-)(不明)_x000D_
プレビューデータ:Hbc抗体_x000D_
書式:G/標準_x000D_
縮小しない_x000D_
テンプレート内外:外_x000D_
</t>
  </si>
  <si>
    <t xml:space="preserve">新規追加_x000D_
改頁しない_x000D_
繰返場所:AQ15,AQ16,AQ17,AQ18,AQ19_x000D_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テンプレート内外:外_x000D_
</t>
  </si>
  <si>
    <t>患者情報.感染症(+)(-)(不明).患者情報.感染症(+)(-)(不明).外.AP15</t>
  </si>
  <si>
    <t>2025/07/09 13:43:01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</si>
  <si>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</si>
  <si>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2025/07/09 13:54:23</t>
  </si>
  <si>
    <t>##指示.透析条件.抗凝固剤総量</t>
  </si>
  <si>
    <t>F13:O13</t>
  </si>
  <si>
    <t>P13:Q13</t>
  </si>
  <si>
    <t>R13</t>
  </si>
  <si>
    <t>&lt;convTable cls=""&gt;&lt;conv code="0" item="不明" disp="不明" /&gt;&lt;conv code="1" item="(-)" disp="(-)" /&gt;&lt;conv code="2" item="(+)" disp="(+)" /&gt;&lt;/convTable&gt;</t>
  </si>
  <si>
    <t>2025/07/09 16:00:16</t>
  </si>
  <si>
    <t xml:space="preserve">新規追加_x000D_
改頁しない_x000D_
プレビューデータ:1234567_x000D_
書式:G/標準_x000D_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</si>
  <si>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</si>
  <si>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</si>
  <si>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>##指示.投薬.数量</t>
    <phoneticPr fontId="1"/>
  </si>
  <si>
    <t>J35:K35</t>
  </si>
  <si>
    <t>2025/07/10 11:55:56</t>
  </si>
  <si>
    <t xml:space="preserve">範囲:J34:K34 ⇒ J35:K35_x000D_
</t>
  </si>
  <si>
    <t>AP15,AP16,AP17,AP18,AP19,AP20</t>
  </si>
  <si>
    <t>AQ15,AQ16,AQ17,AQ18,AQ19,AQ20</t>
  </si>
  <si>
    <t>L16:O18</t>
  </si>
  <si>
    <t>F19:K19</t>
  </si>
  <si>
    <t>2025/07/10</t>
  </si>
  <si>
    <t>N19:R19</t>
  </si>
  <si>
    <t>30</t>
  </si>
  <si>
    <t>F20:R20</t>
  </si>
  <si>
    <t>S25:AI29</t>
  </si>
  <si>
    <t>J34:K34,L34:M34,N34:O34,P34:Q34</t>
  </si>
  <si>
    <t>B35:I35,B36:I36,B37:I37,B38:I38,B39:I39</t>
  </si>
  <si>
    <t>B35:I35</t>
  </si>
  <si>
    <t>J35:K35,J36:K36,J37:K37,J38:K38,J39:K39,L35:M35,L36:M36,L37:M37,L38:M38,L39:M39,N35:O35,N36:O36,N37:O37,N38:O38,N39:O39,P35:Q35,P36:Q36,P37:Q37,P38:Q38,P39:Q39</t>
  </si>
  <si>
    <t>E43:Q43</t>
  </si>
  <si>
    <t>S43:AB43</t>
  </si>
  <si>
    <t>AE43:AI43</t>
  </si>
  <si>
    <t>2025/07/10 11:55:57</t>
  </si>
  <si>
    <t xml:space="preserve">設定変更_x000D_
繰返場所:AP15,AP16,AP17,AP18,AP19 ⇒ AP15,AP16,AP17,AP18,AP19,AP20_x000D_
</t>
  </si>
  <si>
    <t xml:space="preserve">設定変更_x000D_
繰返場所:AQ15,AQ16,AQ17,AQ18,AQ19 ⇒ AQ15,AQ16,AQ17,AQ18,AQ19,AQ20_x000D_
</t>
  </si>
  <si>
    <t xml:space="preserve">新規追加_x000D_
改頁しない_x000D_
繰返場所:F19:K19_x000D_
グループ名:患者情報.身体情報(降順)_x000D_
プレビューデータ:35.05_x000D_
書式:0.00_x000D_
縮小しない_x000D_
テンプレート内外:外_x000D_
</t>
  </si>
  <si>
    <t xml:space="preserve">新規追加_x000D_
改頁しない_x000D_
プレビューデータ:2025/07/10_x000D_
書式:yyyy/mm/dd_x000D_
縮小しない_x000D_
テンプレート内外:外_x000D_
</t>
  </si>
  <si>
    <t xml:space="preserve">新規追加_x000D_
表示文字数:30_x000D_
改頁しない_x000D_
プレビューデータ:Dドライ3.0S_x000D_
書式:G/標準_x000D_
縮小しない_x000D_
テンプレート内外:外_x000D_
</t>
  </si>
  <si>
    <t xml:space="preserve">設定変更_x000D_
表示文字数:23 ⇒ _x000D_
プレビューデータ:左 ⇒ 左手前腕内シャント化静脈_x000D_
データ変換:&lt;convTable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 ⇒ _x000D_
縮小しない_x000D_
</t>
  </si>
  <si>
    <t xml:space="preserve">新規追加_x000D_
表示文字数:28_x000D_
改頁しない_x000D_
プレビューデータ:左_x000D_
書式:G/標準_x000D_
データ変換:&lt;convTable cls="シャント位置"&gt;&lt;conv code="0" item="両方" disp="両方" /&gt;&lt;conv code="1" item="左" disp="左" /&gt;&lt;conv code="2" item="右" disp="右" /&gt;&lt;conv code="3" item="なし" disp="なし" /&gt;&lt;conv code="-" item="不明" disp="不明" /&gt;&lt;/convTable&gt;_x000D_
縮小しない_x000D_
テンプレート内外:外_x000D_
</t>
  </si>
  <si>
    <t xml:space="preserve">設定変更_x000D_
繰返場所:J34:K34,J35:K35,J36:K36,J37:K37,J38:K38,L34:M34,L35:M35,L36:M36,L37:M37,L38:M38,N34:O34,N35:O35,N36:O36,N37:O37,N38:O38,P34:Q34,P35:Q35,P36:Q36,P37:Q37,P38:Q38 ⇒ J34:K34,L34:M34,N34:O34,P34:Q34_x000D_
プレビューデータ:1 ⇒ 2025/07/10_x000D_
書式:0 ⇒ yyyy/mm/dd_x000D_
テンプレート内外:内 ⇒ 外_x000D_
</t>
  </si>
  <si>
    <t xml:space="preserve">新規追加_x000D_
改頁しない_x000D_
繰返場所:B35:I35,B36:I36,B37:I37,B38:I38,B39:I39_x000D_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</si>
  <si>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繰返場所:J35:K35,J36:K36,J37:K37,J38:K38,J39:K39,L35:M35,L36:M36,L37:M37,L38:M38,L39:M39,N35:O35,N36:O36,N37:O37,N38:O38,N39:O39,P35:Q35,P36:Q36,P37:Q37,P38:Q38,P39:Q39_x000D_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</si>
  <si>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改頁しない_x000D_
プレビューデータ:大塚医院_x000D_
書式:G/標準_x000D_
縮小しない_x000D_
テンプレート内外:外_x000D_
</t>
  </si>
  <si>
    <t xml:space="preserve">新規追加_x000D_
改頁しない_x000D_
プレビューデータ:028-621-7600_x000D_
書式:G/標準_x000D_
縮小しない_x000D_
テンプレート内外:外_x000D_
</t>
  </si>
  <si>
    <t>患者情報.身体情報(降順).患者情報.身体情報(降順).外.F19:K19</t>
  </si>
  <si>
    <t>指示.投薬.指示.投薬.外.J34:K34</t>
  </si>
  <si>
    <t>指示.投薬.指示.投薬.内.J35:K35</t>
  </si>
  <si>
    <t>2025/07/10 11:58:28</t>
  </si>
  <si>
    <t>##患者情報.身体情報(降順).DW</t>
  </si>
  <si>
    <t>##患者情報.身体情報(降順).DW</t>
    <phoneticPr fontId="1"/>
  </si>
  <si>
    <t>CanBarCode</t>
  </si>
  <si>
    <t>BarCode</t>
  </si>
  <si>
    <t>患者情報.身体情報(降順)DW</t>
  </si>
  <si>
    <t>&lt;convTable cls=""&gt;&lt;conv code="0" item="両方" disp="両方" /&gt;&lt;conv code="1" item="左" disp="左" /&gt;&lt;conv code="2" item="右" disp="右" /&gt;&lt;conv code="3" item="なし" disp="なし" /&gt;&lt;conv code="-" item="不明" disp="不明" /&gt;&lt;/convTable&gt;</t>
  </si>
  <si>
    <t>2025/10/14 15:26:08</t>
  </si>
  <si>
    <t xml:space="preserve">設定変更_x000D_
繰返場所: ⇒ F10:H10_x000D_
グループ名: ⇒ 患者情報.身体情報(降順)DW_x000D_
</t>
  </si>
  <si>
    <t>患者情報.身体情報(降順).患者情報.身体情報(降順)DW.外.F10:H10</t>
  </si>
  <si>
    <t>2025/10/14 15:26:09</t>
  </si>
  <si>
    <t xml:space="preserve">出力値のない列は省略する設定: ⇒ 0_x000D_
表示内容種類: ⇒ 先頭_x000D_
</t>
  </si>
  <si>
    <t>先頭</t>
    <phoneticPr fontId="1"/>
  </si>
  <si>
    <t>2025/10/21 10:38:51</t>
  </si>
  <si>
    <t xml:space="preserve">設定変更_x000D_
書式:0.00 ⇒ 0_x000D_
</t>
  </si>
  <si>
    <t>2025/10/21</t>
  </si>
  <si>
    <t>2025/10/21 10:43:59</t>
  </si>
  <si>
    <t xml:space="preserve">設定変更_x000D_
プレビューデータ:2025/07/10 ⇒ 2025/10/21_x000D_
</t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</si>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</sst>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1" fontId="0" fillId="2" borderId="0" xfId="0" applyNumberFormat="1" applyFill="1" applyAlignment="1">
      <alignment vertical="center" shrinkToFit="1"/>
    </xf>
    <xf numFmtId="0" fontId="0" fillId="2" borderId="0" xfId="0" applyNumberFormat="1" applyFill="1">
      <alignment vertical="center"/>
    </xf>
    <xf numFmtId="0" fontId="0" fillId="2" borderId="0" xfId="0" applyNumberFormat="1" applyFill="1" applyAlignment="1">
      <alignment vertical="center" shrinkToFit="1"/>
    </xf>
    <xf numFmtId="176" fontId="0" fillId="2" borderId="0" xfId="0" applyNumberFormat="1" applyFill="1" applyAlignment="1">
      <alignment vertical="center" shrinkToFit="1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right" vertical="center" shrinkToFit="1"/>
    </xf>
    <xf numFmtId="0" fontId="3" fillId="0" borderId="4" xfId="0" applyNumberFormat="1" applyFont="1" applyBorder="1" applyAlignment="1">
      <alignment horizontal="left" vertical="center" shrinkToFit="1"/>
    </xf>
    <xf numFmtId="0" fontId="3" fillId="0" borderId="3" xfId="0" applyNumberFormat="1" applyFont="1" applyBorder="1" applyAlignment="1">
      <alignment horizontal="left" vertical="center" shrinkToFit="1"/>
    </xf>
    <xf numFmtId="0" fontId="3" fillId="0" borderId="2" xfId="0" applyNumberFormat="1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right" vertical="center"/>
    </xf>
    <xf numFmtId="1" fontId="3" fillId="0" borderId="0" xfId="0" applyNumberFormat="1" applyFont="1" applyBorder="1" applyAlignment="1">
      <alignment horizontal="right" vertical="center"/>
    </xf>
    <xf numFmtId="1" fontId="3" fillId="0" borderId="11" xfId="0" applyNumberFormat="1" applyFont="1" applyBorder="1" applyAlignment="1">
      <alignment horizontal="right" vertical="center"/>
    </xf>
    <xf numFmtId="177" fontId="3" fillId="0" borderId="3" xfId="0" applyNumberFormat="1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right" vertical="center" shrinkToFit="1"/>
    </xf>
    <xf numFmtId="1" fontId="3" fillId="0" borderId="3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 shrinkToFit="1"/>
    </xf>
    <xf numFmtId="176" fontId="3" fillId="0" borderId="3" xfId="0" applyNumberFormat="1" applyFont="1" applyBorder="1" applyAlignment="1">
      <alignment horizontal="center" vertical="center" shrinkToFit="1"/>
    </xf>
    <xf numFmtId="176" fontId="3" fillId="0" borderId="2" xfId="0" applyNumberFormat="1" applyFont="1" applyBorder="1" applyAlignment="1">
      <alignment horizontal="center" vertical="center" shrinkToFit="1"/>
    </xf>
    <xf numFmtId="0" fontId="3" fillId="0" borderId="5" xfId="0" applyNumberFormat="1" applyFont="1" applyBorder="1" applyAlignment="1">
      <alignment horizontal="left" vertical="center" shrinkToFit="1"/>
    </xf>
    <xf numFmtId="0" fontId="3" fillId="3" borderId="5" xfId="0" applyFont="1" applyFill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left" vertical="center" shrinkToFit="1"/>
    </xf>
    <xf numFmtId="176" fontId="3" fillId="0" borderId="0" xfId="0" applyNumberFormat="1" applyFont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E495-771B-4407-B18F-1068CA441B5F}">
  <dimension ref="A1:E143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38</v>
      </c>
      <c r="C2" s="1" t="s">
        <v>39</v>
      </c>
      <c r="D2" s="1" t="s">
        <v>1</v>
      </c>
      <c r="E2" s="3" t="s">
        <v>40</v>
      </c>
    </row>
    <row r="3" spans="1:5" ht="56.25" x14ac:dyDescent="0.4">
      <c r="A3" s="1" t="s">
        <v>3</v>
      </c>
      <c r="B3" s="1" t="s">
        <v>65</v>
      </c>
      <c r="C3" s="1" t="s">
        <v>66</v>
      </c>
      <c r="D3" s="1" t="s">
        <v>1</v>
      </c>
      <c r="E3" s="3" t="s">
        <v>67</v>
      </c>
    </row>
    <row r="4" spans="1:5" ht="56.25" x14ac:dyDescent="0.4">
      <c r="A4" s="1" t="s">
        <v>3</v>
      </c>
      <c r="B4" s="1" t="s">
        <v>72</v>
      </c>
      <c r="C4" s="1" t="s">
        <v>66</v>
      </c>
      <c r="D4" s="1" t="s">
        <v>1</v>
      </c>
      <c r="E4" s="3" t="s">
        <v>67</v>
      </c>
    </row>
    <row r="5" spans="1:5" ht="318.75" x14ac:dyDescent="0.4">
      <c r="A5" s="1" t="s">
        <v>3</v>
      </c>
      <c r="B5" s="1" t="s">
        <v>102</v>
      </c>
      <c r="C5" s="1" t="s">
        <v>78</v>
      </c>
      <c r="D5" s="1" t="s">
        <v>87</v>
      </c>
      <c r="E5" s="3" t="s">
        <v>103</v>
      </c>
    </row>
    <row r="6" spans="1:5" ht="281.25" x14ac:dyDescent="0.4">
      <c r="A6" s="1" t="s">
        <v>3</v>
      </c>
      <c r="B6" s="1" t="s">
        <v>102</v>
      </c>
      <c r="C6" s="1" t="s">
        <v>76</v>
      </c>
      <c r="D6" s="1" t="s">
        <v>96</v>
      </c>
      <c r="E6" s="3" t="s">
        <v>104</v>
      </c>
    </row>
    <row r="7" spans="1:5" ht="300" x14ac:dyDescent="0.4">
      <c r="A7" s="1" t="s">
        <v>3</v>
      </c>
      <c r="B7" s="1" t="s">
        <v>102</v>
      </c>
      <c r="C7" s="1" t="s">
        <v>75</v>
      </c>
      <c r="D7" s="1" t="s">
        <v>100</v>
      </c>
      <c r="E7" s="3" t="s">
        <v>105</v>
      </c>
    </row>
    <row r="8" spans="1:5" ht="56.25" x14ac:dyDescent="0.4">
      <c r="A8" s="1" t="s">
        <v>3</v>
      </c>
      <c r="B8" s="1" t="s">
        <v>102</v>
      </c>
      <c r="C8" s="1" t="s">
        <v>66</v>
      </c>
      <c r="D8" s="1" t="s">
        <v>1</v>
      </c>
      <c r="E8" s="3" t="s">
        <v>67</v>
      </c>
    </row>
    <row r="9" spans="1:5" ht="356.25" x14ac:dyDescent="0.4">
      <c r="A9" s="1" t="s">
        <v>3</v>
      </c>
      <c r="B9" s="1" t="s">
        <v>220</v>
      </c>
      <c r="C9" s="1" t="s">
        <v>107</v>
      </c>
      <c r="D9" s="1" t="s">
        <v>133</v>
      </c>
      <c r="E9" s="3" t="s">
        <v>221</v>
      </c>
    </row>
    <row r="10" spans="1:5" ht="318.75" x14ac:dyDescent="0.4">
      <c r="A10" s="1" t="s">
        <v>3</v>
      </c>
      <c r="B10" s="1" t="s">
        <v>220</v>
      </c>
      <c r="C10" s="1" t="s">
        <v>108</v>
      </c>
      <c r="D10" s="1" t="s">
        <v>137</v>
      </c>
      <c r="E10" s="3" t="s">
        <v>222</v>
      </c>
    </row>
    <row r="11" spans="1:5" ht="337.5" x14ac:dyDescent="0.4">
      <c r="A11" s="1" t="s">
        <v>3</v>
      </c>
      <c r="B11" s="1" t="s">
        <v>220</v>
      </c>
      <c r="C11" s="1" t="s">
        <v>106</v>
      </c>
      <c r="D11" s="1" t="s">
        <v>141</v>
      </c>
      <c r="E11" s="3" t="s">
        <v>223</v>
      </c>
    </row>
    <row r="12" spans="1:5" ht="243.75" x14ac:dyDescent="0.4">
      <c r="A12" s="1" t="s">
        <v>3</v>
      </c>
      <c r="B12" s="1" t="s">
        <v>220</v>
      </c>
      <c r="C12" s="1" t="s">
        <v>109</v>
      </c>
      <c r="D12" s="1" t="s">
        <v>146</v>
      </c>
      <c r="E12" s="3" t="s">
        <v>224</v>
      </c>
    </row>
    <row r="13" spans="1:5" ht="409.5" x14ac:dyDescent="0.4">
      <c r="A13" s="1" t="s">
        <v>3</v>
      </c>
      <c r="B13" s="1" t="s">
        <v>220</v>
      </c>
      <c r="C13" s="1" t="s">
        <v>110</v>
      </c>
      <c r="D13" s="1" t="s">
        <v>151</v>
      </c>
      <c r="E13" s="3" t="s">
        <v>225</v>
      </c>
    </row>
    <row r="14" spans="1:5" ht="393.75" x14ac:dyDescent="0.4">
      <c r="A14" s="1" t="s">
        <v>3</v>
      </c>
      <c r="B14" s="1" t="s">
        <v>220</v>
      </c>
      <c r="C14" s="1" t="s">
        <v>112</v>
      </c>
      <c r="D14" s="1" t="s">
        <v>156</v>
      </c>
      <c r="E14" s="3" t="s">
        <v>226</v>
      </c>
    </row>
    <row r="15" spans="1:5" ht="356.25" x14ac:dyDescent="0.4">
      <c r="A15" s="1" t="s">
        <v>3</v>
      </c>
      <c r="B15" s="1" t="s">
        <v>220</v>
      </c>
      <c r="C15" s="1" t="s">
        <v>113</v>
      </c>
      <c r="D15" s="1" t="s">
        <v>159</v>
      </c>
      <c r="E15" s="3" t="s">
        <v>227</v>
      </c>
    </row>
    <row r="16" spans="1:5" ht="318.75" x14ac:dyDescent="0.4">
      <c r="A16" s="1" t="s">
        <v>3</v>
      </c>
      <c r="B16" s="1" t="s">
        <v>220</v>
      </c>
      <c r="C16" s="1" t="s">
        <v>114</v>
      </c>
      <c r="D16" s="1" t="s">
        <v>165</v>
      </c>
      <c r="E16" s="3" t="s">
        <v>228</v>
      </c>
    </row>
    <row r="17" spans="1:5" ht="409.5" x14ac:dyDescent="0.4">
      <c r="A17" s="1" t="s">
        <v>3</v>
      </c>
      <c r="B17" s="1" t="s">
        <v>220</v>
      </c>
      <c r="C17" s="1" t="s">
        <v>115</v>
      </c>
      <c r="D17" s="1" t="s">
        <v>170</v>
      </c>
      <c r="E17" s="3" t="s">
        <v>229</v>
      </c>
    </row>
    <row r="18" spans="1:5" ht="262.5" x14ac:dyDescent="0.4">
      <c r="A18" s="1" t="s">
        <v>3</v>
      </c>
      <c r="B18" s="1" t="s">
        <v>220</v>
      </c>
      <c r="C18" s="1" t="s">
        <v>116</v>
      </c>
      <c r="D18" s="1" t="s">
        <v>178</v>
      </c>
      <c r="E18" s="3" t="s">
        <v>230</v>
      </c>
    </row>
    <row r="19" spans="1:5" ht="300" x14ac:dyDescent="0.4">
      <c r="A19" s="1" t="s">
        <v>3</v>
      </c>
      <c r="B19" s="1" t="s">
        <v>220</v>
      </c>
      <c r="C19" s="1" t="s">
        <v>117</v>
      </c>
      <c r="D19" s="1" t="s">
        <v>182</v>
      </c>
      <c r="E19" s="3" t="s">
        <v>231</v>
      </c>
    </row>
    <row r="20" spans="1:5" ht="262.5" x14ac:dyDescent="0.4">
      <c r="A20" s="1" t="s">
        <v>3</v>
      </c>
      <c r="B20" s="1" t="s">
        <v>220</v>
      </c>
      <c r="C20" s="1" t="s">
        <v>119</v>
      </c>
      <c r="D20" s="1" t="s">
        <v>189</v>
      </c>
      <c r="E20" s="3" t="s">
        <v>232</v>
      </c>
    </row>
    <row r="21" spans="1:5" ht="262.5" x14ac:dyDescent="0.4">
      <c r="A21" s="1" t="s">
        <v>3</v>
      </c>
      <c r="B21" s="1" t="s">
        <v>220</v>
      </c>
      <c r="C21" s="1" t="s">
        <v>120</v>
      </c>
      <c r="D21" s="1" t="s">
        <v>193</v>
      </c>
      <c r="E21" s="3" t="s">
        <v>233</v>
      </c>
    </row>
    <row r="22" spans="1:5" ht="337.5" x14ac:dyDescent="0.4">
      <c r="A22" s="1" t="s">
        <v>3</v>
      </c>
      <c r="B22" s="1" t="s">
        <v>220</v>
      </c>
      <c r="C22" s="1" t="s">
        <v>121</v>
      </c>
      <c r="D22" s="1" t="s">
        <v>197</v>
      </c>
      <c r="E22" s="3" t="s">
        <v>234</v>
      </c>
    </row>
    <row r="23" spans="1:5" ht="262.5" x14ac:dyDescent="0.4">
      <c r="A23" s="1" t="s">
        <v>3</v>
      </c>
      <c r="B23" s="1" t="s">
        <v>220</v>
      </c>
      <c r="C23" s="1" t="s">
        <v>122</v>
      </c>
      <c r="D23" s="1" t="s">
        <v>201</v>
      </c>
      <c r="E23" s="3" t="s">
        <v>235</v>
      </c>
    </row>
    <row r="24" spans="1:5" ht="262.5" x14ac:dyDescent="0.4">
      <c r="A24" s="1" t="s">
        <v>3</v>
      </c>
      <c r="B24" s="1" t="s">
        <v>220</v>
      </c>
      <c r="C24" s="1" t="s">
        <v>125</v>
      </c>
      <c r="D24" s="1" t="s">
        <v>205</v>
      </c>
      <c r="E24" s="3" t="s">
        <v>236</v>
      </c>
    </row>
    <row r="25" spans="1:5" ht="262.5" x14ac:dyDescent="0.4">
      <c r="A25" s="1" t="s">
        <v>3</v>
      </c>
      <c r="B25" s="1" t="s">
        <v>220</v>
      </c>
      <c r="C25" s="1" t="s">
        <v>123</v>
      </c>
      <c r="D25" s="1" t="s">
        <v>209</v>
      </c>
      <c r="E25" s="3" t="s">
        <v>237</v>
      </c>
    </row>
    <row r="26" spans="1:5" ht="281.25" x14ac:dyDescent="0.4">
      <c r="A26" s="1" t="s">
        <v>3</v>
      </c>
      <c r="B26" s="1" t="s">
        <v>220</v>
      </c>
      <c r="C26" s="1" t="s">
        <v>124</v>
      </c>
      <c r="D26" s="1" t="s">
        <v>213</v>
      </c>
      <c r="E26" s="3" t="s">
        <v>238</v>
      </c>
    </row>
    <row r="27" spans="1:5" ht="262.5" x14ac:dyDescent="0.4">
      <c r="A27" s="1" t="s">
        <v>3</v>
      </c>
      <c r="B27" s="1" t="s">
        <v>220</v>
      </c>
      <c r="C27" s="1" t="s">
        <v>126</v>
      </c>
      <c r="D27" s="1" t="s">
        <v>219</v>
      </c>
      <c r="E27" s="3" t="s">
        <v>239</v>
      </c>
    </row>
    <row r="28" spans="1:5" ht="56.25" x14ac:dyDescent="0.4">
      <c r="A28" s="1" t="s">
        <v>3</v>
      </c>
      <c r="B28" s="1" t="s">
        <v>240</v>
      </c>
      <c r="C28" s="1" t="s">
        <v>66</v>
      </c>
      <c r="D28" s="1" t="s">
        <v>1</v>
      </c>
      <c r="E28" s="3" t="s">
        <v>67</v>
      </c>
    </row>
    <row r="29" spans="1:5" ht="187.5" x14ac:dyDescent="0.4">
      <c r="A29" s="1" t="s">
        <v>3</v>
      </c>
      <c r="B29" s="1" t="s">
        <v>266</v>
      </c>
      <c r="C29" s="1" t="s">
        <v>267</v>
      </c>
      <c r="D29" s="1" t="s">
        <v>1</v>
      </c>
      <c r="E29" s="3" t="s">
        <v>268</v>
      </c>
    </row>
    <row r="30" spans="1:5" ht="93.75" x14ac:dyDescent="0.4">
      <c r="A30" s="1" t="s">
        <v>3</v>
      </c>
      <c r="B30" s="1" t="s">
        <v>339</v>
      </c>
      <c r="C30" s="1" t="s">
        <v>107</v>
      </c>
      <c r="D30" s="1" t="s">
        <v>133</v>
      </c>
      <c r="E30" s="3" t="s">
        <v>340</v>
      </c>
    </row>
    <row r="31" spans="1:5" ht="93.75" x14ac:dyDescent="0.4">
      <c r="A31" s="1" t="s">
        <v>3</v>
      </c>
      <c r="B31" s="1" t="s">
        <v>339</v>
      </c>
      <c r="C31" s="1" t="s">
        <v>108</v>
      </c>
      <c r="D31" s="1" t="s">
        <v>137</v>
      </c>
      <c r="E31" s="3" t="s">
        <v>340</v>
      </c>
    </row>
    <row r="32" spans="1:5" ht="93.75" x14ac:dyDescent="0.4">
      <c r="A32" s="1" t="s">
        <v>3</v>
      </c>
      <c r="B32" s="1" t="s">
        <v>339</v>
      </c>
      <c r="C32" s="1" t="s">
        <v>106</v>
      </c>
      <c r="D32" s="1" t="s">
        <v>141</v>
      </c>
      <c r="E32" s="3" t="s">
        <v>340</v>
      </c>
    </row>
    <row r="33" spans="1:5" ht="93.75" x14ac:dyDescent="0.4">
      <c r="A33" s="1" t="s">
        <v>3</v>
      </c>
      <c r="B33" s="1" t="s">
        <v>339</v>
      </c>
      <c r="C33" s="1" t="s">
        <v>109</v>
      </c>
      <c r="D33" s="1" t="s">
        <v>146</v>
      </c>
      <c r="E33" s="3" t="s">
        <v>340</v>
      </c>
    </row>
    <row r="34" spans="1:5" ht="93.75" x14ac:dyDescent="0.4">
      <c r="A34" s="1" t="s">
        <v>3</v>
      </c>
      <c r="B34" s="1" t="s">
        <v>339</v>
      </c>
      <c r="C34" s="1" t="s">
        <v>110</v>
      </c>
      <c r="D34" s="1" t="s">
        <v>151</v>
      </c>
      <c r="E34" s="3" t="s">
        <v>340</v>
      </c>
    </row>
    <row r="35" spans="1:5" ht="93.75" x14ac:dyDescent="0.4">
      <c r="A35" s="1" t="s">
        <v>3</v>
      </c>
      <c r="B35" s="1" t="s">
        <v>339</v>
      </c>
      <c r="C35" s="1" t="s">
        <v>112</v>
      </c>
      <c r="D35" s="1" t="s">
        <v>156</v>
      </c>
      <c r="E35" s="3" t="s">
        <v>340</v>
      </c>
    </row>
    <row r="36" spans="1:5" ht="93.75" x14ac:dyDescent="0.4">
      <c r="A36" s="1" t="s">
        <v>3</v>
      </c>
      <c r="B36" s="1" t="s">
        <v>339</v>
      </c>
      <c r="C36" s="1" t="s">
        <v>113</v>
      </c>
      <c r="D36" s="1" t="s">
        <v>159</v>
      </c>
      <c r="E36" s="3" t="s">
        <v>340</v>
      </c>
    </row>
    <row r="37" spans="1:5" ht="93.75" x14ac:dyDescent="0.4">
      <c r="A37" s="1" t="s">
        <v>3</v>
      </c>
      <c r="B37" s="1" t="s">
        <v>339</v>
      </c>
      <c r="C37" s="1" t="s">
        <v>114</v>
      </c>
      <c r="D37" s="1" t="s">
        <v>165</v>
      </c>
      <c r="E37" s="3" t="s">
        <v>340</v>
      </c>
    </row>
    <row r="38" spans="1:5" ht="337.5" x14ac:dyDescent="0.4">
      <c r="A38" s="1" t="s">
        <v>3</v>
      </c>
      <c r="B38" s="1" t="s">
        <v>339</v>
      </c>
      <c r="C38" s="1" t="s">
        <v>246</v>
      </c>
      <c r="D38" s="1" t="s">
        <v>275</v>
      </c>
      <c r="E38" s="3" t="s">
        <v>341</v>
      </c>
    </row>
    <row r="39" spans="1:5" ht="409.5" x14ac:dyDescent="0.4">
      <c r="A39" s="1" t="s">
        <v>3</v>
      </c>
      <c r="B39" s="1" t="s">
        <v>339</v>
      </c>
      <c r="C39" s="1" t="s">
        <v>247</v>
      </c>
      <c r="D39" s="1" t="s">
        <v>281</v>
      </c>
      <c r="E39" s="3" t="s">
        <v>342</v>
      </c>
    </row>
    <row r="40" spans="1:5" ht="93.75" x14ac:dyDescent="0.4">
      <c r="A40" s="1" t="s">
        <v>3</v>
      </c>
      <c r="B40" s="1" t="s">
        <v>339</v>
      </c>
      <c r="C40" s="1" t="s">
        <v>115</v>
      </c>
      <c r="D40" s="1" t="s">
        <v>170</v>
      </c>
      <c r="E40" s="3" t="s">
        <v>340</v>
      </c>
    </row>
    <row r="41" spans="1:5" ht="93.75" x14ac:dyDescent="0.4">
      <c r="A41" s="1" t="s">
        <v>3</v>
      </c>
      <c r="B41" s="1" t="s">
        <v>339</v>
      </c>
      <c r="C41" s="1" t="s">
        <v>116</v>
      </c>
      <c r="D41" s="1" t="s">
        <v>178</v>
      </c>
      <c r="E41" s="3" t="s">
        <v>340</v>
      </c>
    </row>
    <row r="42" spans="1:5" ht="93.75" x14ac:dyDescent="0.4">
      <c r="A42" s="1" t="s">
        <v>3</v>
      </c>
      <c r="B42" s="1" t="s">
        <v>339</v>
      </c>
      <c r="C42" s="1" t="s">
        <v>117</v>
      </c>
      <c r="D42" s="1" t="s">
        <v>182</v>
      </c>
      <c r="E42" s="3" t="s">
        <v>340</v>
      </c>
    </row>
    <row r="43" spans="1:5" ht="93.75" x14ac:dyDescent="0.4">
      <c r="A43" s="1" t="s">
        <v>3</v>
      </c>
      <c r="B43" s="1" t="s">
        <v>339</v>
      </c>
      <c r="C43" s="1" t="s">
        <v>119</v>
      </c>
      <c r="D43" s="1" t="s">
        <v>189</v>
      </c>
      <c r="E43" s="3" t="s">
        <v>340</v>
      </c>
    </row>
    <row r="44" spans="1:5" ht="93.75" x14ac:dyDescent="0.4">
      <c r="A44" s="1" t="s">
        <v>3</v>
      </c>
      <c r="B44" s="1" t="s">
        <v>339</v>
      </c>
      <c r="C44" s="1" t="s">
        <v>120</v>
      </c>
      <c r="D44" s="1" t="s">
        <v>193</v>
      </c>
      <c r="E44" s="3" t="s">
        <v>340</v>
      </c>
    </row>
    <row r="45" spans="1:5" ht="93.75" x14ac:dyDescent="0.4">
      <c r="A45" s="1" t="s">
        <v>3</v>
      </c>
      <c r="B45" s="1" t="s">
        <v>339</v>
      </c>
      <c r="C45" s="1" t="s">
        <v>121</v>
      </c>
      <c r="D45" s="1" t="s">
        <v>197</v>
      </c>
      <c r="E45" s="3" t="s">
        <v>340</v>
      </c>
    </row>
    <row r="46" spans="1:5" ht="93.75" x14ac:dyDescent="0.4">
      <c r="A46" s="1" t="s">
        <v>3</v>
      </c>
      <c r="B46" s="1" t="s">
        <v>339</v>
      </c>
      <c r="C46" s="1" t="s">
        <v>122</v>
      </c>
      <c r="D46" s="1" t="s">
        <v>201</v>
      </c>
      <c r="E46" s="3" t="s">
        <v>340</v>
      </c>
    </row>
    <row r="47" spans="1:5" ht="93.75" x14ac:dyDescent="0.4">
      <c r="A47" s="1" t="s">
        <v>3</v>
      </c>
      <c r="B47" s="1" t="s">
        <v>339</v>
      </c>
      <c r="C47" s="1" t="s">
        <v>125</v>
      </c>
      <c r="D47" s="1" t="s">
        <v>205</v>
      </c>
      <c r="E47" s="3" t="s">
        <v>340</v>
      </c>
    </row>
    <row r="48" spans="1:5" ht="93.75" x14ac:dyDescent="0.4">
      <c r="A48" s="1" t="s">
        <v>3</v>
      </c>
      <c r="B48" s="1" t="s">
        <v>339</v>
      </c>
      <c r="C48" s="1" t="s">
        <v>123</v>
      </c>
      <c r="D48" s="1" t="s">
        <v>209</v>
      </c>
      <c r="E48" s="3" t="s">
        <v>340</v>
      </c>
    </row>
    <row r="49" spans="1:5" ht="93.75" x14ac:dyDescent="0.4">
      <c r="A49" s="1" t="s">
        <v>3</v>
      </c>
      <c r="B49" s="1" t="s">
        <v>339</v>
      </c>
      <c r="C49" s="1" t="s">
        <v>124</v>
      </c>
      <c r="D49" s="1" t="s">
        <v>213</v>
      </c>
      <c r="E49" s="3" t="s">
        <v>340</v>
      </c>
    </row>
    <row r="50" spans="1:5" ht="409.5" x14ac:dyDescent="0.4">
      <c r="A50" s="1" t="s">
        <v>3</v>
      </c>
      <c r="B50" s="1" t="s">
        <v>339</v>
      </c>
      <c r="C50" s="1" t="s">
        <v>248</v>
      </c>
      <c r="D50" s="1" t="s">
        <v>286</v>
      </c>
      <c r="E50" s="3" t="s">
        <v>343</v>
      </c>
    </row>
    <row r="51" spans="1:5" ht="243.75" x14ac:dyDescent="0.4">
      <c r="A51" s="1" t="s">
        <v>3</v>
      </c>
      <c r="B51" s="1" t="s">
        <v>339</v>
      </c>
      <c r="C51" s="1" t="s">
        <v>241</v>
      </c>
      <c r="D51" s="1" t="s">
        <v>288</v>
      </c>
      <c r="E51" s="3" t="s">
        <v>344</v>
      </c>
    </row>
    <row r="52" spans="1:5" ht="93.75" x14ac:dyDescent="0.4">
      <c r="A52" s="1" t="s">
        <v>3</v>
      </c>
      <c r="B52" s="1" t="s">
        <v>339</v>
      </c>
      <c r="C52" s="1" t="s">
        <v>126</v>
      </c>
      <c r="D52" s="1" t="s">
        <v>219</v>
      </c>
      <c r="E52" s="3" t="s">
        <v>340</v>
      </c>
    </row>
    <row r="53" spans="1:5" ht="393.75" x14ac:dyDescent="0.4">
      <c r="A53" s="1" t="s">
        <v>3</v>
      </c>
      <c r="B53" s="1" t="s">
        <v>339</v>
      </c>
      <c r="C53" s="1" t="s">
        <v>243</v>
      </c>
      <c r="D53" s="1" t="s">
        <v>294</v>
      </c>
      <c r="E53" s="3" t="s">
        <v>345</v>
      </c>
    </row>
    <row r="54" spans="1:5" ht="318.75" x14ac:dyDescent="0.4">
      <c r="A54" s="1" t="s">
        <v>3</v>
      </c>
      <c r="B54" s="1" t="s">
        <v>339</v>
      </c>
      <c r="C54" s="1" t="s">
        <v>244</v>
      </c>
      <c r="D54" s="1" t="s">
        <v>301</v>
      </c>
      <c r="E54" s="3" t="s">
        <v>346</v>
      </c>
    </row>
    <row r="55" spans="1:5" ht="337.5" x14ac:dyDescent="0.4">
      <c r="A55" s="1" t="s">
        <v>3</v>
      </c>
      <c r="B55" s="1" t="s">
        <v>339</v>
      </c>
      <c r="C55" s="1" t="s">
        <v>245</v>
      </c>
      <c r="D55" s="1" t="s">
        <v>305</v>
      </c>
      <c r="E55" s="3" t="s">
        <v>347</v>
      </c>
    </row>
    <row r="56" spans="1:5" ht="318.75" x14ac:dyDescent="0.4">
      <c r="A56" s="1" t="s">
        <v>3</v>
      </c>
      <c r="B56" s="1" t="s">
        <v>339</v>
      </c>
      <c r="C56" s="1" t="s">
        <v>255</v>
      </c>
      <c r="D56" s="1" t="s">
        <v>308</v>
      </c>
      <c r="E56" s="3" t="s">
        <v>348</v>
      </c>
    </row>
    <row r="57" spans="1:5" ht="409.5" x14ac:dyDescent="0.4">
      <c r="A57" s="1" t="s">
        <v>3</v>
      </c>
      <c r="B57" s="1" t="s">
        <v>339</v>
      </c>
      <c r="C57" s="1" t="s">
        <v>258</v>
      </c>
      <c r="D57" s="1" t="s">
        <v>312</v>
      </c>
      <c r="E57" s="3" t="s">
        <v>349</v>
      </c>
    </row>
    <row r="58" spans="1:5" ht="318.75" x14ac:dyDescent="0.4">
      <c r="A58" s="1" t="s">
        <v>3</v>
      </c>
      <c r="B58" s="1" t="s">
        <v>339</v>
      </c>
      <c r="C58" s="1" t="s">
        <v>257</v>
      </c>
      <c r="D58" s="1" t="s">
        <v>316</v>
      </c>
      <c r="E58" s="3" t="s">
        <v>346</v>
      </c>
    </row>
    <row r="59" spans="1:5" ht="409.5" x14ac:dyDescent="0.4">
      <c r="A59" s="1" t="s">
        <v>3</v>
      </c>
      <c r="B59" s="1" t="s">
        <v>339</v>
      </c>
      <c r="C59" s="1" t="s">
        <v>256</v>
      </c>
      <c r="D59" s="1" t="s">
        <v>323</v>
      </c>
      <c r="E59" s="3" t="s">
        <v>350</v>
      </c>
    </row>
    <row r="60" spans="1:5" ht="409.5" x14ac:dyDescent="0.4">
      <c r="A60" s="1" t="s">
        <v>3</v>
      </c>
      <c r="B60" s="1" t="s">
        <v>339</v>
      </c>
      <c r="C60" s="1" t="s">
        <v>259</v>
      </c>
      <c r="D60" s="1" t="s">
        <v>330</v>
      </c>
      <c r="E60" s="3" t="s">
        <v>351</v>
      </c>
    </row>
    <row r="61" spans="1:5" ht="409.5" x14ac:dyDescent="0.4">
      <c r="A61" s="1" t="s">
        <v>3</v>
      </c>
      <c r="B61" s="1" t="s">
        <v>339</v>
      </c>
      <c r="C61" s="1" t="s">
        <v>260</v>
      </c>
      <c r="D61" s="1" t="s">
        <v>335</v>
      </c>
      <c r="E61" s="3" t="s">
        <v>352</v>
      </c>
    </row>
    <row r="62" spans="1:5" ht="409.5" x14ac:dyDescent="0.4">
      <c r="A62" s="1" t="s">
        <v>3</v>
      </c>
      <c r="B62" s="1" t="s">
        <v>339</v>
      </c>
      <c r="C62" s="1" t="s">
        <v>262</v>
      </c>
      <c r="D62" s="1" t="s">
        <v>263</v>
      </c>
      <c r="E62" s="3" t="s">
        <v>353</v>
      </c>
    </row>
    <row r="63" spans="1:5" ht="93.75" x14ac:dyDescent="0.4">
      <c r="A63" s="1" t="s">
        <v>3</v>
      </c>
      <c r="B63" s="1" t="s">
        <v>339</v>
      </c>
      <c r="C63" s="1" t="s">
        <v>78</v>
      </c>
      <c r="D63" s="1" t="s">
        <v>87</v>
      </c>
      <c r="E63" s="3" t="s">
        <v>340</v>
      </c>
    </row>
    <row r="64" spans="1:5" ht="93.75" x14ac:dyDescent="0.4">
      <c r="A64" s="1" t="s">
        <v>3</v>
      </c>
      <c r="B64" s="1" t="s">
        <v>339</v>
      </c>
      <c r="C64" s="1" t="s">
        <v>76</v>
      </c>
      <c r="D64" s="1" t="s">
        <v>96</v>
      </c>
      <c r="E64" s="3" t="s">
        <v>340</v>
      </c>
    </row>
    <row r="65" spans="1:5" ht="93.75" x14ac:dyDescent="0.4">
      <c r="A65" s="1" t="s">
        <v>3</v>
      </c>
      <c r="B65" s="1" t="s">
        <v>339</v>
      </c>
      <c r="C65" s="1" t="s">
        <v>75</v>
      </c>
      <c r="D65" s="1" t="s">
        <v>100</v>
      </c>
      <c r="E65" s="3" t="s">
        <v>340</v>
      </c>
    </row>
    <row r="66" spans="1:5" ht="56.25" x14ac:dyDescent="0.4">
      <c r="A66" s="1" t="s">
        <v>3</v>
      </c>
      <c r="B66" s="1" t="s">
        <v>339</v>
      </c>
      <c r="C66" s="1" t="s">
        <v>354</v>
      </c>
      <c r="D66" s="1" t="s">
        <v>359</v>
      </c>
      <c r="E66" s="3" t="s">
        <v>360</v>
      </c>
    </row>
    <row r="67" spans="1:5" ht="56.25" x14ac:dyDescent="0.4">
      <c r="A67" s="1" t="s">
        <v>3</v>
      </c>
      <c r="B67" s="1" t="s">
        <v>339</v>
      </c>
      <c r="C67" s="1" t="s">
        <v>355</v>
      </c>
      <c r="D67" s="1" t="s">
        <v>359</v>
      </c>
      <c r="E67" s="3" t="s">
        <v>360</v>
      </c>
    </row>
    <row r="68" spans="1:5" ht="56.25" x14ac:dyDescent="0.4">
      <c r="A68" s="1" t="s">
        <v>3</v>
      </c>
      <c r="B68" s="1" t="s">
        <v>339</v>
      </c>
      <c r="C68" s="1" t="s">
        <v>356</v>
      </c>
      <c r="D68" s="1" t="s">
        <v>359</v>
      </c>
      <c r="E68" s="3" t="s">
        <v>360</v>
      </c>
    </row>
    <row r="69" spans="1:5" ht="281.25" x14ac:dyDescent="0.4">
      <c r="A69" s="1" t="s">
        <v>3</v>
      </c>
      <c r="B69" s="1" t="s">
        <v>339</v>
      </c>
      <c r="C69" s="1" t="s">
        <v>357</v>
      </c>
      <c r="D69" s="1" t="s">
        <v>359</v>
      </c>
      <c r="E69" s="3" t="s">
        <v>361</v>
      </c>
    </row>
    <row r="70" spans="1:5" ht="281.25" x14ac:dyDescent="0.4">
      <c r="A70" s="1" t="s">
        <v>3</v>
      </c>
      <c r="B70" s="1" t="s">
        <v>339</v>
      </c>
      <c r="C70" s="1" t="s">
        <v>358</v>
      </c>
      <c r="D70" s="1" t="s">
        <v>359</v>
      </c>
      <c r="E70" s="3" t="s">
        <v>361</v>
      </c>
    </row>
    <row r="71" spans="1:5" ht="37.5" x14ac:dyDescent="0.4">
      <c r="A71" s="1" t="s">
        <v>3</v>
      </c>
      <c r="B71" s="1" t="s">
        <v>339</v>
      </c>
      <c r="C71" s="1" t="s">
        <v>5</v>
      </c>
      <c r="D71" s="1" t="s">
        <v>1</v>
      </c>
      <c r="E71" s="3" t="s">
        <v>6</v>
      </c>
    </row>
    <row r="72" spans="1:5" ht="262.5" x14ac:dyDescent="0.4">
      <c r="A72" s="1" t="s">
        <v>3</v>
      </c>
      <c r="B72" s="1" t="s">
        <v>364</v>
      </c>
      <c r="C72" s="1" t="s">
        <v>39</v>
      </c>
      <c r="D72" s="1" t="s">
        <v>1</v>
      </c>
      <c r="E72" s="3" t="s">
        <v>365</v>
      </c>
    </row>
    <row r="73" spans="1:5" ht="75" x14ac:dyDescent="0.4">
      <c r="A73" s="1" t="s">
        <v>3</v>
      </c>
      <c r="B73" s="1" t="s">
        <v>366</v>
      </c>
      <c r="C73" s="1" t="s">
        <v>123</v>
      </c>
      <c r="D73" s="1" t="s">
        <v>209</v>
      </c>
      <c r="E73" s="3" t="s">
        <v>367</v>
      </c>
    </row>
    <row r="74" spans="1:5" ht="409.5" x14ac:dyDescent="0.4">
      <c r="A74" s="1" t="s">
        <v>3</v>
      </c>
      <c r="B74" s="1" t="s">
        <v>366</v>
      </c>
      <c r="C74" s="1" t="s">
        <v>258</v>
      </c>
      <c r="D74" s="1" t="s">
        <v>312</v>
      </c>
      <c r="E74" s="3" t="s">
        <v>368</v>
      </c>
    </row>
    <row r="75" spans="1:5" ht="409.5" x14ac:dyDescent="0.4">
      <c r="A75" s="1" t="s">
        <v>3</v>
      </c>
      <c r="B75" s="1" t="s">
        <v>369</v>
      </c>
      <c r="C75" s="1" t="s">
        <v>258</v>
      </c>
      <c r="D75" s="1" t="s">
        <v>312</v>
      </c>
      <c r="E75" s="3" t="s">
        <v>368</v>
      </c>
    </row>
    <row r="76" spans="1:5" ht="356.25" x14ac:dyDescent="0.4">
      <c r="A76" s="1" t="s">
        <v>3</v>
      </c>
      <c r="B76" s="1" t="s">
        <v>376</v>
      </c>
      <c r="C76" s="1" t="s">
        <v>370</v>
      </c>
      <c r="D76" s="1" t="s">
        <v>374</v>
      </c>
      <c r="E76" s="3" t="s">
        <v>377</v>
      </c>
    </row>
    <row r="77" spans="1:5" ht="281.25" x14ac:dyDescent="0.4">
      <c r="A77" s="1" t="s">
        <v>3</v>
      </c>
      <c r="B77" s="1" t="s">
        <v>376</v>
      </c>
      <c r="C77" s="1" t="s">
        <v>257</v>
      </c>
      <c r="D77" s="1" t="s">
        <v>375</v>
      </c>
      <c r="E77" s="3" t="s">
        <v>378</v>
      </c>
    </row>
    <row r="78" spans="1:5" ht="409.5" x14ac:dyDescent="0.4">
      <c r="A78" s="1" t="s">
        <v>3</v>
      </c>
      <c r="B78" s="1" t="s">
        <v>376</v>
      </c>
      <c r="C78" s="1" t="s">
        <v>258</v>
      </c>
      <c r="D78" s="1" t="s">
        <v>312</v>
      </c>
      <c r="E78" s="3" t="s">
        <v>368</v>
      </c>
    </row>
    <row r="79" spans="1:5" ht="112.5" x14ac:dyDescent="0.4">
      <c r="A79" s="1" t="s">
        <v>3</v>
      </c>
      <c r="B79" s="1" t="s">
        <v>379</v>
      </c>
      <c r="C79" s="1" t="s">
        <v>121</v>
      </c>
      <c r="D79" s="1" t="s">
        <v>197</v>
      </c>
      <c r="E79" s="3" t="s">
        <v>380</v>
      </c>
    </row>
    <row r="80" spans="1:5" ht="409.5" x14ac:dyDescent="0.4">
      <c r="A80" s="1" t="s">
        <v>3</v>
      </c>
      <c r="B80" s="1" t="s">
        <v>379</v>
      </c>
      <c r="C80" s="1" t="s">
        <v>258</v>
      </c>
      <c r="D80" s="1" t="s">
        <v>312</v>
      </c>
      <c r="E80" s="3" t="s">
        <v>368</v>
      </c>
    </row>
    <row r="81" spans="1:5" ht="318.75" x14ac:dyDescent="0.4">
      <c r="A81" s="1" t="s">
        <v>3</v>
      </c>
      <c r="B81" s="1" t="s">
        <v>382</v>
      </c>
      <c r="C81" s="1" t="s">
        <v>257</v>
      </c>
      <c r="D81" s="1" t="s">
        <v>381</v>
      </c>
      <c r="E81" s="3" t="s">
        <v>346</v>
      </c>
    </row>
    <row r="82" spans="1:5" ht="409.5" x14ac:dyDescent="0.4">
      <c r="A82" s="1" t="s">
        <v>3</v>
      </c>
      <c r="B82" s="1" t="s">
        <v>382</v>
      </c>
      <c r="C82" s="1" t="s">
        <v>258</v>
      </c>
      <c r="D82" s="1" t="s">
        <v>312</v>
      </c>
      <c r="E82" s="3" t="s">
        <v>368</v>
      </c>
    </row>
    <row r="83" spans="1:5" x14ac:dyDescent="0.4">
      <c r="A83" s="1" t="s">
        <v>3</v>
      </c>
      <c r="B83" s="1" t="s">
        <v>382</v>
      </c>
      <c r="C83" s="1" t="s">
        <v>257</v>
      </c>
      <c r="D83" s="1" t="s">
        <v>375</v>
      </c>
      <c r="E83" s="1" t="s">
        <v>383</v>
      </c>
    </row>
    <row r="84" spans="1:5" x14ac:dyDescent="0.4">
      <c r="A84" s="1" t="s">
        <v>3</v>
      </c>
      <c r="B84" s="1" t="s">
        <v>382</v>
      </c>
      <c r="C84" s="1" t="s">
        <v>257</v>
      </c>
      <c r="D84" s="1" t="s">
        <v>316</v>
      </c>
      <c r="E84" s="1" t="s">
        <v>383</v>
      </c>
    </row>
    <row r="85" spans="1:5" ht="281.25" x14ac:dyDescent="0.4">
      <c r="A85" s="1" t="s">
        <v>3</v>
      </c>
      <c r="B85" s="1" t="s">
        <v>390</v>
      </c>
      <c r="C85" s="1" t="s">
        <v>384</v>
      </c>
      <c r="D85" s="1" t="s">
        <v>389</v>
      </c>
      <c r="E85" s="3" t="s">
        <v>391</v>
      </c>
    </row>
    <row r="86" spans="1:5" ht="409.5" x14ac:dyDescent="0.4">
      <c r="A86" s="1" t="s">
        <v>3</v>
      </c>
      <c r="B86" s="1" t="s">
        <v>390</v>
      </c>
      <c r="C86" s="1" t="s">
        <v>258</v>
      </c>
      <c r="D86" s="1" t="s">
        <v>312</v>
      </c>
      <c r="E86" s="3" t="s">
        <v>368</v>
      </c>
    </row>
    <row r="87" spans="1:5" ht="409.5" x14ac:dyDescent="0.4">
      <c r="A87" s="1" t="s">
        <v>3</v>
      </c>
      <c r="B87" s="1" t="s">
        <v>392</v>
      </c>
      <c r="C87" s="1" t="s">
        <v>258</v>
      </c>
      <c r="D87" s="1" t="s">
        <v>312</v>
      </c>
      <c r="E87" s="3" t="s">
        <v>368</v>
      </c>
    </row>
    <row r="88" spans="1:5" ht="112.5" x14ac:dyDescent="0.4">
      <c r="A88" s="1" t="s">
        <v>3</v>
      </c>
      <c r="B88" s="1" t="s">
        <v>392</v>
      </c>
      <c r="C88" s="1" t="s">
        <v>260</v>
      </c>
      <c r="D88" s="1" t="s">
        <v>335</v>
      </c>
      <c r="E88" s="3" t="s">
        <v>393</v>
      </c>
    </row>
    <row r="89" spans="1:5" ht="409.5" x14ac:dyDescent="0.4">
      <c r="A89" s="1" t="s">
        <v>3</v>
      </c>
      <c r="B89" s="1" t="s">
        <v>394</v>
      </c>
      <c r="C89" s="1" t="s">
        <v>258</v>
      </c>
      <c r="D89" s="1" t="s">
        <v>312</v>
      </c>
      <c r="E89" s="3" t="s">
        <v>368</v>
      </c>
    </row>
    <row r="90" spans="1:5" ht="409.5" x14ac:dyDescent="0.4">
      <c r="A90" s="1" t="s">
        <v>3</v>
      </c>
      <c r="B90" s="1" t="s">
        <v>405</v>
      </c>
      <c r="C90" s="1" t="s">
        <v>395</v>
      </c>
      <c r="D90" s="1" t="s">
        <v>399</v>
      </c>
      <c r="E90" s="3" t="s">
        <v>406</v>
      </c>
    </row>
    <row r="91" spans="1:5" ht="409.5" x14ac:dyDescent="0.4">
      <c r="A91" s="1" t="s">
        <v>3</v>
      </c>
      <c r="B91" s="1" t="s">
        <v>405</v>
      </c>
      <c r="C91" s="1" t="s">
        <v>396</v>
      </c>
      <c r="D91" s="1" t="s">
        <v>404</v>
      </c>
      <c r="E91" s="3" t="s">
        <v>407</v>
      </c>
    </row>
    <row r="92" spans="1:5" x14ac:dyDescent="0.4">
      <c r="A92" s="1" t="s">
        <v>3</v>
      </c>
      <c r="B92" s="1" t="s">
        <v>405</v>
      </c>
      <c r="C92" s="1" t="s">
        <v>248</v>
      </c>
      <c r="D92" s="1" t="s">
        <v>286</v>
      </c>
      <c r="E92" s="1" t="s">
        <v>383</v>
      </c>
    </row>
    <row r="93" spans="1:5" ht="56.25" x14ac:dyDescent="0.4">
      <c r="A93" s="1" t="s">
        <v>3</v>
      </c>
      <c r="B93" s="1" t="s">
        <v>405</v>
      </c>
      <c r="C93" s="1" t="s">
        <v>408</v>
      </c>
      <c r="D93" s="1" t="s">
        <v>359</v>
      </c>
      <c r="E93" s="3" t="s">
        <v>360</v>
      </c>
    </row>
    <row r="94" spans="1:5" x14ac:dyDescent="0.4">
      <c r="A94" s="1" t="s">
        <v>3</v>
      </c>
      <c r="B94" s="1" t="s">
        <v>405</v>
      </c>
      <c r="C94" s="1" t="s">
        <v>355</v>
      </c>
      <c r="D94" s="1" t="s">
        <v>359</v>
      </c>
      <c r="E94" s="1" t="s">
        <v>383</v>
      </c>
    </row>
    <row r="95" spans="1:5" ht="409.5" x14ac:dyDescent="0.4">
      <c r="A95" s="1" t="s">
        <v>3</v>
      </c>
      <c r="B95" s="1" t="s">
        <v>409</v>
      </c>
      <c r="C95" s="1" t="s">
        <v>396</v>
      </c>
      <c r="D95" s="1" t="s">
        <v>404</v>
      </c>
      <c r="E95" s="3" t="s">
        <v>410</v>
      </c>
    </row>
    <row r="96" spans="1:5" ht="409.5" x14ac:dyDescent="0.4">
      <c r="A96" s="1" t="s">
        <v>3</v>
      </c>
      <c r="B96" s="1" t="s">
        <v>411</v>
      </c>
      <c r="C96" s="1" t="s">
        <v>396</v>
      </c>
      <c r="D96" s="1" t="s">
        <v>404</v>
      </c>
      <c r="E96" s="3" t="s">
        <v>410</v>
      </c>
    </row>
    <row r="97" spans="1:5" ht="300" x14ac:dyDescent="0.4">
      <c r="A97" s="1" t="s">
        <v>3</v>
      </c>
      <c r="B97" s="1" t="s">
        <v>417</v>
      </c>
      <c r="C97" s="1" t="s">
        <v>121</v>
      </c>
      <c r="D97" s="1" t="s">
        <v>413</v>
      </c>
      <c r="E97" s="3" t="s">
        <v>418</v>
      </c>
    </row>
    <row r="98" spans="1:5" ht="262.5" x14ac:dyDescent="0.4">
      <c r="A98" s="1" t="s">
        <v>3</v>
      </c>
      <c r="B98" s="1" t="s">
        <v>417</v>
      </c>
      <c r="C98" s="1" t="s">
        <v>412</v>
      </c>
      <c r="D98" s="1" t="s">
        <v>414</v>
      </c>
      <c r="E98" s="3" t="s">
        <v>419</v>
      </c>
    </row>
    <row r="99" spans="1:5" ht="262.5" x14ac:dyDescent="0.4">
      <c r="A99" s="1" t="s">
        <v>3</v>
      </c>
      <c r="B99" s="1" t="s">
        <v>417</v>
      </c>
      <c r="C99" s="1" t="s">
        <v>125</v>
      </c>
      <c r="D99" s="1" t="s">
        <v>415</v>
      </c>
      <c r="E99" s="3" t="s">
        <v>420</v>
      </c>
    </row>
    <row r="100" spans="1:5" x14ac:dyDescent="0.4">
      <c r="A100" s="1" t="s">
        <v>3</v>
      </c>
      <c r="B100" s="1" t="s">
        <v>417</v>
      </c>
      <c r="C100" s="1" t="s">
        <v>121</v>
      </c>
      <c r="D100" s="1" t="s">
        <v>197</v>
      </c>
      <c r="E100" s="1" t="s">
        <v>383</v>
      </c>
    </row>
    <row r="101" spans="1:5" ht="93.75" x14ac:dyDescent="0.4">
      <c r="A101" s="1" t="s">
        <v>3</v>
      </c>
      <c r="B101" s="1" t="s">
        <v>423</v>
      </c>
      <c r="C101" s="1" t="s">
        <v>267</v>
      </c>
      <c r="D101" s="1" t="s">
        <v>1</v>
      </c>
      <c r="E101" s="3" t="s">
        <v>424</v>
      </c>
    </row>
    <row r="102" spans="1:5" ht="300" x14ac:dyDescent="0.4">
      <c r="A102" s="1" t="s">
        <v>3</v>
      </c>
      <c r="B102" s="1" t="s">
        <v>441</v>
      </c>
      <c r="C102" s="1" t="s">
        <v>121</v>
      </c>
      <c r="D102" s="1" t="s">
        <v>197</v>
      </c>
      <c r="E102" s="3" t="s">
        <v>418</v>
      </c>
    </row>
    <row r="103" spans="1:5" ht="206.25" x14ac:dyDescent="0.4">
      <c r="A103" s="1" t="s">
        <v>3</v>
      </c>
      <c r="B103" s="1" t="s">
        <v>441</v>
      </c>
      <c r="C103" s="1" t="s">
        <v>395</v>
      </c>
      <c r="D103" s="1" t="s">
        <v>399</v>
      </c>
      <c r="E103" s="3" t="s">
        <v>442</v>
      </c>
    </row>
    <row r="104" spans="1:5" ht="206.25" x14ac:dyDescent="0.4">
      <c r="A104" s="1" t="s">
        <v>3</v>
      </c>
      <c r="B104" s="1" t="s">
        <v>441</v>
      </c>
      <c r="C104" s="1" t="s">
        <v>396</v>
      </c>
      <c r="D104" s="1" t="s">
        <v>404</v>
      </c>
      <c r="E104" s="3" t="s">
        <v>443</v>
      </c>
    </row>
    <row r="105" spans="1:5" ht="243.75" x14ac:dyDescent="0.4">
      <c r="A105" s="1" t="s">
        <v>3</v>
      </c>
      <c r="B105" s="1" t="s">
        <v>441</v>
      </c>
      <c r="C105" s="1" t="s">
        <v>241</v>
      </c>
      <c r="D105" s="1" t="s">
        <v>427</v>
      </c>
      <c r="E105" s="3" t="s">
        <v>344</v>
      </c>
    </row>
    <row r="106" spans="1:5" ht="393.75" x14ac:dyDescent="0.4">
      <c r="A106" s="1" t="s">
        <v>3</v>
      </c>
      <c r="B106" s="1" t="s">
        <v>441</v>
      </c>
      <c r="C106" s="1" t="s">
        <v>243</v>
      </c>
      <c r="D106" s="1" t="s">
        <v>428</v>
      </c>
      <c r="E106" s="3" t="s">
        <v>444</v>
      </c>
    </row>
    <row r="107" spans="1:5" ht="318.75" x14ac:dyDescent="0.4">
      <c r="A107" s="1" t="s">
        <v>3</v>
      </c>
      <c r="B107" s="1" t="s">
        <v>441</v>
      </c>
      <c r="C107" s="1" t="s">
        <v>244</v>
      </c>
      <c r="D107" s="1" t="s">
        <v>430</v>
      </c>
      <c r="E107" s="3" t="s">
        <v>445</v>
      </c>
    </row>
    <row r="108" spans="1:5" ht="337.5" x14ac:dyDescent="0.4">
      <c r="A108" s="1" t="s">
        <v>3</v>
      </c>
      <c r="B108" s="1" t="s">
        <v>441</v>
      </c>
      <c r="C108" s="1" t="s">
        <v>245</v>
      </c>
      <c r="D108" s="1" t="s">
        <v>432</v>
      </c>
      <c r="E108" s="3" t="s">
        <v>446</v>
      </c>
    </row>
    <row r="109" spans="1:5" ht="409.5" x14ac:dyDescent="0.4">
      <c r="A109" s="1" t="s">
        <v>3</v>
      </c>
      <c r="B109" s="1" t="s">
        <v>441</v>
      </c>
      <c r="C109" s="1" t="s">
        <v>255</v>
      </c>
      <c r="D109" s="1" t="s">
        <v>312</v>
      </c>
      <c r="E109" s="3" t="s">
        <v>447</v>
      </c>
    </row>
    <row r="110" spans="1:5" ht="409.5" x14ac:dyDescent="0.4">
      <c r="A110" s="1" t="s">
        <v>3</v>
      </c>
      <c r="B110" s="1" t="s">
        <v>441</v>
      </c>
      <c r="C110" s="1" t="s">
        <v>258</v>
      </c>
      <c r="D110" s="1" t="s">
        <v>316</v>
      </c>
      <c r="E110" s="3" t="s">
        <v>448</v>
      </c>
    </row>
    <row r="111" spans="1:5" ht="409.5" x14ac:dyDescent="0.4">
      <c r="A111" s="1" t="s">
        <v>3</v>
      </c>
      <c r="B111" s="1" t="s">
        <v>441</v>
      </c>
      <c r="C111" s="1" t="s">
        <v>256</v>
      </c>
      <c r="D111" s="1" t="s">
        <v>433</v>
      </c>
      <c r="E111" s="3" t="s">
        <v>350</v>
      </c>
    </row>
    <row r="112" spans="1:5" ht="409.5" x14ac:dyDescent="0.4">
      <c r="A112" s="1" t="s">
        <v>3</v>
      </c>
      <c r="B112" s="1" t="s">
        <v>441</v>
      </c>
      <c r="C112" s="1" t="s">
        <v>259</v>
      </c>
      <c r="D112" s="1" t="s">
        <v>263</v>
      </c>
      <c r="E112" s="3" t="s">
        <v>449</v>
      </c>
    </row>
    <row r="113" spans="1:5" ht="409.5" x14ac:dyDescent="0.4">
      <c r="A113" s="1" t="s">
        <v>3</v>
      </c>
      <c r="B113" s="1" t="s">
        <v>441</v>
      </c>
      <c r="C113" s="1" t="s">
        <v>260</v>
      </c>
      <c r="D113" s="1" t="s">
        <v>436</v>
      </c>
      <c r="E113" s="3" t="s">
        <v>450</v>
      </c>
    </row>
    <row r="114" spans="1:5" ht="409.5" x14ac:dyDescent="0.4">
      <c r="A114" s="1" t="s">
        <v>3</v>
      </c>
      <c r="B114" s="1" t="s">
        <v>441</v>
      </c>
      <c r="C114" s="1" t="s">
        <v>262</v>
      </c>
      <c r="D114" s="1" t="s">
        <v>422</v>
      </c>
      <c r="E114" s="3" t="s">
        <v>451</v>
      </c>
    </row>
    <row r="115" spans="1:5" ht="318.75" x14ac:dyDescent="0.4">
      <c r="A115" s="1" t="s">
        <v>3</v>
      </c>
      <c r="B115" s="1" t="s">
        <v>441</v>
      </c>
      <c r="C115" s="1" t="s">
        <v>78</v>
      </c>
      <c r="D115" s="1" t="s">
        <v>438</v>
      </c>
      <c r="E115" s="3" t="s">
        <v>445</v>
      </c>
    </row>
    <row r="116" spans="1:5" ht="281.25" x14ac:dyDescent="0.4">
      <c r="A116" s="1" t="s">
        <v>3</v>
      </c>
      <c r="B116" s="1" t="s">
        <v>441</v>
      </c>
      <c r="C116" s="1" t="s">
        <v>76</v>
      </c>
      <c r="D116" s="1" t="s">
        <v>439</v>
      </c>
      <c r="E116" s="3" t="s">
        <v>452</v>
      </c>
    </row>
    <row r="117" spans="1:5" ht="300" x14ac:dyDescent="0.4">
      <c r="A117" s="1" t="s">
        <v>3</v>
      </c>
      <c r="B117" s="1" t="s">
        <v>441</v>
      </c>
      <c r="C117" s="1" t="s">
        <v>75</v>
      </c>
      <c r="D117" s="1" t="s">
        <v>440</v>
      </c>
      <c r="E117" s="3" t="s">
        <v>453</v>
      </c>
    </row>
    <row r="118" spans="1:5" x14ac:dyDescent="0.4">
      <c r="A118" s="1" t="s">
        <v>3</v>
      </c>
      <c r="B118" s="1" t="s">
        <v>441</v>
      </c>
      <c r="C118" s="1" t="s">
        <v>121</v>
      </c>
      <c r="D118" s="1" t="s">
        <v>413</v>
      </c>
      <c r="E118" s="1" t="s">
        <v>383</v>
      </c>
    </row>
    <row r="119" spans="1:5" x14ac:dyDescent="0.4">
      <c r="A119" s="1" t="s">
        <v>3</v>
      </c>
      <c r="B119" s="1" t="s">
        <v>441</v>
      </c>
      <c r="C119" s="1" t="s">
        <v>412</v>
      </c>
      <c r="D119" s="1" t="s">
        <v>414</v>
      </c>
      <c r="E119" s="1" t="s">
        <v>383</v>
      </c>
    </row>
    <row r="120" spans="1:5" x14ac:dyDescent="0.4">
      <c r="A120" s="1" t="s">
        <v>3</v>
      </c>
      <c r="B120" s="1" t="s">
        <v>441</v>
      </c>
      <c r="C120" s="1" t="s">
        <v>125</v>
      </c>
      <c r="D120" s="1" t="s">
        <v>415</v>
      </c>
      <c r="E120" s="1" t="s">
        <v>383</v>
      </c>
    </row>
    <row r="121" spans="1:5" x14ac:dyDescent="0.4">
      <c r="A121" s="1" t="s">
        <v>3</v>
      </c>
      <c r="B121" s="1" t="s">
        <v>441</v>
      </c>
      <c r="C121" s="1" t="s">
        <v>241</v>
      </c>
      <c r="D121" s="1" t="s">
        <v>288</v>
      </c>
      <c r="E121" s="1" t="s">
        <v>383</v>
      </c>
    </row>
    <row r="122" spans="1:5" x14ac:dyDescent="0.4">
      <c r="A122" s="1" t="s">
        <v>3</v>
      </c>
      <c r="B122" s="1" t="s">
        <v>441</v>
      </c>
      <c r="C122" s="1" t="s">
        <v>243</v>
      </c>
      <c r="D122" s="1" t="s">
        <v>294</v>
      </c>
      <c r="E122" s="1" t="s">
        <v>383</v>
      </c>
    </row>
    <row r="123" spans="1:5" x14ac:dyDescent="0.4">
      <c r="A123" s="1" t="s">
        <v>3</v>
      </c>
      <c r="B123" s="1" t="s">
        <v>441</v>
      </c>
      <c r="C123" s="1" t="s">
        <v>244</v>
      </c>
      <c r="D123" s="1" t="s">
        <v>301</v>
      </c>
      <c r="E123" s="1" t="s">
        <v>383</v>
      </c>
    </row>
    <row r="124" spans="1:5" x14ac:dyDescent="0.4">
      <c r="A124" s="1" t="s">
        <v>3</v>
      </c>
      <c r="B124" s="1" t="s">
        <v>441</v>
      </c>
      <c r="C124" s="1" t="s">
        <v>245</v>
      </c>
      <c r="D124" s="1" t="s">
        <v>305</v>
      </c>
      <c r="E124" s="1" t="s">
        <v>383</v>
      </c>
    </row>
    <row r="125" spans="1:5" x14ac:dyDescent="0.4">
      <c r="A125" s="1" t="s">
        <v>3</v>
      </c>
      <c r="B125" s="1" t="s">
        <v>441</v>
      </c>
      <c r="C125" s="1" t="s">
        <v>255</v>
      </c>
      <c r="D125" s="1" t="s">
        <v>308</v>
      </c>
      <c r="E125" s="1" t="s">
        <v>383</v>
      </c>
    </row>
    <row r="126" spans="1:5" x14ac:dyDescent="0.4">
      <c r="A126" s="1" t="s">
        <v>3</v>
      </c>
      <c r="B126" s="1" t="s">
        <v>441</v>
      </c>
      <c r="C126" s="1" t="s">
        <v>256</v>
      </c>
      <c r="D126" s="1" t="s">
        <v>323</v>
      </c>
      <c r="E126" s="1" t="s">
        <v>383</v>
      </c>
    </row>
    <row r="127" spans="1:5" x14ac:dyDescent="0.4">
      <c r="A127" s="1" t="s">
        <v>3</v>
      </c>
      <c r="B127" s="1" t="s">
        <v>441</v>
      </c>
      <c r="C127" s="1" t="s">
        <v>259</v>
      </c>
      <c r="D127" s="1" t="s">
        <v>330</v>
      </c>
      <c r="E127" s="1" t="s">
        <v>383</v>
      </c>
    </row>
    <row r="128" spans="1:5" x14ac:dyDescent="0.4">
      <c r="A128" s="1" t="s">
        <v>3</v>
      </c>
      <c r="B128" s="1" t="s">
        <v>441</v>
      </c>
      <c r="C128" s="1" t="s">
        <v>260</v>
      </c>
      <c r="D128" s="1" t="s">
        <v>335</v>
      </c>
      <c r="E128" s="1" t="s">
        <v>383</v>
      </c>
    </row>
    <row r="129" spans="1:5" x14ac:dyDescent="0.4">
      <c r="A129" s="1" t="s">
        <v>3</v>
      </c>
      <c r="B129" s="1" t="s">
        <v>441</v>
      </c>
      <c r="C129" s="1" t="s">
        <v>78</v>
      </c>
      <c r="D129" s="1" t="s">
        <v>87</v>
      </c>
      <c r="E129" s="1" t="s">
        <v>383</v>
      </c>
    </row>
    <row r="130" spans="1:5" x14ac:dyDescent="0.4">
      <c r="A130" s="1" t="s">
        <v>3</v>
      </c>
      <c r="B130" s="1" t="s">
        <v>441</v>
      </c>
      <c r="C130" s="1" t="s">
        <v>76</v>
      </c>
      <c r="D130" s="1" t="s">
        <v>96</v>
      </c>
      <c r="E130" s="1" t="s">
        <v>383</v>
      </c>
    </row>
    <row r="131" spans="1:5" x14ac:dyDescent="0.4">
      <c r="A131" s="1" t="s">
        <v>3</v>
      </c>
      <c r="B131" s="1" t="s">
        <v>441</v>
      </c>
      <c r="C131" s="1" t="s">
        <v>75</v>
      </c>
      <c r="D131" s="1" t="s">
        <v>100</v>
      </c>
      <c r="E131" s="1" t="s">
        <v>383</v>
      </c>
    </row>
    <row r="132" spans="1:5" ht="56.25" x14ac:dyDescent="0.4">
      <c r="A132" s="1" t="s">
        <v>3</v>
      </c>
      <c r="B132" s="1" t="s">
        <v>441</v>
      </c>
      <c r="C132" s="1" t="s">
        <v>454</v>
      </c>
      <c r="D132" s="1" t="s">
        <v>359</v>
      </c>
      <c r="E132" s="3" t="s">
        <v>360</v>
      </c>
    </row>
    <row r="133" spans="1:5" ht="281.25" x14ac:dyDescent="0.4">
      <c r="A133" s="1" t="s">
        <v>3</v>
      </c>
      <c r="B133" s="1" t="s">
        <v>441</v>
      </c>
      <c r="C133" s="1" t="s">
        <v>455</v>
      </c>
      <c r="D133" s="1" t="s">
        <v>359</v>
      </c>
      <c r="E133" s="3" t="s">
        <v>361</v>
      </c>
    </row>
    <row r="134" spans="1:5" ht="281.25" x14ac:dyDescent="0.4">
      <c r="A134" s="1" t="s">
        <v>3</v>
      </c>
      <c r="B134" s="1" t="s">
        <v>441</v>
      </c>
      <c r="C134" s="1" t="s">
        <v>456</v>
      </c>
      <c r="D134" s="1" t="s">
        <v>359</v>
      </c>
      <c r="E134" s="3" t="s">
        <v>361</v>
      </c>
    </row>
    <row r="135" spans="1:5" x14ac:dyDescent="0.4">
      <c r="A135" s="1" t="s">
        <v>3</v>
      </c>
      <c r="B135" s="1" t="s">
        <v>441</v>
      </c>
      <c r="C135" s="1" t="s">
        <v>356</v>
      </c>
      <c r="D135" s="1" t="s">
        <v>359</v>
      </c>
      <c r="E135" s="1" t="s">
        <v>383</v>
      </c>
    </row>
    <row r="136" spans="1:5" x14ac:dyDescent="0.4">
      <c r="A136" s="1" t="s">
        <v>3</v>
      </c>
      <c r="B136" s="1" t="s">
        <v>441</v>
      </c>
      <c r="C136" s="1" t="s">
        <v>357</v>
      </c>
      <c r="D136" s="1" t="s">
        <v>359</v>
      </c>
      <c r="E136" s="1" t="s">
        <v>383</v>
      </c>
    </row>
    <row r="137" spans="1:5" x14ac:dyDescent="0.4">
      <c r="A137" s="1" t="s">
        <v>3</v>
      </c>
      <c r="B137" s="1" t="s">
        <v>441</v>
      </c>
      <c r="C137" s="1" t="s">
        <v>358</v>
      </c>
      <c r="D137" s="1" t="s">
        <v>359</v>
      </c>
      <c r="E137" s="1" t="s">
        <v>383</v>
      </c>
    </row>
    <row r="138" spans="1:5" ht="409.5" x14ac:dyDescent="0.4">
      <c r="A138" s="1" t="s">
        <v>3</v>
      </c>
      <c r="B138" s="1" t="s">
        <v>457</v>
      </c>
      <c r="C138" s="1" t="s">
        <v>258</v>
      </c>
      <c r="D138" s="1" t="s">
        <v>316</v>
      </c>
      <c r="E138" s="3" t="s">
        <v>368</v>
      </c>
    </row>
    <row r="139" spans="1:5" ht="187.5" x14ac:dyDescent="0.4">
      <c r="A139" s="1" t="s">
        <v>3</v>
      </c>
      <c r="B139" s="1" t="s">
        <v>464</v>
      </c>
      <c r="C139" s="1" t="s">
        <v>458</v>
      </c>
      <c r="D139" s="1" t="s">
        <v>178</v>
      </c>
      <c r="E139" s="3" t="s">
        <v>465</v>
      </c>
    </row>
    <row r="140" spans="1:5" ht="56.25" x14ac:dyDescent="0.4">
      <c r="A140" s="1" t="s">
        <v>3</v>
      </c>
      <c r="B140" s="1" t="s">
        <v>464</v>
      </c>
      <c r="C140" s="1" t="s">
        <v>466</v>
      </c>
      <c r="D140" s="1" t="s">
        <v>359</v>
      </c>
      <c r="E140" s="3" t="s">
        <v>360</v>
      </c>
    </row>
    <row r="141" spans="1:5" ht="150" x14ac:dyDescent="0.4">
      <c r="A141" s="1" t="s">
        <v>3</v>
      </c>
      <c r="B141" s="1" t="s">
        <v>467</v>
      </c>
      <c r="C141" s="1" t="s">
        <v>39</v>
      </c>
      <c r="D141" s="1" t="s">
        <v>1</v>
      </c>
      <c r="E141" s="3" t="s">
        <v>468</v>
      </c>
    </row>
    <row r="142" spans="1:5" ht="75" x14ac:dyDescent="0.4">
      <c r="A142" s="1" t="s">
        <v>3</v>
      </c>
      <c r="B142" s="1" t="s">
        <v>470</v>
      </c>
      <c r="C142" s="1" t="s">
        <v>243</v>
      </c>
      <c r="D142" s="1" t="s">
        <v>428</v>
      </c>
      <c r="E142" s="3" t="s">
        <v>471</v>
      </c>
    </row>
    <row r="143" spans="1:5" ht="168.75" x14ac:dyDescent="0.4">
      <c r="A143" s="1" t="s">
        <v>3</v>
      </c>
      <c r="B143" s="1" t="s">
        <v>473</v>
      </c>
      <c r="C143" s="1" t="s">
        <v>244</v>
      </c>
      <c r="D143" s="1" t="s">
        <v>430</v>
      </c>
      <c r="E143" s="3" t="s">
        <v>474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8650-A96F-45C5-B029-052803971D30}">
  <dimension ref="A1:I7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36</v>
      </c>
      <c r="B1" s="2" t="s">
        <v>10</v>
      </c>
      <c r="C1" s="2" t="s">
        <v>11</v>
      </c>
      <c r="D1" s="2" t="s">
        <v>28</v>
      </c>
      <c r="E1" s="2" t="s">
        <v>25</v>
      </c>
      <c r="F1" s="2" t="s">
        <v>23</v>
      </c>
      <c r="G1" s="2" t="s">
        <v>24</v>
      </c>
      <c r="H1" s="2" t="s">
        <v>37</v>
      </c>
      <c r="I1" s="2" t="s">
        <v>30</v>
      </c>
    </row>
    <row r="2" spans="1:9" x14ac:dyDescent="0.4">
      <c r="A2" s="2" t="s">
        <v>408</v>
      </c>
      <c r="B2" s="2" t="s">
        <v>127</v>
      </c>
      <c r="C2" s="2" t="s">
        <v>398</v>
      </c>
      <c r="D2" s="2" t="s">
        <v>400</v>
      </c>
      <c r="E2" s="2" t="s">
        <v>1</v>
      </c>
      <c r="F2" s="2" t="s">
        <v>1</v>
      </c>
      <c r="G2" s="2" t="s">
        <v>1</v>
      </c>
      <c r="H2" s="2" t="s">
        <v>174</v>
      </c>
      <c r="I2" s="2" t="s">
        <v>269</v>
      </c>
    </row>
    <row r="3" spans="1:9" x14ac:dyDescent="0.4">
      <c r="A3" s="2" t="s">
        <v>354</v>
      </c>
      <c r="B3" s="2" t="s">
        <v>127</v>
      </c>
      <c r="C3" s="2" t="s">
        <v>276</v>
      </c>
      <c r="D3" s="2" t="s">
        <v>282</v>
      </c>
      <c r="E3" s="2" t="s">
        <v>1</v>
      </c>
      <c r="F3" s="2" t="s">
        <v>1</v>
      </c>
      <c r="G3" s="2" t="s">
        <v>1</v>
      </c>
      <c r="H3" s="2" t="s">
        <v>287</v>
      </c>
      <c r="I3" s="2" t="s">
        <v>269</v>
      </c>
    </row>
    <row r="4" spans="1:9" x14ac:dyDescent="0.4">
      <c r="A4" s="2" t="s">
        <v>454</v>
      </c>
      <c r="B4" s="2" t="s">
        <v>127</v>
      </c>
      <c r="C4" s="2" t="s">
        <v>289</v>
      </c>
      <c r="D4" s="2" t="s">
        <v>295</v>
      </c>
      <c r="E4" s="2" t="s">
        <v>1</v>
      </c>
      <c r="F4" s="2" t="s">
        <v>1</v>
      </c>
      <c r="G4" s="2" t="s">
        <v>1</v>
      </c>
      <c r="H4" s="2" t="s">
        <v>7</v>
      </c>
      <c r="I4" s="2" t="s">
        <v>269</v>
      </c>
    </row>
    <row r="5" spans="1:9" x14ac:dyDescent="0.4">
      <c r="A5" s="2" t="s">
        <v>455</v>
      </c>
      <c r="B5" s="2" t="s">
        <v>171</v>
      </c>
      <c r="C5" s="2" t="s">
        <v>325</v>
      </c>
      <c r="D5" s="2" t="s">
        <v>331</v>
      </c>
      <c r="E5" s="2" t="s">
        <v>1</v>
      </c>
      <c r="F5" s="2" t="s">
        <v>328</v>
      </c>
      <c r="G5" s="2" t="s">
        <v>329</v>
      </c>
      <c r="H5" s="2" t="s">
        <v>265</v>
      </c>
      <c r="I5" s="2" t="s">
        <v>269</v>
      </c>
    </row>
    <row r="6" spans="1:9" x14ac:dyDescent="0.4">
      <c r="A6" s="2" t="s">
        <v>456</v>
      </c>
      <c r="B6" s="2" t="s">
        <v>171</v>
      </c>
      <c r="C6" s="2" t="s">
        <v>325</v>
      </c>
      <c r="D6" s="2" t="s">
        <v>331</v>
      </c>
      <c r="E6" s="2" t="s">
        <v>1</v>
      </c>
      <c r="F6" s="2" t="s">
        <v>328</v>
      </c>
      <c r="G6" s="2" t="s">
        <v>329</v>
      </c>
      <c r="H6" s="2" t="s">
        <v>7</v>
      </c>
      <c r="I6" s="2" t="s">
        <v>338</v>
      </c>
    </row>
    <row r="7" spans="1:9" x14ac:dyDescent="0.4">
      <c r="A7" s="2" t="s">
        <v>466</v>
      </c>
      <c r="B7" s="2" t="s">
        <v>127</v>
      </c>
      <c r="C7" s="2" t="s">
        <v>289</v>
      </c>
      <c r="D7" s="2" t="s">
        <v>462</v>
      </c>
      <c r="E7" s="2" t="s">
        <v>1</v>
      </c>
      <c r="F7" s="2" t="s">
        <v>1</v>
      </c>
      <c r="G7" s="2" t="s">
        <v>1</v>
      </c>
      <c r="H7" s="2" t="s">
        <v>7</v>
      </c>
      <c r="I7" s="2" t="s">
        <v>269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5B41-6C0C-4EF6-9E8F-6F179831E789}">
  <dimension ref="A1:AC40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460</v>
      </c>
      <c r="AA1" s="2" t="s">
        <v>461</v>
      </c>
      <c r="AB1" s="2" t="s">
        <v>34</v>
      </c>
      <c r="AC1" s="2" t="s">
        <v>35</v>
      </c>
    </row>
    <row r="2" spans="1:29" x14ac:dyDescent="0.4">
      <c r="A2" s="2" t="s">
        <v>107</v>
      </c>
      <c r="B2" s="2" t="s">
        <v>127</v>
      </c>
      <c r="C2" s="2" t="s">
        <v>128</v>
      </c>
      <c r="D2" s="2" t="s">
        <v>129</v>
      </c>
      <c r="E2" s="2" t="s">
        <v>7</v>
      </c>
      <c r="F2" s="2" t="s">
        <v>130</v>
      </c>
      <c r="G2" s="2" t="s">
        <v>93</v>
      </c>
      <c r="H2" s="2" t="s">
        <v>131</v>
      </c>
      <c r="I2" s="2" t="s">
        <v>95</v>
      </c>
      <c r="K2" s="2" t="s">
        <v>86</v>
      </c>
      <c r="L2" s="2" t="s">
        <v>1</v>
      </c>
      <c r="M2" s="2" t="s">
        <v>1</v>
      </c>
      <c r="N2" s="2" t="s">
        <v>132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133</v>
      </c>
      <c r="T2" s="2" t="s">
        <v>1</v>
      </c>
      <c r="U2" s="2" t="s">
        <v>1</v>
      </c>
      <c r="V2" s="2" t="s">
        <v>269</v>
      </c>
      <c r="W2" s="2" t="s">
        <v>1</v>
      </c>
      <c r="X2" s="2" t="s">
        <v>86</v>
      </c>
      <c r="Z2" s="2" t="s">
        <v>86</v>
      </c>
      <c r="AA2" s="2" t="s">
        <v>1</v>
      </c>
      <c r="AB2" s="2" t="s">
        <v>1</v>
      </c>
      <c r="AC2" s="2" t="s">
        <v>7</v>
      </c>
    </row>
    <row r="3" spans="1:29" x14ac:dyDescent="0.4">
      <c r="A3" s="2" t="s">
        <v>108</v>
      </c>
      <c r="B3" s="2" t="s">
        <v>127</v>
      </c>
      <c r="C3" s="2" t="s">
        <v>128</v>
      </c>
      <c r="D3" s="2" t="s">
        <v>134</v>
      </c>
      <c r="E3" s="2" t="s">
        <v>7</v>
      </c>
      <c r="F3" s="2" t="s">
        <v>135</v>
      </c>
      <c r="G3" s="2" t="s">
        <v>83</v>
      </c>
      <c r="H3" s="2" t="s">
        <v>136</v>
      </c>
      <c r="I3" s="2" t="s">
        <v>85</v>
      </c>
      <c r="K3" s="2" t="s">
        <v>86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137</v>
      </c>
      <c r="T3" s="2" t="s">
        <v>1</v>
      </c>
      <c r="U3" s="2" t="s">
        <v>1</v>
      </c>
      <c r="V3" s="2" t="s">
        <v>269</v>
      </c>
      <c r="W3" s="2" t="s">
        <v>1</v>
      </c>
      <c r="X3" s="2" t="s">
        <v>86</v>
      </c>
      <c r="Z3" s="2" t="s">
        <v>86</v>
      </c>
      <c r="AA3" s="2" t="s">
        <v>1</v>
      </c>
      <c r="AB3" s="2" t="s">
        <v>1</v>
      </c>
      <c r="AC3" s="2" t="s">
        <v>1</v>
      </c>
    </row>
    <row r="4" spans="1:29" x14ac:dyDescent="0.4">
      <c r="A4" s="2" t="s">
        <v>106</v>
      </c>
      <c r="B4" s="2" t="s">
        <v>127</v>
      </c>
      <c r="C4" s="2" t="s">
        <v>128</v>
      </c>
      <c r="D4" s="2" t="s">
        <v>138</v>
      </c>
      <c r="E4" s="2" t="s">
        <v>7</v>
      </c>
      <c r="F4" s="2" t="s">
        <v>139</v>
      </c>
      <c r="G4" s="2" t="s">
        <v>93</v>
      </c>
      <c r="H4" s="2" t="s">
        <v>140</v>
      </c>
      <c r="I4" s="2" t="s">
        <v>95</v>
      </c>
      <c r="K4" s="2" t="s">
        <v>86</v>
      </c>
      <c r="L4" s="2" t="s">
        <v>1</v>
      </c>
      <c r="M4" s="2" t="s">
        <v>1</v>
      </c>
      <c r="N4" s="2" t="s">
        <v>132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141</v>
      </c>
      <c r="T4" s="2" t="s">
        <v>1</v>
      </c>
      <c r="U4" s="2" t="s">
        <v>1</v>
      </c>
      <c r="V4" s="2" t="s">
        <v>269</v>
      </c>
      <c r="W4" s="2" t="s">
        <v>1</v>
      </c>
      <c r="X4" s="2" t="s">
        <v>86</v>
      </c>
      <c r="Z4" s="2" t="s">
        <v>86</v>
      </c>
      <c r="AA4" s="2" t="s">
        <v>1</v>
      </c>
      <c r="AB4" s="2" t="s">
        <v>1</v>
      </c>
      <c r="AC4" s="2" t="s">
        <v>7</v>
      </c>
    </row>
    <row r="5" spans="1:29" x14ac:dyDescent="0.4">
      <c r="A5" s="2" t="s">
        <v>109</v>
      </c>
      <c r="B5" s="2" t="s">
        <v>127</v>
      </c>
      <c r="C5" s="2" t="s">
        <v>128</v>
      </c>
      <c r="D5" s="2" t="s">
        <v>142</v>
      </c>
      <c r="E5" s="2" t="s">
        <v>7</v>
      </c>
      <c r="F5" s="2" t="s">
        <v>143</v>
      </c>
      <c r="G5" s="2" t="s">
        <v>144</v>
      </c>
      <c r="H5" s="2" t="s">
        <v>145</v>
      </c>
      <c r="I5" s="2" t="s">
        <v>2</v>
      </c>
      <c r="K5" s="2" t="s">
        <v>86</v>
      </c>
      <c r="L5" s="2" t="s">
        <v>1</v>
      </c>
      <c r="M5" s="2" t="s">
        <v>7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146</v>
      </c>
      <c r="T5" s="2" t="s">
        <v>1</v>
      </c>
      <c r="U5" s="2" t="s">
        <v>1</v>
      </c>
      <c r="V5" s="2" t="s">
        <v>269</v>
      </c>
      <c r="W5" s="2" t="s">
        <v>1</v>
      </c>
      <c r="X5" s="2" t="s">
        <v>86</v>
      </c>
      <c r="Z5" s="2" t="s">
        <v>86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110</v>
      </c>
      <c r="B6" s="2" t="s">
        <v>127</v>
      </c>
      <c r="C6" s="2" t="s">
        <v>128</v>
      </c>
      <c r="D6" s="2" t="s">
        <v>147</v>
      </c>
      <c r="E6" s="2" t="s">
        <v>7</v>
      </c>
      <c r="F6" s="2" t="s">
        <v>148</v>
      </c>
      <c r="G6" s="2" t="s">
        <v>93</v>
      </c>
      <c r="H6" s="2" t="s">
        <v>149</v>
      </c>
      <c r="I6" s="2" t="s">
        <v>95</v>
      </c>
      <c r="J6" s="2" t="s">
        <v>150</v>
      </c>
      <c r="K6" s="2" t="s">
        <v>86</v>
      </c>
      <c r="L6" s="2" t="s">
        <v>1</v>
      </c>
      <c r="M6" s="2" t="s">
        <v>7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151</v>
      </c>
      <c r="T6" s="2" t="s">
        <v>1</v>
      </c>
      <c r="U6" s="2" t="s">
        <v>1</v>
      </c>
      <c r="V6" s="2" t="s">
        <v>269</v>
      </c>
      <c r="W6" s="2" t="s">
        <v>1</v>
      </c>
      <c r="X6" s="2" t="s">
        <v>86</v>
      </c>
      <c r="Z6" s="2" t="s">
        <v>86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112</v>
      </c>
      <c r="B7" s="2" t="s">
        <v>127</v>
      </c>
      <c r="C7" s="2" t="s">
        <v>128</v>
      </c>
      <c r="D7" s="2" t="s">
        <v>152</v>
      </c>
      <c r="E7" s="2" t="s">
        <v>7</v>
      </c>
      <c r="F7" s="2" t="s">
        <v>153</v>
      </c>
      <c r="G7" s="2" t="s">
        <v>93</v>
      </c>
      <c r="H7" s="2" t="s">
        <v>154</v>
      </c>
      <c r="I7" s="2" t="s">
        <v>95</v>
      </c>
      <c r="K7" s="2" t="s">
        <v>86</v>
      </c>
      <c r="L7" s="2" t="s">
        <v>1</v>
      </c>
      <c r="M7" s="2" t="s">
        <v>1</v>
      </c>
      <c r="N7" s="2" t="s">
        <v>155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156</v>
      </c>
      <c r="T7" s="2" t="s">
        <v>1</v>
      </c>
      <c r="U7" s="2" t="s">
        <v>1</v>
      </c>
      <c r="V7" s="2" t="s">
        <v>269</v>
      </c>
      <c r="W7" s="2" t="s">
        <v>1</v>
      </c>
      <c r="X7" s="2" t="s">
        <v>86</v>
      </c>
      <c r="Z7" s="2" t="s">
        <v>86</v>
      </c>
      <c r="AA7" s="2" t="s">
        <v>1</v>
      </c>
      <c r="AB7" s="2" t="s">
        <v>1</v>
      </c>
      <c r="AC7" s="2" t="s">
        <v>7</v>
      </c>
    </row>
    <row r="8" spans="1:29" x14ac:dyDescent="0.4">
      <c r="A8" s="2" t="s">
        <v>113</v>
      </c>
      <c r="B8" s="2" t="s">
        <v>127</v>
      </c>
      <c r="C8" s="2" t="s">
        <v>128</v>
      </c>
      <c r="D8" s="2" t="s">
        <v>97</v>
      </c>
      <c r="E8" s="2" t="s">
        <v>7</v>
      </c>
      <c r="F8" s="2" t="s">
        <v>157</v>
      </c>
      <c r="G8" s="2" t="s">
        <v>93</v>
      </c>
      <c r="H8" s="2" t="s">
        <v>158</v>
      </c>
      <c r="I8" s="2" t="s">
        <v>95</v>
      </c>
      <c r="K8" s="2" t="s">
        <v>86</v>
      </c>
      <c r="L8" s="2" t="s">
        <v>1</v>
      </c>
      <c r="M8" s="2" t="s">
        <v>1</v>
      </c>
      <c r="N8" s="2" t="s">
        <v>132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159</v>
      </c>
      <c r="T8" s="2" t="s">
        <v>1</v>
      </c>
      <c r="U8" s="2" t="s">
        <v>1</v>
      </c>
      <c r="V8" s="2" t="s">
        <v>269</v>
      </c>
      <c r="W8" s="2" t="s">
        <v>1</v>
      </c>
      <c r="X8" s="2" t="s">
        <v>86</v>
      </c>
      <c r="Z8" s="2" t="s">
        <v>86</v>
      </c>
      <c r="AA8" s="2" t="s">
        <v>1</v>
      </c>
      <c r="AB8" s="2" t="s">
        <v>1</v>
      </c>
      <c r="AC8" s="2" t="s">
        <v>7</v>
      </c>
    </row>
    <row r="9" spans="1:29" x14ac:dyDescent="0.4">
      <c r="A9" s="2" t="s">
        <v>370</v>
      </c>
      <c r="B9" s="2" t="s">
        <v>127</v>
      </c>
      <c r="C9" s="2" t="s">
        <v>128</v>
      </c>
      <c r="D9" s="2" t="s">
        <v>371</v>
      </c>
      <c r="E9" s="2" t="s">
        <v>7</v>
      </c>
      <c r="F9" s="2" t="s">
        <v>372</v>
      </c>
      <c r="G9" s="2" t="s">
        <v>93</v>
      </c>
      <c r="H9" s="2" t="s">
        <v>373</v>
      </c>
      <c r="I9" s="2" t="s">
        <v>95</v>
      </c>
      <c r="K9" s="2" t="s">
        <v>86</v>
      </c>
      <c r="L9" s="2" t="s">
        <v>1</v>
      </c>
      <c r="M9" s="2" t="s">
        <v>1</v>
      </c>
      <c r="N9" s="2" t="s">
        <v>132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374</v>
      </c>
      <c r="T9" s="2" t="s">
        <v>1</v>
      </c>
      <c r="U9" s="2" t="s">
        <v>1</v>
      </c>
      <c r="V9" s="2" t="s">
        <v>269</v>
      </c>
      <c r="W9" s="2" t="s">
        <v>1</v>
      </c>
      <c r="X9" s="2" t="s">
        <v>86</v>
      </c>
      <c r="Z9" s="2" t="s">
        <v>86</v>
      </c>
      <c r="AA9" s="2" t="s">
        <v>1</v>
      </c>
      <c r="AB9" s="2" t="s">
        <v>1</v>
      </c>
      <c r="AC9" s="2" t="s">
        <v>7</v>
      </c>
    </row>
    <row r="10" spans="1:29" x14ac:dyDescent="0.4">
      <c r="A10" s="2" t="s">
        <v>114</v>
      </c>
      <c r="B10" s="2" t="s">
        <v>127</v>
      </c>
      <c r="C10" s="2" t="s">
        <v>160</v>
      </c>
      <c r="D10" s="2" t="s">
        <v>161</v>
      </c>
      <c r="E10" s="2" t="s">
        <v>162</v>
      </c>
      <c r="F10" s="2" t="s">
        <v>163</v>
      </c>
      <c r="G10" s="2" t="s">
        <v>83</v>
      </c>
      <c r="H10" s="2" t="s">
        <v>164</v>
      </c>
      <c r="I10" s="2" t="s">
        <v>85</v>
      </c>
      <c r="K10" s="2" t="s">
        <v>86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165</v>
      </c>
      <c r="T10" s="2" t="s">
        <v>1</v>
      </c>
      <c r="U10" s="2" t="s">
        <v>1</v>
      </c>
      <c r="V10" s="2" t="s">
        <v>269</v>
      </c>
      <c r="W10" s="2" t="s">
        <v>1</v>
      </c>
      <c r="X10" s="2" t="s">
        <v>86</v>
      </c>
      <c r="Z10" s="2" t="s">
        <v>86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246</v>
      </c>
      <c r="B11" s="2" t="s">
        <v>127</v>
      </c>
      <c r="C11" s="2" t="s">
        <v>270</v>
      </c>
      <c r="D11" s="2" t="s">
        <v>271</v>
      </c>
      <c r="E11" s="2" t="s">
        <v>272</v>
      </c>
      <c r="F11" s="2" t="s">
        <v>273</v>
      </c>
      <c r="G11" s="2" t="s">
        <v>93</v>
      </c>
      <c r="H11" s="2" t="s">
        <v>274</v>
      </c>
      <c r="I11" s="2" t="s">
        <v>95</v>
      </c>
      <c r="K11" s="2" t="s">
        <v>86</v>
      </c>
      <c r="L11" s="2" t="s">
        <v>1</v>
      </c>
      <c r="M11" s="2" t="s">
        <v>1</v>
      </c>
      <c r="N11" s="2" t="s">
        <v>132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275</v>
      </c>
      <c r="T11" s="2" t="s">
        <v>1</v>
      </c>
      <c r="U11" s="2" t="s">
        <v>1</v>
      </c>
      <c r="V11" s="2" t="s">
        <v>269</v>
      </c>
      <c r="W11" s="2" t="s">
        <v>1</v>
      </c>
      <c r="X11" s="2" t="s">
        <v>86</v>
      </c>
      <c r="Z11" s="2" t="s">
        <v>86</v>
      </c>
      <c r="AA11" s="2" t="s">
        <v>1</v>
      </c>
      <c r="AB11" s="2" t="s">
        <v>1</v>
      </c>
      <c r="AC11" s="2" t="s">
        <v>7</v>
      </c>
    </row>
    <row r="12" spans="1:29" x14ac:dyDescent="0.4">
      <c r="A12" s="2" t="s">
        <v>247</v>
      </c>
      <c r="B12" s="2" t="s">
        <v>127</v>
      </c>
      <c r="C12" s="2" t="s">
        <v>276</v>
      </c>
      <c r="D12" s="2" t="s">
        <v>271</v>
      </c>
      <c r="E12" s="2" t="s">
        <v>277</v>
      </c>
      <c r="F12" s="2" t="s">
        <v>273</v>
      </c>
      <c r="G12" s="2" t="s">
        <v>93</v>
      </c>
      <c r="H12" s="2" t="s">
        <v>278</v>
      </c>
      <c r="I12" s="2" t="s">
        <v>95</v>
      </c>
      <c r="K12" s="2" t="s">
        <v>279</v>
      </c>
      <c r="L12" s="2" t="s">
        <v>280</v>
      </c>
      <c r="M12" s="2" t="s">
        <v>1</v>
      </c>
      <c r="N12" s="2" t="s">
        <v>132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281</v>
      </c>
      <c r="T12" s="2" t="s">
        <v>282</v>
      </c>
      <c r="U12" s="2" t="s">
        <v>1</v>
      </c>
      <c r="V12" s="2" t="s">
        <v>269</v>
      </c>
      <c r="W12" s="2" t="s">
        <v>1</v>
      </c>
      <c r="X12" s="2" t="s">
        <v>86</v>
      </c>
      <c r="Z12" s="2" t="s">
        <v>86</v>
      </c>
      <c r="AA12" s="2" t="s">
        <v>1</v>
      </c>
      <c r="AB12" s="2" t="s">
        <v>1</v>
      </c>
      <c r="AC12" s="2" t="s">
        <v>7</v>
      </c>
    </row>
    <row r="13" spans="1:29" x14ac:dyDescent="0.4">
      <c r="A13" s="2" t="s">
        <v>257</v>
      </c>
      <c r="B13" s="2" t="s">
        <v>171</v>
      </c>
      <c r="C13" s="2" t="s">
        <v>313</v>
      </c>
      <c r="D13" s="2" t="s">
        <v>253</v>
      </c>
      <c r="E13" s="2" t="s">
        <v>314</v>
      </c>
      <c r="F13" s="2" t="s">
        <v>315</v>
      </c>
      <c r="G13" s="2" t="s">
        <v>83</v>
      </c>
      <c r="H13" s="2" t="s">
        <v>84</v>
      </c>
      <c r="I13" s="2" t="s">
        <v>85</v>
      </c>
      <c r="K13" s="2" t="s">
        <v>86</v>
      </c>
      <c r="L13" s="2" t="s">
        <v>1</v>
      </c>
      <c r="M13" s="2" t="s">
        <v>7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381</v>
      </c>
      <c r="T13" s="2" t="s">
        <v>1</v>
      </c>
      <c r="U13" s="2" t="s">
        <v>1</v>
      </c>
      <c r="V13" s="2" t="s">
        <v>269</v>
      </c>
      <c r="W13" s="2" t="s">
        <v>1</v>
      </c>
      <c r="X13" s="2" t="s">
        <v>86</v>
      </c>
      <c r="Z13" s="2" t="s">
        <v>86</v>
      </c>
      <c r="AA13" s="2" t="s">
        <v>1</v>
      </c>
      <c r="AB13" s="2" t="s">
        <v>1</v>
      </c>
      <c r="AC13" s="2" t="s">
        <v>1</v>
      </c>
    </row>
    <row r="14" spans="1:29" x14ac:dyDescent="0.4">
      <c r="A14" s="2" t="s">
        <v>115</v>
      </c>
      <c r="B14" s="2" t="s">
        <v>127</v>
      </c>
      <c r="C14" s="2" t="s">
        <v>128</v>
      </c>
      <c r="D14" s="2" t="s">
        <v>166</v>
      </c>
      <c r="E14" s="2" t="s">
        <v>7</v>
      </c>
      <c r="F14" s="2" t="s">
        <v>167</v>
      </c>
      <c r="G14" s="2" t="s">
        <v>93</v>
      </c>
      <c r="H14" s="2" t="s">
        <v>168</v>
      </c>
      <c r="I14" s="2" t="s">
        <v>95</v>
      </c>
      <c r="J14" s="2" t="s">
        <v>169</v>
      </c>
      <c r="K14" s="2" t="s">
        <v>86</v>
      </c>
      <c r="L14" s="2" t="s">
        <v>1</v>
      </c>
      <c r="M14" s="2" t="s">
        <v>1</v>
      </c>
      <c r="N14" s="2" t="s">
        <v>132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170</v>
      </c>
      <c r="T14" s="2" t="s">
        <v>1</v>
      </c>
      <c r="U14" s="2" t="s">
        <v>1</v>
      </c>
      <c r="V14" s="2" t="s">
        <v>269</v>
      </c>
      <c r="W14" s="2" t="s">
        <v>1</v>
      </c>
      <c r="X14" s="2" t="s">
        <v>86</v>
      </c>
      <c r="Z14" s="2" t="s">
        <v>86</v>
      </c>
      <c r="AA14" s="2" t="s">
        <v>1</v>
      </c>
      <c r="AB14" s="2" t="s">
        <v>1</v>
      </c>
      <c r="AC14" s="2" t="s">
        <v>7</v>
      </c>
    </row>
    <row r="15" spans="1:29" x14ac:dyDescent="0.4">
      <c r="A15" s="2" t="s">
        <v>458</v>
      </c>
      <c r="B15" s="2" t="s">
        <v>127</v>
      </c>
      <c r="C15" s="2" t="s">
        <v>289</v>
      </c>
      <c r="D15" s="2" t="s">
        <v>173</v>
      </c>
      <c r="E15" s="2" t="s">
        <v>291</v>
      </c>
      <c r="F15" s="2" t="s">
        <v>175</v>
      </c>
      <c r="G15" s="2" t="s">
        <v>144</v>
      </c>
      <c r="H15" s="2" t="s">
        <v>176</v>
      </c>
      <c r="I15" s="2" t="s">
        <v>177</v>
      </c>
      <c r="K15" s="2" t="s">
        <v>279</v>
      </c>
      <c r="L15" s="2" t="s">
        <v>178</v>
      </c>
      <c r="M15" s="2" t="s">
        <v>7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178</v>
      </c>
      <c r="T15" s="2" t="s">
        <v>462</v>
      </c>
      <c r="U15" s="2" t="s">
        <v>1</v>
      </c>
      <c r="V15" s="2" t="s">
        <v>269</v>
      </c>
      <c r="W15" s="2" t="s">
        <v>1</v>
      </c>
      <c r="X15" s="2" t="s">
        <v>86</v>
      </c>
      <c r="Z15" s="2" t="s">
        <v>86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384</v>
      </c>
      <c r="B16" s="2" t="s">
        <v>171</v>
      </c>
      <c r="C16" s="2" t="s">
        <v>172</v>
      </c>
      <c r="D16" s="2" t="s">
        <v>386</v>
      </c>
      <c r="E16" s="2" t="s">
        <v>174</v>
      </c>
      <c r="F16" s="2" t="s">
        <v>387</v>
      </c>
      <c r="G16" s="2" t="s">
        <v>93</v>
      </c>
      <c r="H16" s="2" t="s">
        <v>388</v>
      </c>
      <c r="I16" s="2" t="s">
        <v>95</v>
      </c>
      <c r="K16" s="2" t="s">
        <v>86</v>
      </c>
      <c r="L16" s="2" t="s">
        <v>1</v>
      </c>
      <c r="M16" s="2" t="s">
        <v>7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389</v>
      </c>
      <c r="T16" s="2" t="s">
        <v>1</v>
      </c>
      <c r="U16" s="2" t="s">
        <v>1</v>
      </c>
      <c r="V16" s="2" t="s">
        <v>269</v>
      </c>
      <c r="W16" s="2" t="s">
        <v>1</v>
      </c>
      <c r="X16" s="2" t="s">
        <v>86</v>
      </c>
      <c r="Z16" s="2" t="s">
        <v>86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117</v>
      </c>
      <c r="B17" s="2" t="s">
        <v>171</v>
      </c>
      <c r="C17" s="2" t="s">
        <v>172</v>
      </c>
      <c r="D17" s="2" t="s">
        <v>179</v>
      </c>
      <c r="E17" s="2" t="s">
        <v>174</v>
      </c>
      <c r="F17" s="2" t="s">
        <v>180</v>
      </c>
      <c r="G17" s="2" t="s">
        <v>93</v>
      </c>
      <c r="H17" s="2" t="s">
        <v>181</v>
      </c>
      <c r="I17" s="2" t="s">
        <v>95</v>
      </c>
      <c r="K17" s="2" t="s">
        <v>86</v>
      </c>
      <c r="L17" s="2" t="s">
        <v>1</v>
      </c>
      <c r="M17" s="2" t="s">
        <v>7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182</v>
      </c>
      <c r="T17" s="2" t="s">
        <v>1</v>
      </c>
      <c r="U17" s="2" t="s">
        <v>1</v>
      </c>
      <c r="V17" s="2" t="s">
        <v>269</v>
      </c>
      <c r="W17" s="2" t="s">
        <v>1</v>
      </c>
      <c r="X17" s="2" t="s">
        <v>86</v>
      </c>
      <c r="Z17" s="2" t="s">
        <v>86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119</v>
      </c>
      <c r="B18" s="2" t="s">
        <v>171</v>
      </c>
      <c r="C18" s="2" t="s">
        <v>183</v>
      </c>
      <c r="D18" s="2" t="s">
        <v>184</v>
      </c>
      <c r="E18" s="2" t="s">
        <v>185</v>
      </c>
      <c r="F18" s="2" t="s">
        <v>186</v>
      </c>
      <c r="G18" s="2" t="s">
        <v>144</v>
      </c>
      <c r="H18" s="2" t="s">
        <v>187</v>
      </c>
      <c r="I18" s="2" t="s">
        <v>188</v>
      </c>
      <c r="K18" s="2" t="s">
        <v>86</v>
      </c>
      <c r="L18" s="2" t="s">
        <v>1</v>
      </c>
      <c r="M18" s="2" t="s">
        <v>7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189</v>
      </c>
      <c r="T18" s="2" t="s">
        <v>1</v>
      </c>
      <c r="U18" s="2" t="s">
        <v>1</v>
      </c>
      <c r="V18" s="2" t="s">
        <v>269</v>
      </c>
      <c r="W18" s="2" t="s">
        <v>1</v>
      </c>
      <c r="X18" s="2" t="s">
        <v>86</v>
      </c>
      <c r="Z18" s="2" t="s">
        <v>86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120</v>
      </c>
      <c r="B19" s="2" t="s">
        <v>171</v>
      </c>
      <c r="C19" s="2" t="s">
        <v>172</v>
      </c>
      <c r="D19" s="2" t="s">
        <v>190</v>
      </c>
      <c r="E19" s="2" t="s">
        <v>174</v>
      </c>
      <c r="F19" s="2" t="s">
        <v>191</v>
      </c>
      <c r="G19" s="2" t="s">
        <v>144</v>
      </c>
      <c r="H19" s="2" t="s">
        <v>192</v>
      </c>
      <c r="I19" s="2" t="s">
        <v>2</v>
      </c>
      <c r="K19" s="2" t="s">
        <v>86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193</v>
      </c>
      <c r="T19" s="2" t="s">
        <v>1</v>
      </c>
      <c r="U19" s="2" t="s">
        <v>1</v>
      </c>
      <c r="V19" s="2" t="s">
        <v>269</v>
      </c>
      <c r="W19" s="2" t="s">
        <v>1</v>
      </c>
      <c r="X19" s="2" t="s">
        <v>86</v>
      </c>
      <c r="Z19" s="2" t="s">
        <v>86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121</v>
      </c>
      <c r="B20" s="2" t="s">
        <v>171</v>
      </c>
      <c r="C20" s="2" t="s">
        <v>172</v>
      </c>
      <c r="D20" s="2" t="s">
        <v>194</v>
      </c>
      <c r="E20" s="2" t="s">
        <v>185</v>
      </c>
      <c r="F20" s="2" t="s">
        <v>195</v>
      </c>
      <c r="G20" s="2" t="s">
        <v>93</v>
      </c>
      <c r="H20" s="2" t="s">
        <v>196</v>
      </c>
      <c r="I20" s="2" t="s">
        <v>95</v>
      </c>
      <c r="K20" s="2" t="s">
        <v>86</v>
      </c>
      <c r="L20" s="2" t="s">
        <v>1</v>
      </c>
      <c r="M20" s="2" t="s">
        <v>7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197</v>
      </c>
      <c r="T20" s="2" t="s">
        <v>1</v>
      </c>
      <c r="U20" s="2" t="s">
        <v>1</v>
      </c>
      <c r="V20" s="2" t="s">
        <v>269</v>
      </c>
      <c r="W20" s="2" t="s">
        <v>1</v>
      </c>
      <c r="X20" s="2" t="s">
        <v>86</v>
      </c>
      <c r="Z20" s="2" t="s">
        <v>86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122</v>
      </c>
      <c r="B21" s="2" t="s">
        <v>171</v>
      </c>
      <c r="C21" s="2" t="s">
        <v>172</v>
      </c>
      <c r="D21" s="2" t="s">
        <v>198</v>
      </c>
      <c r="E21" s="2" t="s">
        <v>174</v>
      </c>
      <c r="F21" s="2" t="s">
        <v>199</v>
      </c>
      <c r="G21" s="2" t="s">
        <v>144</v>
      </c>
      <c r="H21" s="2" t="s">
        <v>200</v>
      </c>
      <c r="I21" s="2" t="s">
        <v>177</v>
      </c>
      <c r="K21" s="2" t="s">
        <v>86</v>
      </c>
      <c r="L21" s="2" t="s">
        <v>1</v>
      </c>
      <c r="M21" s="2" t="s">
        <v>7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201</v>
      </c>
      <c r="T21" s="2" t="s">
        <v>1</v>
      </c>
      <c r="U21" s="2" t="s">
        <v>1</v>
      </c>
      <c r="V21" s="2" t="s">
        <v>269</v>
      </c>
      <c r="W21" s="2" t="s">
        <v>1</v>
      </c>
      <c r="X21" s="2" t="s">
        <v>86</v>
      </c>
      <c r="Z21" s="2" t="s">
        <v>86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125</v>
      </c>
      <c r="B22" s="2" t="s">
        <v>171</v>
      </c>
      <c r="C22" s="2" t="s">
        <v>172</v>
      </c>
      <c r="D22" s="2" t="s">
        <v>202</v>
      </c>
      <c r="E22" s="2" t="s">
        <v>174</v>
      </c>
      <c r="F22" s="2" t="s">
        <v>203</v>
      </c>
      <c r="G22" s="2" t="s">
        <v>93</v>
      </c>
      <c r="H22" s="2" t="s">
        <v>204</v>
      </c>
      <c r="I22" s="2" t="s">
        <v>95</v>
      </c>
      <c r="K22" s="2" t="s">
        <v>86</v>
      </c>
      <c r="L22" s="2" t="s">
        <v>1</v>
      </c>
      <c r="M22" s="2" t="s">
        <v>7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205</v>
      </c>
      <c r="T22" s="2" t="s">
        <v>1</v>
      </c>
      <c r="U22" s="2" t="s">
        <v>1</v>
      </c>
      <c r="V22" s="2" t="s">
        <v>269</v>
      </c>
      <c r="W22" s="2" t="s">
        <v>1</v>
      </c>
      <c r="X22" s="2" t="s">
        <v>86</v>
      </c>
      <c r="Z22" s="2" t="s">
        <v>86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123</v>
      </c>
      <c r="B23" s="2" t="s">
        <v>171</v>
      </c>
      <c r="C23" s="2" t="s">
        <v>172</v>
      </c>
      <c r="D23" s="2" t="s">
        <v>206</v>
      </c>
      <c r="E23" s="2" t="s">
        <v>174</v>
      </c>
      <c r="F23" s="2" t="s">
        <v>207</v>
      </c>
      <c r="G23" s="2" t="s">
        <v>144</v>
      </c>
      <c r="H23" s="2" t="s">
        <v>208</v>
      </c>
      <c r="I23" s="2" t="s">
        <v>177</v>
      </c>
      <c r="K23" s="2" t="s">
        <v>86</v>
      </c>
      <c r="L23" s="2" t="s">
        <v>1</v>
      </c>
      <c r="M23" s="2" t="s">
        <v>7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209</v>
      </c>
      <c r="T23" s="2" t="s">
        <v>1</v>
      </c>
      <c r="U23" s="2" t="s">
        <v>1</v>
      </c>
      <c r="V23" s="2" t="s">
        <v>269</v>
      </c>
      <c r="W23" s="2" t="s">
        <v>1</v>
      </c>
      <c r="X23" s="2" t="s">
        <v>86</v>
      </c>
      <c r="Z23" s="2" t="s">
        <v>86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124</v>
      </c>
      <c r="B24" s="2" t="s">
        <v>171</v>
      </c>
      <c r="C24" s="2" t="s">
        <v>172</v>
      </c>
      <c r="D24" s="2" t="s">
        <v>210</v>
      </c>
      <c r="E24" s="2" t="s">
        <v>174</v>
      </c>
      <c r="F24" s="2" t="s">
        <v>211</v>
      </c>
      <c r="G24" s="2" t="s">
        <v>93</v>
      </c>
      <c r="H24" s="2" t="s">
        <v>212</v>
      </c>
      <c r="I24" s="2" t="s">
        <v>95</v>
      </c>
      <c r="K24" s="2" t="s">
        <v>86</v>
      </c>
      <c r="L24" s="2" t="s">
        <v>1</v>
      </c>
      <c r="M24" s="2" t="s">
        <v>7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213</v>
      </c>
      <c r="T24" s="2" t="s">
        <v>1</v>
      </c>
      <c r="U24" s="2" t="s">
        <v>1</v>
      </c>
      <c r="V24" s="2" t="s">
        <v>269</v>
      </c>
      <c r="W24" s="2" t="s">
        <v>1</v>
      </c>
      <c r="X24" s="2" t="s">
        <v>86</v>
      </c>
      <c r="Z24" s="2" t="s">
        <v>86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395</v>
      </c>
      <c r="B25" s="2" t="s">
        <v>127</v>
      </c>
      <c r="C25" s="2" t="s">
        <v>398</v>
      </c>
      <c r="D25" s="2" t="s">
        <v>283</v>
      </c>
      <c r="E25" s="2" t="s">
        <v>132</v>
      </c>
      <c r="F25" s="2" t="s">
        <v>284</v>
      </c>
      <c r="G25" s="2" t="s">
        <v>93</v>
      </c>
      <c r="H25" s="2" t="s">
        <v>285</v>
      </c>
      <c r="I25" s="2" t="s">
        <v>95</v>
      </c>
      <c r="K25" s="2" t="s">
        <v>279</v>
      </c>
      <c r="L25" s="2" t="s">
        <v>425</v>
      </c>
      <c r="M25" s="2" t="s">
        <v>7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399</v>
      </c>
      <c r="T25" s="2" t="s">
        <v>400</v>
      </c>
      <c r="U25" s="2" t="s">
        <v>1</v>
      </c>
      <c r="V25" s="2" t="s">
        <v>269</v>
      </c>
      <c r="W25" s="2" t="s">
        <v>1</v>
      </c>
      <c r="X25" s="2" t="s">
        <v>86</v>
      </c>
      <c r="Z25" s="2" t="s">
        <v>86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396</v>
      </c>
      <c r="B26" s="2" t="s">
        <v>127</v>
      </c>
      <c r="C26" s="2" t="s">
        <v>398</v>
      </c>
      <c r="D26" s="2" t="s">
        <v>401</v>
      </c>
      <c r="E26" s="2" t="s">
        <v>132</v>
      </c>
      <c r="F26" s="2" t="s">
        <v>402</v>
      </c>
      <c r="G26" s="2" t="s">
        <v>93</v>
      </c>
      <c r="H26" s="2" t="s">
        <v>403</v>
      </c>
      <c r="I26" s="2" t="s">
        <v>95</v>
      </c>
      <c r="J26" s="2" t="s">
        <v>416</v>
      </c>
      <c r="K26" s="2" t="s">
        <v>279</v>
      </c>
      <c r="L26" s="2" t="s">
        <v>426</v>
      </c>
      <c r="M26" s="2" t="s">
        <v>7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404</v>
      </c>
      <c r="T26" s="2" t="s">
        <v>400</v>
      </c>
      <c r="U26" s="2" t="s">
        <v>1</v>
      </c>
      <c r="V26" s="2" t="s">
        <v>269</v>
      </c>
      <c r="W26" s="2" t="s">
        <v>1</v>
      </c>
      <c r="X26" s="2" t="s">
        <v>86</v>
      </c>
      <c r="Z26" s="2" t="s">
        <v>86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241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144</v>
      </c>
      <c r="H27" s="2" t="s">
        <v>287</v>
      </c>
      <c r="I27" s="2" t="s">
        <v>2</v>
      </c>
      <c r="K27" s="2" t="s">
        <v>86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427</v>
      </c>
      <c r="T27" s="2" t="s">
        <v>1</v>
      </c>
      <c r="U27" s="2" t="s">
        <v>1</v>
      </c>
      <c r="V27" s="2" t="s">
        <v>269</v>
      </c>
      <c r="W27" s="2" t="s">
        <v>1</v>
      </c>
      <c r="X27" s="2" t="s">
        <v>279</v>
      </c>
      <c r="Z27" s="2" t="s">
        <v>279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126</v>
      </c>
      <c r="B28" s="2" t="s">
        <v>171</v>
      </c>
      <c r="C28" s="2" t="s">
        <v>214</v>
      </c>
      <c r="D28" s="2" t="s">
        <v>215</v>
      </c>
      <c r="E28" s="2" t="s">
        <v>216</v>
      </c>
      <c r="F28" s="2" t="s">
        <v>217</v>
      </c>
      <c r="G28" s="2" t="s">
        <v>93</v>
      </c>
      <c r="H28" s="2" t="s">
        <v>218</v>
      </c>
      <c r="I28" s="2" t="s">
        <v>95</v>
      </c>
      <c r="K28" s="2" t="s">
        <v>86</v>
      </c>
      <c r="L28" s="2" t="s">
        <v>1</v>
      </c>
      <c r="M28" s="2" t="s">
        <v>7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219</v>
      </c>
      <c r="T28" s="2" t="s">
        <v>1</v>
      </c>
      <c r="U28" s="2" t="s">
        <v>1</v>
      </c>
      <c r="V28" s="2" t="s">
        <v>269</v>
      </c>
      <c r="W28" s="2" t="s">
        <v>1</v>
      </c>
      <c r="X28" s="2" t="s">
        <v>86</v>
      </c>
      <c r="Z28" s="2" t="s">
        <v>86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243</v>
      </c>
      <c r="B29" s="2" t="s">
        <v>127</v>
      </c>
      <c r="C29" s="2" t="s">
        <v>289</v>
      </c>
      <c r="D29" s="2" t="s">
        <v>290</v>
      </c>
      <c r="E29" s="2" t="s">
        <v>291</v>
      </c>
      <c r="F29" s="2" t="s">
        <v>292</v>
      </c>
      <c r="G29" s="2" t="s">
        <v>144</v>
      </c>
      <c r="H29" s="2" t="s">
        <v>293</v>
      </c>
      <c r="I29" s="2" t="s">
        <v>2</v>
      </c>
      <c r="K29" s="2" t="s">
        <v>279</v>
      </c>
      <c r="L29" s="2" t="s">
        <v>428</v>
      </c>
      <c r="M29" s="2" t="s">
        <v>7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428</v>
      </c>
      <c r="T29" s="2" t="s">
        <v>295</v>
      </c>
      <c r="U29" s="2" t="s">
        <v>1</v>
      </c>
      <c r="V29" s="2" t="s">
        <v>269</v>
      </c>
      <c r="W29" s="2" t="s">
        <v>1</v>
      </c>
      <c r="X29" s="2" t="s">
        <v>86</v>
      </c>
      <c r="Z29" s="2" t="s">
        <v>86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244</v>
      </c>
      <c r="B30" s="2" t="s">
        <v>296</v>
      </c>
      <c r="C30" s="2" t="s">
        <v>297</v>
      </c>
      <c r="D30" s="2" t="s">
        <v>298</v>
      </c>
      <c r="E30" s="2" t="s">
        <v>299</v>
      </c>
      <c r="F30" s="2" t="s">
        <v>300</v>
      </c>
      <c r="G30" s="2" t="s">
        <v>83</v>
      </c>
      <c r="H30" s="2" t="s">
        <v>472</v>
      </c>
      <c r="I30" s="2" t="s">
        <v>85</v>
      </c>
      <c r="K30" s="2" t="s">
        <v>86</v>
      </c>
      <c r="L30" s="2" t="s">
        <v>1</v>
      </c>
      <c r="M30" s="2" t="s">
        <v>7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430</v>
      </c>
      <c r="T30" s="2" t="s">
        <v>1</v>
      </c>
      <c r="U30" s="2" t="s">
        <v>1</v>
      </c>
      <c r="V30" s="2" t="s">
        <v>269</v>
      </c>
      <c r="W30" s="2" t="s">
        <v>1</v>
      </c>
      <c r="X30" s="2" t="s">
        <v>86</v>
      </c>
      <c r="Z30" s="2" t="s">
        <v>86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245</v>
      </c>
      <c r="B31" s="2" t="s">
        <v>171</v>
      </c>
      <c r="C31" s="2" t="s">
        <v>172</v>
      </c>
      <c r="D31" s="2" t="s">
        <v>302</v>
      </c>
      <c r="E31" s="2" t="s">
        <v>185</v>
      </c>
      <c r="F31" s="2" t="s">
        <v>303</v>
      </c>
      <c r="G31" s="2" t="s">
        <v>93</v>
      </c>
      <c r="H31" s="2" t="s">
        <v>304</v>
      </c>
      <c r="I31" s="2" t="s">
        <v>95</v>
      </c>
      <c r="K31" s="2" t="s">
        <v>86</v>
      </c>
      <c r="L31" s="2" t="s">
        <v>1</v>
      </c>
      <c r="M31" s="2" t="s">
        <v>1</v>
      </c>
      <c r="N31" s="2" t="s">
        <v>431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432</v>
      </c>
      <c r="T31" s="2" t="s">
        <v>1</v>
      </c>
      <c r="U31" s="2" t="s">
        <v>1</v>
      </c>
      <c r="V31" s="2" t="s">
        <v>269</v>
      </c>
      <c r="W31" s="2" t="s">
        <v>1</v>
      </c>
      <c r="X31" s="2" t="s">
        <v>86</v>
      </c>
      <c r="Z31" s="2" t="s">
        <v>86</v>
      </c>
      <c r="AA31" s="2" t="s">
        <v>1</v>
      </c>
      <c r="AB31" s="2" t="s">
        <v>1</v>
      </c>
      <c r="AC31" s="2" t="s">
        <v>7</v>
      </c>
    </row>
    <row r="32" spans="1:29" x14ac:dyDescent="0.4">
      <c r="A32" s="2" t="s">
        <v>255</v>
      </c>
      <c r="B32" s="2" t="s">
        <v>171</v>
      </c>
      <c r="C32" s="2" t="s">
        <v>172</v>
      </c>
      <c r="D32" s="2" t="s">
        <v>249</v>
      </c>
      <c r="E32" s="2" t="s">
        <v>185</v>
      </c>
      <c r="F32" s="2" t="s">
        <v>306</v>
      </c>
      <c r="G32" s="2" t="s">
        <v>93</v>
      </c>
      <c r="H32" s="2" t="s">
        <v>307</v>
      </c>
      <c r="I32" s="2" t="s">
        <v>95</v>
      </c>
      <c r="K32" s="2" t="s">
        <v>86</v>
      </c>
      <c r="L32" s="2" t="s">
        <v>1</v>
      </c>
      <c r="M32" s="2" t="s">
        <v>7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312</v>
      </c>
      <c r="T32" s="2" t="s">
        <v>1</v>
      </c>
      <c r="U32" s="2" t="s">
        <v>1</v>
      </c>
      <c r="V32" s="2" t="s">
        <v>269</v>
      </c>
      <c r="W32" s="2" t="s">
        <v>1</v>
      </c>
      <c r="X32" s="2" t="s">
        <v>86</v>
      </c>
      <c r="Z32" s="2" t="s">
        <v>86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258</v>
      </c>
      <c r="B33" s="2" t="s">
        <v>171</v>
      </c>
      <c r="C33" s="2" t="s">
        <v>309</v>
      </c>
      <c r="D33" s="2" t="s">
        <v>251</v>
      </c>
      <c r="E33" s="2" t="s">
        <v>185</v>
      </c>
      <c r="F33" s="2" t="s">
        <v>310</v>
      </c>
      <c r="G33" s="2" t="s">
        <v>93</v>
      </c>
      <c r="H33" s="2" t="s">
        <v>311</v>
      </c>
      <c r="I33" s="2" t="s">
        <v>95</v>
      </c>
      <c r="J33" s="2" t="s">
        <v>463</v>
      </c>
      <c r="K33" s="2" t="s">
        <v>86</v>
      </c>
      <c r="L33" s="2" t="s">
        <v>1</v>
      </c>
      <c r="M33" s="2" t="s">
        <v>1</v>
      </c>
      <c r="N33" s="2" t="s">
        <v>277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316</v>
      </c>
      <c r="T33" s="2" t="s">
        <v>1</v>
      </c>
      <c r="U33" s="2" t="s">
        <v>1</v>
      </c>
      <c r="V33" s="2" t="s">
        <v>269</v>
      </c>
      <c r="W33" s="2" t="s">
        <v>1</v>
      </c>
      <c r="X33" s="2" t="s">
        <v>86</v>
      </c>
      <c r="Z33" s="2" t="s">
        <v>86</v>
      </c>
      <c r="AA33" s="2" t="s">
        <v>1</v>
      </c>
      <c r="AB33" s="2" t="s">
        <v>1</v>
      </c>
      <c r="AC33" s="2" t="s">
        <v>7</v>
      </c>
    </row>
    <row r="34" spans="1:29" x14ac:dyDescent="0.4">
      <c r="A34" s="2" t="s">
        <v>256</v>
      </c>
      <c r="B34" s="2" t="s">
        <v>171</v>
      </c>
      <c r="C34" s="2" t="s">
        <v>313</v>
      </c>
      <c r="D34" s="2" t="s">
        <v>317</v>
      </c>
      <c r="E34" s="2" t="s">
        <v>314</v>
      </c>
      <c r="F34" s="2" t="s">
        <v>318</v>
      </c>
      <c r="G34" s="2" t="s">
        <v>319</v>
      </c>
      <c r="H34" s="2" t="s">
        <v>320</v>
      </c>
      <c r="I34" s="2" t="s">
        <v>95</v>
      </c>
      <c r="K34" s="2" t="s">
        <v>86</v>
      </c>
      <c r="L34" s="2" t="s">
        <v>1</v>
      </c>
      <c r="M34" s="2" t="s">
        <v>1</v>
      </c>
      <c r="N34" s="2" t="s">
        <v>1</v>
      </c>
      <c r="O34" s="2" t="s">
        <v>321</v>
      </c>
      <c r="P34" s="2" t="s">
        <v>322</v>
      </c>
      <c r="Q34" s="2" t="s">
        <v>1</v>
      </c>
      <c r="R34" s="2" t="s">
        <v>1</v>
      </c>
      <c r="S34" s="2" t="s">
        <v>433</v>
      </c>
      <c r="T34" s="2" t="s">
        <v>1</v>
      </c>
      <c r="U34" s="2" t="s">
        <v>1</v>
      </c>
      <c r="V34" s="2" t="s">
        <v>269</v>
      </c>
      <c r="W34" s="2" t="s">
        <v>1</v>
      </c>
      <c r="X34" s="2" t="s">
        <v>86</v>
      </c>
      <c r="Z34" s="2" t="s">
        <v>86</v>
      </c>
      <c r="AA34" s="2" t="s">
        <v>1</v>
      </c>
      <c r="AB34" s="2" t="s">
        <v>324</v>
      </c>
      <c r="AC34" s="2" t="s">
        <v>1</v>
      </c>
    </row>
    <row r="35" spans="1:29" x14ac:dyDescent="0.4">
      <c r="A35" s="2" t="s">
        <v>259</v>
      </c>
      <c r="B35" s="2" t="s">
        <v>171</v>
      </c>
      <c r="C35" s="2" t="s">
        <v>325</v>
      </c>
      <c r="D35" s="2" t="s">
        <v>326</v>
      </c>
      <c r="E35" s="2" t="s">
        <v>265</v>
      </c>
      <c r="F35" s="2" t="s">
        <v>327</v>
      </c>
      <c r="G35" s="2" t="s">
        <v>83</v>
      </c>
      <c r="H35" s="2" t="s">
        <v>429</v>
      </c>
      <c r="I35" s="2" t="s">
        <v>85</v>
      </c>
      <c r="K35" s="2" t="s">
        <v>279</v>
      </c>
      <c r="L35" s="2" t="s">
        <v>434</v>
      </c>
      <c r="M35" s="2" t="s">
        <v>1</v>
      </c>
      <c r="N35" s="2" t="s">
        <v>1</v>
      </c>
      <c r="O35" s="2" t="s">
        <v>328</v>
      </c>
      <c r="P35" s="2" t="s">
        <v>329</v>
      </c>
      <c r="Q35" s="2" t="s">
        <v>1</v>
      </c>
      <c r="R35" s="2" t="s">
        <v>1</v>
      </c>
      <c r="S35" s="2" t="s">
        <v>263</v>
      </c>
      <c r="T35" s="2" t="s">
        <v>331</v>
      </c>
      <c r="U35" s="2" t="s">
        <v>1</v>
      </c>
      <c r="V35" s="2" t="s">
        <v>269</v>
      </c>
      <c r="W35" s="2" t="s">
        <v>1</v>
      </c>
      <c r="X35" s="2" t="s">
        <v>86</v>
      </c>
      <c r="Z35" s="2" t="s">
        <v>86</v>
      </c>
      <c r="AA35" s="2" t="s">
        <v>1</v>
      </c>
      <c r="AB35" s="2" t="s">
        <v>1</v>
      </c>
      <c r="AC35" s="2" t="s">
        <v>1</v>
      </c>
    </row>
    <row r="36" spans="1:29" x14ac:dyDescent="0.4">
      <c r="A36" s="2" t="s">
        <v>260</v>
      </c>
      <c r="B36" s="2" t="s">
        <v>171</v>
      </c>
      <c r="C36" s="2" t="s">
        <v>325</v>
      </c>
      <c r="D36" s="2" t="s">
        <v>332</v>
      </c>
      <c r="E36" s="2" t="s">
        <v>265</v>
      </c>
      <c r="F36" s="2" t="s">
        <v>333</v>
      </c>
      <c r="G36" s="2" t="s">
        <v>93</v>
      </c>
      <c r="H36" s="2" t="s">
        <v>334</v>
      </c>
      <c r="I36" s="2" t="s">
        <v>95</v>
      </c>
      <c r="K36" s="2" t="s">
        <v>279</v>
      </c>
      <c r="L36" s="2" t="s">
        <v>435</v>
      </c>
      <c r="M36" s="2" t="s">
        <v>7</v>
      </c>
      <c r="N36" s="2" t="s">
        <v>1</v>
      </c>
      <c r="O36" s="2" t="s">
        <v>328</v>
      </c>
      <c r="P36" s="2" t="s">
        <v>329</v>
      </c>
      <c r="Q36" s="2" t="s">
        <v>1</v>
      </c>
      <c r="R36" s="2" t="s">
        <v>1</v>
      </c>
      <c r="S36" s="2" t="s">
        <v>436</v>
      </c>
      <c r="T36" s="2" t="s">
        <v>331</v>
      </c>
      <c r="U36" s="2" t="s">
        <v>1</v>
      </c>
      <c r="V36" s="2" t="s">
        <v>269</v>
      </c>
      <c r="W36" s="2" t="s">
        <v>1</v>
      </c>
      <c r="X36" s="2" t="s">
        <v>86</v>
      </c>
      <c r="Z36" s="2" t="s">
        <v>86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262</v>
      </c>
      <c r="B37" s="2" t="s">
        <v>171</v>
      </c>
      <c r="C37" s="2" t="s">
        <v>325</v>
      </c>
      <c r="D37" s="2" t="s">
        <v>336</v>
      </c>
      <c r="E37" s="2" t="s">
        <v>265</v>
      </c>
      <c r="F37" s="2" t="s">
        <v>337</v>
      </c>
      <c r="G37" s="2" t="s">
        <v>144</v>
      </c>
      <c r="H37" s="2" t="s">
        <v>7</v>
      </c>
      <c r="I37" s="2" t="s">
        <v>2</v>
      </c>
      <c r="K37" s="2" t="s">
        <v>279</v>
      </c>
      <c r="L37" s="2" t="s">
        <v>437</v>
      </c>
      <c r="M37" s="2" t="s">
        <v>1</v>
      </c>
      <c r="N37" s="2" t="s">
        <v>1</v>
      </c>
      <c r="O37" s="2" t="s">
        <v>328</v>
      </c>
      <c r="P37" s="2" t="s">
        <v>329</v>
      </c>
      <c r="Q37" s="2" t="s">
        <v>1</v>
      </c>
      <c r="R37" s="2" t="s">
        <v>1</v>
      </c>
      <c r="S37" s="2" t="s">
        <v>422</v>
      </c>
      <c r="T37" s="2" t="s">
        <v>331</v>
      </c>
      <c r="U37" s="2" t="s">
        <v>1</v>
      </c>
      <c r="V37" s="2" t="s">
        <v>338</v>
      </c>
      <c r="W37" s="2" t="s">
        <v>1</v>
      </c>
      <c r="X37" s="2" t="s">
        <v>86</v>
      </c>
      <c r="Z37" s="2" t="s">
        <v>86</v>
      </c>
      <c r="AA37" s="2" t="s">
        <v>1</v>
      </c>
      <c r="AB37" s="2" t="s">
        <v>1</v>
      </c>
      <c r="AC37" s="2" t="s">
        <v>1</v>
      </c>
    </row>
    <row r="38" spans="1:29" x14ac:dyDescent="0.4">
      <c r="A38" s="2" t="s">
        <v>78</v>
      </c>
      <c r="B38" s="2" t="s">
        <v>79</v>
      </c>
      <c r="C38" s="2" t="s">
        <v>80</v>
      </c>
      <c r="D38" s="2" t="s">
        <v>81</v>
      </c>
      <c r="E38" s="2" t="s">
        <v>1</v>
      </c>
      <c r="F38" s="2" t="s">
        <v>82</v>
      </c>
      <c r="G38" s="2" t="s">
        <v>83</v>
      </c>
      <c r="H38" s="2" t="s">
        <v>429</v>
      </c>
      <c r="I38" s="2" t="s">
        <v>85</v>
      </c>
      <c r="K38" s="2" t="s">
        <v>86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438</v>
      </c>
      <c r="T38" s="2" t="s">
        <v>1</v>
      </c>
      <c r="U38" s="2" t="s">
        <v>1</v>
      </c>
      <c r="V38" s="2" t="s">
        <v>269</v>
      </c>
      <c r="W38" s="2" t="s">
        <v>1</v>
      </c>
      <c r="X38" s="2" t="s">
        <v>86</v>
      </c>
      <c r="Z38" s="2" t="s">
        <v>86</v>
      </c>
      <c r="AA38" s="2" t="s">
        <v>1</v>
      </c>
      <c r="AB38" s="2" t="s">
        <v>1</v>
      </c>
      <c r="AC38" s="2" t="s">
        <v>1</v>
      </c>
    </row>
    <row r="39" spans="1:29" x14ac:dyDescent="0.4">
      <c r="A39" s="2" t="s">
        <v>76</v>
      </c>
      <c r="B39" s="2" t="s">
        <v>88</v>
      </c>
      <c r="C39" s="2" t="s">
        <v>89</v>
      </c>
      <c r="D39" s="2" t="s">
        <v>90</v>
      </c>
      <c r="E39" s="2" t="s">
        <v>91</v>
      </c>
      <c r="F39" s="2" t="s">
        <v>92</v>
      </c>
      <c r="G39" s="2" t="s">
        <v>93</v>
      </c>
      <c r="H39" s="2" t="s">
        <v>94</v>
      </c>
      <c r="I39" s="2" t="s">
        <v>95</v>
      </c>
      <c r="K39" s="2" t="s">
        <v>86</v>
      </c>
      <c r="L39" s="2" t="s">
        <v>1</v>
      </c>
      <c r="M39" s="2" t="s">
        <v>7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439</v>
      </c>
      <c r="T39" s="2" t="s">
        <v>1</v>
      </c>
      <c r="U39" s="2" t="s">
        <v>1</v>
      </c>
      <c r="V39" s="2" t="s">
        <v>269</v>
      </c>
      <c r="W39" s="2" t="s">
        <v>1</v>
      </c>
      <c r="X39" s="2" t="s">
        <v>86</v>
      </c>
      <c r="Z39" s="2" t="s">
        <v>86</v>
      </c>
      <c r="AA39" s="2" t="s">
        <v>1</v>
      </c>
      <c r="AB39" s="2" t="s">
        <v>1</v>
      </c>
      <c r="AC39" s="2" t="s">
        <v>1</v>
      </c>
    </row>
    <row r="40" spans="1:29" x14ac:dyDescent="0.4">
      <c r="A40" s="2" t="s">
        <v>75</v>
      </c>
      <c r="B40" s="2" t="s">
        <v>88</v>
      </c>
      <c r="C40" s="2" t="s">
        <v>89</v>
      </c>
      <c r="D40" s="2" t="s">
        <v>97</v>
      </c>
      <c r="E40" s="2" t="s">
        <v>91</v>
      </c>
      <c r="F40" s="2" t="s">
        <v>98</v>
      </c>
      <c r="G40" s="2" t="s">
        <v>93</v>
      </c>
      <c r="H40" s="2" t="s">
        <v>99</v>
      </c>
      <c r="I40" s="2" t="s">
        <v>95</v>
      </c>
      <c r="K40" s="2" t="s">
        <v>86</v>
      </c>
      <c r="L40" s="2" t="s">
        <v>1</v>
      </c>
      <c r="M40" s="2" t="s">
        <v>7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440</v>
      </c>
      <c r="T40" s="2" t="s">
        <v>1</v>
      </c>
      <c r="U40" s="2" t="s">
        <v>1</v>
      </c>
      <c r="V40" s="2" t="s">
        <v>269</v>
      </c>
      <c r="W40" s="2" t="s">
        <v>1</v>
      </c>
      <c r="X40" s="2" t="s">
        <v>86</v>
      </c>
      <c r="Z40" s="2" t="s">
        <v>86</v>
      </c>
      <c r="AA40" s="2" t="s">
        <v>1</v>
      </c>
      <c r="AB40" s="2" t="s">
        <v>101</v>
      </c>
      <c r="AC40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1D85-BC6B-45C8-8156-09FCB0E1EBD3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64</v>
      </c>
    </row>
    <row r="3" spans="1:1" x14ac:dyDescent="0.4">
      <c r="A3" s="2" t="s">
        <v>7</v>
      </c>
    </row>
    <row r="11" spans="1:1" x14ac:dyDescent="0.4">
      <c r="A11" s="2" t="s">
        <v>422</v>
      </c>
    </row>
    <row r="12" spans="1:1" x14ac:dyDescent="0.4">
      <c r="A12" s="2" t="s">
        <v>7</v>
      </c>
    </row>
    <row r="13" spans="1:1" x14ac:dyDescent="0.4">
      <c r="A13" s="2" t="s">
        <v>264</v>
      </c>
    </row>
    <row r="14" spans="1:1" x14ac:dyDescent="0.4">
      <c r="A14" s="2" t="s">
        <v>174</v>
      </c>
    </row>
    <row r="15" spans="1:1" x14ac:dyDescent="0.4">
      <c r="A15" s="2" t="s">
        <v>265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8</v>
      </c>
    </row>
    <row r="20" spans="1:3" x14ac:dyDescent="0.4">
      <c r="A20" s="2" t="s">
        <v>1</v>
      </c>
    </row>
    <row r="31" spans="1:3" x14ac:dyDescent="0.4">
      <c r="A31" s="2" t="s">
        <v>327</v>
      </c>
      <c r="B31" s="2" t="s">
        <v>263</v>
      </c>
      <c r="C31" s="2" t="s">
        <v>2</v>
      </c>
    </row>
    <row r="32" spans="1:3" x14ac:dyDescent="0.4">
      <c r="A32" s="2" t="s">
        <v>333</v>
      </c>
      <c r="B32" s="2" t="s">
        <v>436</v>
      </c>
      <c r="C32" s="2"/>
    </row>
    <row r="33" spans="1:3" x14ac:dyDescent="0.4">
      <c r="A33" s="2" t="s">
        <v>362</v>
      </c>
      <c r="B33" s="2"/>
      <c r="C33" s="2"/>
    </row>
    <row r="34" spans="1:3" x14ac:dyDescent="0.4">
      <c r="A34" s="2" t="s">
        <v>363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39" spans="1:3" x14ac:dyDescent="0.4">
      <c r="A39" t="s">
        <v>469</v>
      </c>
    </row>
    <row r="51" spans="1:1" x14ac:dyDescent="0.4">
      <c r="A51" s="2" t="s">
        <v>475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D21F-518B-4FD4-AE50-078E108A5636}">
  <dimension ref="B1:AY43"/>
  <sheetViews>
    <sheetView tabSelected="1" view="pageBreakPreview" zoomScale="115" zoomScaleNormal="100" zoomScaleSheetLayoutView="115" workbookViewId="0">
      <selection activeCell="W19" sqref="W19:AI19"/>
    </sheetView>
  </sheetViews>
  <sheetFormatPr defaultColWidth="2.25" defaultRowHeight="18.75" x14ac:dyDescent="0.4"/>
  <cols>
    <col min="36" max="36" width="2.25" hidden="1" customWidth="1"/>
    <col min="37" max="37" width="2.5" hidden="1" customWidth="1"/>
    <col min="38" max="50" width="2.25" hidden="1" customWidth="1"/>
  </cols>
  <sheetData>
    <row r="1" spans="2:51" ht="18.75" customHeight="1" x14ac:dyDescent="0.4">
      <c r="B1" s="21" t="s">
        <v>41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2:51" ht="18.75" customHeight="1" x14ac:dyDescent="0.4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2:51" x14ac:dyDescent="0.4">
      <c r="B3" s="12" t="s">
        <v>42</v>
      </c>
      <c r="C3" s="13"/>
      <c r="D3" s="13"/>
      <c r="E3" s="14"/>
      <c r="F3" s="15" t="s">
        <v>107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24" t="s">
        <v>57</v>
      </c>
      <c r="T3" s="25"/>
      <c r="U3" s="25"/>
      <c r="V3" s="26"/>
      <c r="W3" s="17" t="s">
        <v>108</v>
      </c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8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5"/>
    </row>
    <row r="4" spans="2:51" x14ac:dyDescent="0.4">
      <c r="B4" s="12"/>
      <c r="C4" s="13"/>
      <c r="D4" s="13"/>
      <c r="E4" s="14"/>
      <c r="F4" s="22" t="s">
        <v>106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4" t="s">
        <v>58</v>
      </c>
      <c r="T4" s="25"/>
      <c r="U4" s="25"/>
      <c r="V4" s="26"/>
      <c r="W4" s="25" t="str">
        <f>AJ4&amp; " 歳 " &amp;" "&amp;AK4</f>
        <v>##患者情報.本人情報.年齢 歳  ##患者情報.本人情報.性別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6"/>
      <c r="AJ4" s="6" t="s">
        <v>109</v>
      </c>
      <c r="AK4" s="8" t="s">
        <v>111</v>
      </c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5"/>
    </row>
    <row r="5" spans="2:51" x14ac:dyDescent="0.4">
      <c r="B5" s="12" t="s">
        <v>43</v>
      </c>
      <c r="C5" s="13"/>
      <c r="D5" s="13"/>
      <c r="E5" s="14"/>
      <c r="F5" s="15" t="s">
        <v>112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6"/>
      <c r="AJ5" s="4"/>
      <c r="AK5" s="4"/>
      <c r="AL5" s="4"/>
      <c r="AM5" s="4"/>
      <c r="AN5" s="7"/>
      <c r="AO5" s="4"/>
      <c r="AP5" s="4"/>
      <c r="AQ5" s="4"/>
      <c r="AR5" s="4"/>
      <c r="AS5" s="4"/>
      <c r="AT5" s="4"/>
      <c r="AU5" s="4"/>
      <c r="AV5" s="4"/>
      <c r="AW5" s="4"/>
      <c r="AX5" s="4"/>
      <c r="AY5" s="5"/>
    </row>
    <row r="6" spans="2:51" x14ac:dyDescent="0.4">
      <c r="B6" s="12" t="s">
        <v>44</v>
      </c>
      <c r="C6" s="13"/>
      <c r="D6" s="13"/>
      <c r="E6" s="14"/>
      <c r="F6" s="15" t="s">
        <v>113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  <c r="S6" s="24" t="s">
        <v>68</v>
      </c>
      <c r="T6" s="25"/>
      <c r="U6" s="25"/>
      <c r="V6" s="26"/>
      <c r="W6" s="15" t="s">
        <v>370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6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5"/>
    </row>
    <row r="7" spans="2:51" x14ac:dyDescent="0.4">
      <c r="B7" s="12" t="s">
        <v>45</v>
      </c>
      <c r="C7" s="13"/>
      <c r="D7" s="13"/>
      <c r="E7" s="14"/>
      <c r="F7" s="17" t="s">
        <v>114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  <c r="S7" s="24" t="s">
        <v>69</v>
      </c>
      <c r="T7" s="25"/>
      <c r="U7" s="25"/>
      <c r="V7" s="26"/>
      <c r="W7" s="15" t="s">
        <v>246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6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5"/>
    </row>
    <row r="8" spans="2:51" x14ac:dyDescent="0.4">
      <c r="B8" s="12" t="s">
        <v>46</v>
      </c>
      <c r="C8" s="13"/>
      <c r="D8" s="13"/>
      <c r="E8" s="14"/>
      <c r="F8" s="17" t="str">
        <f>AJ8</f>
        <v>##指示.VA情報.造設日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/>
      <c r="S8" s="24" t="s">
        <v>70</v>
      </c>
      <c r="T8" s="25"/>
      <c r="U8" s="25"/>
      <c r="V8" s="26"/>
      <c r="W8" s="15" t="s">
        <v>247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6"/>
      <c r="AJ8" s="9" t="s">
        <v>257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5"/>
    </row>
    <row r="9" spans="2:51" x14ac:dyDescent="0.4">
      <c r="B9" s="12" t="s">
        <v>47</v>
      </c>
      <c r="C9" s="13"/>
      <c r="D9" s="13"/>
      <c r="E9" s="14"/>
      <c r="F9" s="15" t="s">
        <v>115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/>
      <c r="S9" s="24"/>
      <c r="T9" s="25"/>
      <c r="U9" s="25"/>
      <c r="V9" s="26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6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5"/>
    </row>
    <row r="10" spans="2:51" x14ac:dyDescent="0.4">
      <c r="B10" s="12" t="s">
        <v>48</v>
      </c>
      <c r="C10" s="13"/>
      <c r="D10" s="13"/>
      <c r="E10" s="14"/>
      <c r="F10" s="27" t="s">
        <v>459</v>
      </c>
      <c r="G10" s="27"/>
      <c r="H10" s="27"/>
      <c r="I10" s="25" t="s">
        <v>59</v>
      </c>
      <c r="J10" s="25"/>
      <c r="K10" s="28" t="s">
        <v>385</v>
      </c>
      <c r="L10" s="29"/>
      <c r="M10" s="29"/>
      <c r="N10" s="29"/>
      <c r="O10" s="29"/>
      <c r="P10" s="29"/>
      <c r="Q10" s="29"/>
      <c r="R10" s="30"/>
      <c r="S10" s="24"/>
      <c r="T10" s="25"/>
      <c r="U10" s="25"/>
      <c r="V10" s="26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6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5"/>
    </row>
    <row r="11" spans="2:51" x14ac:dyDescent="0.4">
      <c r="B11" s="12" t="s">
        <v>49</v>
      </c>
      <c r="C11" s="13"/>
      <c r="D11" s="13"/>
      <c r="E11" s="14"/>
      <c r="F11" s="29" t="s">
        <v>118</v>
      </c>
      <c r="G11" s="29"/>
      <c r="H11" s="29"/>
      <c r="I11" s="29"/>
      <c r="J11" s="29"/>
      <c r="K11" s="29"/>
      <c r="L11" s="29"/>
      <c r="M11" s="29"/>
      <c r="N11" s="49" t="s">
        <v>119</v>
      </c>
      <c r="O11" s="49"/>
      <c r="P11" s="49"/>
      <c r="Q11" s="25" t="s">
        <v>60</v>
      </c>
      <c r="R11" s="26"/>
      <c r="S11" s="24"/>
      <c r="T11" s="25"/>
      <c r="U11" s="25"/>
      <c r="V11" s="26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6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5"/>
    </row>
    <row r="12" spans="2:51" x14ac:dyDescent="0.4">
      <c r="B12" s="12" t="s">
        <v>50</v>
      </c>
      <c r="C12" s="13"/>
      <c r="D12" s="13"/>
      <c r="E12" s="14"/>
      <c r="F12" s="54" t="s">
        <v>120</v>
      </c>
      <c r="G12" s="54"/>
      <c r="H12" s="54"/>
      <c r="I12" s="54"/>
      <c r="J12" s="54"/>
      <c r="K12" s="54"/>
      <c r="L12" s="54"/>
      <c r="M12" s="54"/>
      <c r="N12" s="54"/>
      <c r="O12" s="25" t="s">
        <v>61</v>
      </c>
      <c r="P12" s="25"/>
      <c r="Q12" s="25"/>
      <c r="R12" s="26"/>
      <c r="S12" s="24"/>
      <c r="T12" s="25"/>
      <c r="U12" s="25"/>
      <c r="V12" s="26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6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5"/>
    </row>
    <row r="13" spans="2:51" x14ac:dyDescent="0.4">
      <c r="B13" s="12" t="s">
        <v>51</v>
      </c>
      <c r="C13" s="13"/>
      <c r="D13" s="13"/>
      <c r="E13" s="14"/>
      <c r="F13" s="28" t="s">
        <v>121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  <c r="S13" s="24"/>
      <c r="T13" s="25"/>
      <c r="U13" s="25"/>
      <c r="V13" s="26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6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5"/>
    </row>
    <row r="14" spans="2:51" x14ac:dyDescent="0.4">
      <c r="B14" s="12" t="s">
        <v>52</v>
      </c>
      <c r="C14" s="13"/>
      <c r="D14" s="13"/>
      <c r="E14" s="14"/>
      <c r="F14" s="27" t="s">
        <v>122</v>
      </c>
      <c r="G14" s="27"/>
      <c r="H14" s="27"/>
      <c r="I14" s="27"/>
      <c r="J14" s="27"/>
      <c r="K14" s="27"/>
      <c r="L14" s="29" t="s">
        <v>125</v>
      </c>
      <c r="M14" s="29"/>
      <c r="N14" s="29"/>
      <c r="O14" s="29"/>
      <c r="P14" s="29"/>
      <c r="Q14" s="29"/>
      <c r="R14" s="30"/>
      <c r="S14" s="24"/>
      <c r="T14" s="25"/>
      <c r="U14" s="25"/>
      <c r="V14" s="26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6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5"/>
    </row>
    <row r="15" spans="2:51" x14ac:dyDescent="0.4">
      <c r="B15" s="12" t="s">
        <v>53</v>
      </c>
      <c r="C15" s="13"/>
      <c r="D15" s="13"/>
      <c r="E15" s="14"/>
      <c r="F15" s="27" t="s">
        <v>123</v>
      </c>
      <c r="G15" s="27"/>
      <c r="H15" s="27"/>
      <c r="I15" s="27"/>
      <c r="J15" s="27"/>
      <c r="K15" s="27"/>
      <c r="L15" s="29" t="s">
        <v>124</v>
      </c>
      <c r="M15" s="29"/>
      <c r="N15" s="29"/>
      <c r="O15" s="29"/>
      <c r="P15" s="29"/>
      <c r="Q15" s="29"/>
      <c r="R15" s="30"/>
      <c r="S15" s="24" t="s">
        <v>71</v>
      </c>
      <c r="T15" s="25"/>
      <c r="U15" s="25"/>
      <c r="V15" s="26"/>
      <c r="W15" s="15" t="str">
        <f>AP15&amp;" "&amp;AQ15</f>
        <v>##患者情報.感染症(+)(-)(不明).感染症 ##患者情報.感染症(+)(-)(不明).感染症結果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6"/>
      <c r="AJ15" s="4"/>
      <c r="AK15" s="4"/>
      <c r="AL15" s="4"/>
      <c r="AM15" s="4"/>
      <c r="AN15" s="4"/>
      <c r="AO15" s="4"/>
      <c r="AP15" s="8" t="s">
        <v>395</v>
      </c>
      <c r="AQ15" s="8" t="s">
        <v>397</v>
      </c>
      <c r="AR15" s="4"/>
      <c r="AS15" s="4"/>
      <c r="AT15" s="4"/>
      <c r="AU15" s="4"/>
      <c r="AV15" s="4"/>
      <c r="AW15" s="4"/>
      <c r="AX15" s="4"/>
      <c r="AY15" s="5"/>
    </row>
    <row r="16" spans="2:51" x14ac:dyDescent="0.4">
      <c r="B16" s="31" t="s">
        <v>54</v>
      </c>
      <c r="C16" s="32"/>
      <c r="D16" s="32"/>
      <c r="E16" s="33"/>
      <c r="F16" s="40" t="str" cm="1">
        <f t="array" ref="F16">_xlfn.TEXTJOIN("・", TRUE, IF(AK17:AN17&lt;&gt;"", AK17:AN17, ""))</f>
        <v>#・#・指・示</v>
      </c>
      <c r="G16" s="41"/>
      <c r="H16" s="41"/>
      <c r="I16" s="41"/>
      <c r="J16" s="41"/>
      <c r="K16" s="41"/>
      <c r="L16" s="46" t="s">
        <v>242</v>
      </c>
      <c r="M16" s="46"/>
      <c r="N16" s="46"/>
      <c r="O16" s="46"/>
      <c r="P16" s="41" t="s">
        <v>62</v>
      </c>
      <c r="Q16" s="41"/>
      <c r="R16" s="50"/>
      <c r="S16" s="24"/>
      <c r="T16" s="25"/>
      <c r="U16" s="25"/>
      <c r="V16" s="26"/>
      <c r="W16" s="15" t="str">
        <f t="shared" ref="W16:W20" si="0">AP16&amp;" "&amp;AQ16</f>
        <v xml:space="preserve"> 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6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5"/>
    </row>
    <row r="17" spans="2:51" x14ac:dyDescent="0.4">
      <c r="B17" s="34"/>
      <c r="C17" s="35"/>
      <c r="D17" s="35"/>
      <c r="E17" s="36"/>
      <c r="F17" s="42"/>
      <c r="G17" s="43"/>
      <c r="H17" s="43"/>
      <c r="I17" s="43"/>
      <c r="J17" s="43"/>
      <c r="K17" s="43"/>
      <c r="L17" s="47"/>
      <c r="M17" s="47"/>
      <c r="N17" s="47"/>
      <c r="O17" s="47"/>
      <c r="P17" s="43"/>
      <c r="Q17" s="43"/>
      <c r="R17" s="51"/>
      <c r="S17" s="24"/>
      <c r="T17" s="25"/>
      <c r="U17" s="25"/>
      <c r="V17" s="26"/>
      <c r="W17" s="15" t="str">
        <f t="shared" si="0"/>
        <v xml:space="preserve"> 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/>
      <c r="AJ17" s="8" t="s">
        <v>126</v>
      </c>
      <c r="AK17" s="4" t="str">
        <f>IF(LEN($AJ17) &gt;= 1, MID($AJ17, 1, 1), "")</f>
        <v>#</v>
      </c>
      <c r="AL17" s="4" t="str">
        <f>IF(LEN($AJ17) &gt;= 2, MID($AJ17, 2, 1), "")</f>
        <v>#</v>
      </c>
      <c r="AM17" s="4" t="str">
        <f>IF(LEN($AJ17) &gt;= 3, MID($AJ17, 3, 1), "")</f>
        <v>指</v>
      </c>
      <c r="AN17" s="4" t="str">
        <f>IF(LEN($AJ17) &gt;= 4, MID($AJ17, 4, 1), "")</f>
        <v>示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5"/>
    </row>
    <row r="18" spans="2:51" x14ac:dyDescent="0.4">
      <c r="B18" s="37"/>
      <c r="C18" s="38"/>
      <c r="D18" s="38"/>
      <c r="E18" s="39"/>
      <c r="F18" s="44"/>
      <c r="G18" s="45"/>
      <c r="H18" s="45"/>
      <c r="I18" s="45"/>
      <c r="J18" s="45"/>
      <c r="K18" s="45"/>
      <c r="L18" s="48"/>
      <c r="M18" s="48"/>
      <c r="N18" s="48"/>
      <c r="O18" s="48"/>
      <c r="P18" s="45"/>
      <c r="Q18" s="45"/>
      <c r="R18" s="52"/>
      <c r="S18" s="24"/>
      <c r="T18" s="25"/>
      <c r="U18" s="25"/>
      <c r="V18" s="26"/>
      <c r="W18" s="15" t="str">
        <f t="shared" si="0"/>
        <v xml:space="preserve"> 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6"/>
      <c r="AJ18" s="8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5"/>
    </row>
    <row r="19" spans="2:51" x14ac:dyDescent="0.4">
      <c r="B19" s="12" t="s">
        <v>55</v>
      </c>
      <c r="C19" s="13"/>
      <c r="D19" s="13"/>
      <c r="E19" s="14"/>
      <c r="F19" s="53" t="s">
        <v>243</v>
      </c>
      <c r="G19" s="53"/>
      <c r="H19" s="53"/>
      <c r="I19" s="53"/>
      <c r="J19" s="53"/>
      <c r="K19" s="53"/>
      <c r="L19" s="25" t="s">
        <v>63</v>
      </c>
      <c r="M19" s="25"/>
      <c r="N19" s="58" t="s">
        <v>244</v>
      </c>
      <c r="O19" s="58"/>
      <c r="P19" s="58"/>
      <c r="Q19" s="58"/>
      <c r="R19" s="59"/>
      <c r="S19" s="24"/>
      <c r="T19" s="25"/>
      <c r="U19" s="25"/>
      <c r="V19" s="26"/>
      <c r="W19" s="15" t="str">
        <f t="shared" si="0"/>
        <v xml:space="preserve"> 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6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5"/>
    </row>
    <row r="20" spans="2:51" x14ac:dyDescent="0.4">
      <c r="B20" s="12" t="s">
        <v>56</v>
      </c>
      <c r="C20" s="13"/>
      <c r="D20" s="13"/>
      <c r="E20" s="14"/>
      <c r="F20" s="15" t="s">
        <v>245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6"/>
      <c r="S20" s="24"/>
      <c r="T20" s="25"/>
      <c r="U20" s="25"/>
      <c r="V20" s="26"/>
      <c r="W20" s="15" t="str">
        <f t="shared" si="0"/>
        <v xml:space="preserve"> 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5"/>
    </row>
    <row r="21" spans="2:51" ht="7.5" customHeight="1" x14ac:dyDescent="0.4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</row>
    <row r="22" spans="2:51" x14ac:dyDescent="0.4"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 t="s">
        <v>250</v>
      </c>
      <c r="T22" s="55"/>
      <c r="U22" s="55"/>
      <c r="V22" s="55"/>
      <c r="W22" s="55"/>
      <c r="X22" s="60" t="s">
        <v>255</v>
      </c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</row>
    <row r="23" spans="2:51" x14ac:dyDescent="0.4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 t="s">
        <v>252</v>
      </c>
      <c r="T23" s="55"/>
      <c r="U23" s="55"/>
      <c r="V23" s="55"/>
      <c r="W23" s="55"/>
      <c r="X23" s="56" t="s">
        <v>258</v>
      </c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</row>
    <row r="24" spans="2:51" x14ac:dyDescent="0.4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 t="s">
        <v>254</v>
      </c>
      <c r="T24" s="55"/>
      <c r="U24" s="55"/>
      <c r="V24" s="55"/>
      <c r="W24" s="55"/>
      <c r="X24" s="57" t="str">
        <f>AJ8</f>
        <v>##指示.VA情報.造設日</v>
      </c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</row>
    <row r="25" spans="2:51" x14ac:dyDescent="0.4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62" t="s">
        <v>256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4"/>
    </row>
    <row r="26" spans="2:51" x14ac:dyDescent="0.4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65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7"/>
    </row>
    <row r="27" spans="2:51" x14ac:dyDescent="0.4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65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7"/>
    </row>
    <row r="28" spans="2:51" x14ac:dyDescent="0.4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65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7"/>
    </row>
    <row r="29" spans="2:51" x14ac:dyDescent="0.4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68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</row>
    <row r="30" spans="2:51" ht="3.75" customHeight="1" x14ac:dyDescent="0.4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24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6"/>
    </row>
    <row r="31" spans="2:51" x14ac:dyDescent="0.4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</row>
    <row r="32" spans="2:51" x14ac:dyDescent="0.4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50"/>
    </row>
    <row r="33" spans="2:35" x14ac:dyDescent="0.4">
      <c r="B33" s="76" t="s">
        <v>73</v>
      </c>
      <c r="C33" s="76"/>
      <c r="D33" s="76"/>
      <c r="E33" s="76"/>
      <c r="F33" s="76"/>
      <c r="G33" s="76"/>
      <c r="H33" s="76"/>
      <c r="I33" s="76"/>
      <c r="J33" s="55"/>
      <c r="K33" s="55"/>
      <c r="L33" s="55"/>
      <c r="M33" s="55"/>
      <c r="N33" s="55"/>
      <c r="O33" s="55"/>
      <c r="P33" s="55"/>
      <c r="Q33" s="55"/>
      <c r="R33" s="42"/>
      <c r="S33" s="4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51"/>
    </row>
    <row r="34" spans="2:35" x14ac:dyDescent="0.4">
      <c r="B34" s="61"/>
      <c r="C34" s="61"/>
      <c r="D34" s="61"/>
      <c r="E34" s="61"/>
      <c r="F34" s="61"/>
      <c r="G34" s="61"/>
      <c r="H34" s="61"/>
      <c r="I34" s="61"/>
      <c r="J34" s="77" t="s">
        <v>259</v>
      </c>
      <c r="K34" s="77"/>
      <c r="L34" s="55"/>
      <c r="M34" s="55"/>
      <c r="N34" s="55"/>
      <c r="O34" s="55"/>
      <c r="P34" s="55"/>
      <c r="Q34" s="55"/>
      <c r="R34" s="42"/>
      <c r="S34" s="42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51"/>
    </row>
    <row r="35" spans="2:35" x14ac:dyDescent="0.4">
      <c r="B35" s="60" t="s">
        <v>261</v>
      </c>
      <c r="C35" s="60"/>
      <c r="D35" s="60"/>
      <c r="E35" s="60"/>
      <c r="F35" s="60"/>
      <c r="G35" s="60"/>
      <c r="H35" s="60"/>
      <c r="I35" s="60"/>
      <c r="J35" s="71" t="s">
        <v>421</v>
      </c>
      <c r="K35" s="71"/>
      <c r="L35" s="55"/>
      <c r="M35" s="55"/>
      <c r="N35" s="55"/>
      <c r="O35" s="55"/>
      <c r="P35" s="55"/>
      <c r="Q35" s="55"/>
      <c r="R35" s="42"/>
      <c r="S35" s="42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51"/>
    </row>
    <row r="36" spans="2:35" x14ac:dyDescent="0.4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42"/>
      <c r="S36" s="4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51"/>
    </row>
    <row r="37" spans="2:35" x14ac:dyDescent="0.4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42"/>
      <c r="S37" s="42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51"/>
    </row>
    <row r="38" spans="2:35" x14ac:dyDescent="0.4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42"/>
      <c r="S38" s="42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51"/>
    </row>
    <row r="39" spans="2:35" x14ac:dyDescent="0.4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42"/>
      <c r="S39" s="42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51"/>
    </row>
    <row r="40" spans="2:35" ht="9" customHeight="1" x14ac:dyDescent="0.4"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42"/>
      <c r="S40" s="42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51"/>
    </row>
    <row r="41" spans="2:35" ht="9" customHeight="1" x14ac:dyDescent="0.4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10"/>
      <c r="S41" s="44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52"/>
    </row>
    <row r="42" spans="2:35" ht="6.95" customHeight="1" x14ac:dyDescent="0.4"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</row>
    <row r="43" spans="2:35" x14ac:dyDescent="0.4">
      <c r="B43" s="72" t="s">
        <v>77</v>
      </c>
      <c r="C43" s="72"/>
      <c r="D43" s="72"/>
      <c r="E43" s="75" t="s">
        <v>78</v>
      </c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11"/>
      <c r="S43" s="74" t="s">
        <v>76</v>
      </c>
      <c r="T43" s="74"/>
      <c r="U43" s="74"/>
      <c r="V43" s="74"/>
      <c r="W43" s="74"/>
      <c r="X43" s="74"/>
      <c r="Y43" s="74"/>
      <c r="Z43" s="74"/>
      <c r="AA43" s="74"/>
      <c r="AB43" s="74"/>
      <c r="AC43" s="72" t="s">
        <v>74</v>
      </c>
      <c r="AD43" s="72"/>
      <c r="AE43" s="73" t="s">
        <v>75</v>
      </c>
      <c r="AF43" s="73"/>
      <c r="AG43" s="73"/>
      <c r="AH43" s="73"/>
      <c r="AI43" s="73"/>
    </row>
  </sheetData>
  <mergeCells count="121">
    <mergeCell ref="AC43:AD43"/>
    <mergeCell ref="AE43:AI43"/>
    <mergeCell ref="S43:AB43"/>
    <mergeCell ref="B43:D43"/>
    <mergeCell ref="E43:Q43"/>
    <mergeCell ref="B40:Q40"/>
    <mergeCell ref="S32:AI41"/>
    <mergeCell ref="B32:R32"/>
    <mergeCell ref="R33:R40"/>
    <mergeCell ref="B41:Q42"/>
    <mergeCell ref="R42:AI42"/>
    <mergeCell ref="B39:I39"/>
    <mergeCell ref="J39:K39"/>
    <mergeCell ref="L39:M39"/>
    <mergeCell ref="N39:O39"/>
    <mergeCell ref="P39:Q39"/>
    <mergeCell ref="B33:I33"/>
    <mergeCell ref="J33:Q33"/>
    <mergeCell ref="J34:K34"/>
    <mergeCell ref="L34:M34"/>
    <mergeCell ref="N34:O34"/>
    <mergeCell ref="B35:I35"/>
    <mergeCell ref="B36:I36"/>
    <mergeCell ref="B37:I37"/>
    <mergeCell ref="B34:I34"/>
    <mergeCell ref="S25:AI29"/>
    <mergeCell ref="S30:AI30"/>
    <mergeCell ref="B38:I38"/>
    <mergeCell ref="J35:K35"/>
    <mergeCell ref="L35:M35"/>
    <mergeCell ref="N35:O35"/>
    <mergeCell ref="P35:Q35"/>
    <mergeCell ref="P34:Q34"/>
    <mergeCell ref="J38:K38"/>
    <mergeCell ref="L38:M38"/>
    <mergeCell ref="N38:O38"/>
    <mergeCell ref="P38:Q38"/>
    <mergeCell ref="J36:K36"/>
    <mergeCell ref="L36:M36"/>
    <mergeCell ref="N36:O36"/>
    <mergeCell ref="P36:Q36"/>
    <mergeCell ref="J37:K37"/>
    <mergeCell ref="L37:M37"/>
    <mergeCell ref="N37:O37"/>
    <mergeCell ref="P37:Q37"/>
    <mergeCell ref="S23:W23"/>
    <mergeCell ref="S24:W24"/>
    <mergeCell ref="X23:AI23"/>
    <mergeCell ref="X24:AI24"/>
    <mergeCell ref="B23:R31"/>
    <mergeCell ref="S31:AI31"/>
    <mergeCell ref="N19:R19"/>
    <mergeCell ref="B22:R22"/>
    <mergeCell ref="B21:AI21"/>
    <mergeCell ref="S22:W22"/>
    <mergeCell ref="X22:AI22"/>
    <mergeCell ref="B19:E19"/>
    <mergeCell ref="B20:E20"/>
    <mergeCell ref="W13:AI13"/>
    <mergeCell ref="W14:AI14"/>
    <mergeCell ref="W15:AI15"/>
    <mergeCell ref="F12:N12"/>
    <mergeCell ref="F13:R13"/>
    <mergeCell ref="F14:K14"/>
    <mergeCell ref="L15:R15"/>
    <mergeCell ref="F15:K15"/>
    <mergeCell ref="F11:M11"/>
    <mergeCell ref="Q11:R11"/>
    <mergeCell ref="F10:H10"/>
    <mergeCell ref="I10:J10"/>
    <mergeCell ref="K10:R10"/>
    <mergeCell ref="W18:AI18"/>
    <mergeCell ref="B16:E18"/>
    <mergeCell ref="F16:K18"/>
    <mergeCell ref="L16:O18"/>
    <mergeCell ref="W10:AI10"/>
    <mergeCell ref="W11:AI11"/>
    <mergeCell ref="S8:V14"/>
    <mergeCell ref="S15:V20"/>
    <mergeCell ref="N11:P11"/>
    <mergeCell ref="W16:AI16"/>
    <mergeCell ref="W17:AI17"/>
    <mergeCell ref="W19:AI19"/>
    <mergeCell ref="W20:AI20"/>
    <mergeCell ref="O12:R12"/>
    <mergeCell ref="L14:R14"/>
    <mergeCell ref="W9:AI9"/>
    <mergeCell ref="P16:R18"/>
    <mergeCell ref="F20:R20"/>
    <mergeCell ref="F19:K19"/>
    <mergeCell ref="L19:M19"/>
    <mergeCell ref="W12:AI12"/>
    <mergeCell ref="F5:AI5"/>
    <mergeCell ref="F6:R6"/>
    <mergeCell ref="F7:R7"/>
    <mergeCell ref="F8:R8"/>
    <mergeCell ref="W7:AI7"/>
    <mergeCell ref="W8:AI8"/>
    <mergeCell ref="F9:R9"/>
    <mergeCell ref="B1:N2"/>
    <mergeCell ref="B3:E4"/>
    <mergeCell ref="F4:R4"/>
    <mergeCell ref="F3:R3"/>
    <mergeCell ref="S3:V3"/>
    <mergeCell ref="S4:V4"/>
    <mergeCell ref="S6:V6"/>
    <mergeCell ref="S7:V7"/>
    <mergeCell ref="W3:AI3"/>
    <mergeCell ref="W4:AI4"/>
    <mergeCell ref="W6:AI6"/>
    <mergeCell ref="B12:E12"/>
    <mergeCell ref="B13:E13"/>
    <mergeCell ref="B14:E14"/>
    <mergeCell ref="B15:E15"/>
    <mergeCell ref="B5:E5"/>
    <mergeCell ref="B6:E6"/>
    <mergeCell ref="B7:E7"/>
    <mergeCell ref="B8:E8"/>
    <mergeCell ref="B9:E9"/>
    <mergeCell ref="B10:E10"/>
    <mergeCell ref="B11:E11"/>
  </mergeCells>
  <phoneticPr fontId="1"/>
  <pageMargins left="0.7" right="0.7" top="0.75" bottom="0.75" header="0.3" footer="0.3"/>
  <pageSetup paperSize="9" scale="9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77C6FFEF-5D4A-475E-A2CD-72D1F0B5F56C}"/>
</file>

<file path=customXml/itemProps2.xml><?xml version="1.0" encoding="utf-8"?>
<ds:datastoreItem xmlns:ds="http://schemas.openxmlformats.org/officeDocument/2006/customXml" ds:itemID="{88D009A8-F608-4AE6-88C1-97A2A437AE84}"/>
</file>

<file path=customXml/itemProps3.xml><?xml version="1.0" encoding="utf-8"?>
<ds:datastoreItem xmlns:ds="http://schemas.openxmlformats.org/officeDocument/2006/customXml" ds:itemID="{5E17EF55-16E1-4C95-A44C-86E66B621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2025-10-21T01:40:25Z</cp:lastPrinted>
  <dcterms:created xsi:type="dcterms:W3CDTF">2025-06-23T05:27:19Z</dcterms:created>
  <dcterms:modified xsi:type="dcterms:W3CDTF">2025-10-21T01:44:00Z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