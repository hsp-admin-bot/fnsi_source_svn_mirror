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LayoutDesigner\Work\"/>
    </mc:Choice>
  </mc:AlternateContent>
  <xr:revisionPtr revIDLastSave="0" documentId="8_{9DAF82B8-9606-45FE-8A78-BE1810F9B708}" xr6:coauthVersionLast="47" xr6:coauthVersionMax="47" xr10:uidLastSave="{00000000-0000-0000-0000-000000000000}"/>
  <bookViews>
    <workbookView xWindow="4485" yWindow="1170" windowWidth="19845" windowHeight="16110" firstSheet="4" activeTab="4" xr2:uid="{615589C3-E8D6-4991-978C-D65127055A15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レイアウト!$A$1:$AL$60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2" l="1"/>
  <c r="N13" i="2"/>
  <c r="F28" i="2"/>
  <c r="F29" i="2"/>
  <c r="F30" i="2"/>
  <c r="AK18" i="2"/>
  <c r="AJ18" i="2"/>
  <c r="AI18" i="2"/>
  <c r="AH18" i="2"/>
  <c r="AG18" i="2"/>
  <c r="F18" i="2" l="1" a="1"/>
  <c r="F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<sst xmlns="http://schemas.openxmlformats.org/spreadsheetml/2006/main" count="4249" uniqueCount="832">
  <si>
    <t>ReferralLetter</t>
  </si>
  <si>
    <t/>
  </si>
  <si>
    <t>0</t>
  </si>
  <si>
    <t>255100</t>
  </si>
  <si>
    <t>2025/05/01 15:00:57</t>
  </si>
  <si>
    <t>帳票設定</t>
  </si>
  <si>
    <t xml:space="preserve">有り_x000D_
</t>
  </si>
  <si>
    <t>透析条件紹介状</t>
    <rPh sb="0" eb="4">
      <t>トウセキジョウケン</t>
    </rPh>
    <rPh sb="4" eb="7">
      <t>ショウカイジョウ</t>
    </rPh>
    <phoneticPr fontId="1"/>
  </si>
  <si>
    <t>御中</t>
    <rPh sb="0" eb="2">
      <t>オンチュウ</t>
    </rPh>
    <phoneticPr fontId="1"/>
  </si>
  <si>
    <t>##紹介状.登録情報.転入出先名</t>
  </si>
  <si>
    <t>ID</t>
    <phoneticPr fontId="1"/>
  </si>
  <si>
    <t>氏名</t>
    <rPh sb="0" eb="2">
      <t>シメイ</t>
    </rPh>
    <phoneticPr fontId="1"/>
  </si>
  <si>
    <t>電話番号</t>
    <rPh sb="0" eb="4">
      <t>デンワバンゴウ</t>
    </rPh>
    <phoneticPr fontId="1"/>
  </si>
  <si>
    <t>生年月日</t>
    <rPh sb="0" eb="4">
      <t>セイネンガッピ</t>
    </rPh>
    <phoneticPr fontId="1"/>
  </si>
  <si>
    <t>血液型</t>
    <rPh sb="0" eb="2">
      <t>ケツエキ</t>
    </rPh>
    <rPh sb="2" eb="3">
      <t>ガタ</t>
    </rPh>
    <phoneticPr fontId="1"/>
  </si>
  <si>
    <t>住所</t>
    <rPh sb="0" eb="2">
      <t>ジュウショ</t>
    </rPh>
    <phoneticPr fontId="1"/>
  </si>
  <si>
    <t>治療方法</t>
    <rPh sb="0" eb="4">
      <t>チリョウホウホウ</t>
    </rPh>
    <phoneticPr fontId="1"/>
  </si>
  <si>
    <t>透析期間</t>
    <rPh sb="0" eb="2">
      <t>トウセキ</t>
    </rPh>
    <rPh sb="2" eb="4">
      <t>キカン</t>
    </rPh>
    <phoneticPr fontId="1"/>
  </si>
  <si>
    <t>透析日</t>
    <rPh sb="0" eb="3">
      <t>トウセキビ</t>
    </rPh>
    <phoneticPr fontId="1"/>
  </si>
  <si>
    <t>透析時間</t>
    <rPh sb="0" eb="4">
      <t>トウセキジカン</t>
    </rPh>
    <phoneticPr fontId="1"/>
  </si>
  <si>
    <t>透析導入</t>
    <rPh sb="0" eb="4">
      <t>トウセキドウニュウ</t>
    </rPh>
    <phoneticPr fontId="1"/>
  </si>
  <si>
    <t>導入施設</t>
    <rPh sb="0" eb="4">
      <t>ドウニュウシセツ</t>
    </rPh>
    <phoneticPr fontId="1"/>
  </si>
  <si>
    <t>ダイアライザ</t>
    <phoneticPr fontId="1"/>
  </si>
  <si>
    <t>穿刺針A針</t>
    <rPh sb="0" eb="1">
      <t>ウガ</t>
    </rPh>
    <rPh sb="1" eb="2">
      <t>サ</t>
    </rPh>
    <rPh sb="2" eb="3">
      <t>ハリ</t>
    </rPh>
    <rPh sb="4" eb="5">
      <t>ハリ</t>
    </rPh>
    <phoneticPr fontId="1"/>
  </si>
  <si>
    <t>穿刺針V針</t>
    <phoneticPr fontId="1"/>
  </si>
  <si>
    <t>DW</t>
    <phoneticPr fontId="1"/>
  </si>
  <si>
    <t>CTR</t>
    <phoneticPr fontId="1"/>
  </si>
  <si>
    <t>CTR測定時体重</t>
    <rPh sb="3" eb="6">
      <t>ソクテイジ</t>
    </rPh>
    <rPh sb="6" eb="8">
      <t>タイジュウ</t>
    </rPh>
    <phoneticPr fontId="1"/>
  </si>
  <si>
    <t>血流量</t>
    <rPh sb="0" eb="3">
      <t>ケツリュウリョウ</t>
    </rPh>
    <phoneticPr fontId="1"/>
  </si>
  <si>
    <t>腹膜積</t>
    <rPh sb="0" eb="2">
      <t>フクマク</t>
    </rPh>
    <rPh sb="2" eb="3">
      <t>セキ</t>
    </rPh>
    <phoneticPr fontId="1"/>
  </si>
  <si>
    <t>抗凝固剤</t>
    <rPh sb="0" eb="1">
      <t>コウ</t>
    </rPh>
    <rPh sb="1" eb="4">
      <t>ギョウコザイ</t>
    </rPh>
    <phoneticPr fontId="1"/>
  </si>
  <si>
    <t>ワンショット</t>
    <phoneticPr fontId="1"/>
  </si>
  <si>
    <t>持続速度</t>
    <rPh sb="0" eb="4">
      <t>ジゾクソクド</t>
    </rPh>
    <phoneticPr fontId="1"/>
  </si>
  <si>
    <t>持続総量</t>
    <rPh sb="0" eb="4">
      <t>ジゾクソウリョウ</t>
    </rPh>
    <phoneticPr fontId="1"/>
  </si>
  <si>
    <t>造設日</t>
    <rPh sb="0" eb="1">
      <t>ゾウ</t>
    </rPh>
    <rPh sb="1" eb="2">
      <t>セツ</t>
    </rPh>
    <rPh sb="2" eb="3">
      <t>ニチ</t>
    </rPh>
    <phoneticPr fontId="1"/>
  </si>
  <si>
    <t>シャント位置</t>
    <rPh sb="4" eb="6">
      <t>イチ</t>
    </rPh>
    <phoneticPr fontId="1"/>
  </si>
  <si>
    <t>VA</t>
    <phoneticPr fontId="1"/>
  </si>
  <si>
    <t>除水速度制限</t>
    <rPh sb="0" eb="6">
      <t>ジョスイソクドセイゲン</t>
    </rPh>
    <phoneticPr fontId="1"/>
  </si>
  <si>
    <t>原疾患</t>
    <rPh sb="0" eb="3">
      <t>ゲンシッカン</t>
    </rPh>
    <phoneticPr fontId="1"/>
  </si>
  <si>
    <t>感染症</t>
    <rPh sb="0" eb="3">
      <t>カンセンショウ</t>
    </rPh>
    <phoneticPr fontId="1"/>
  </si>
  <si>
    <t>穿刺部位写真</t>
    <rPh sb="0" eb="1">
      <t>ウガ</t>
    </rPh>
    <rPh sb="1" eb="2">
      <t>サ</t>
    </rPh>
    <rPh sb="2" eb="4">
      <t>ブイ</t>
    </rPh>
    <rPh sb="4" eb="6">
      <t>シャシン</t>
    </rPh>
    <phoneticPr fontId="1"/>
  </si>
  <si>
    <t>特記事項</t>
    <rPh sb="0" eb="4">
      <t>トッキジコウ</t>
    </rPh>
    <phoneticPr fontId="1"/>
  </si>
  <si>
    <t>作成者：</t>
    <rPh sb="0" eb="2">
      <t>サクセイ</t>
    </rPh>
    <rPh sb="2" eb="3">
      <t>シャ</t>
    </rPh>
    <phoneticPr fontId="1"/>
  </si>
  <si>
    <t>作成日：</t>
    <rPh sb="0" eb="3">
      <t>サクセイビ</t>
    </rPh>
    <phoneticPr fontId="1"/>
  </si>
  <si>
    <t>TEL</t>
    <phoneticPr fontId="1"/>
  </si>
  <si>
    <t>内服薬、検査結果は、別紙参照願います。</t>
    <rPh sb="0" eb="2">
      <t>ナイフク</t>
    </rPh>
    <rPh sb="2" eb="3">
      <t>ヤク</t>
    </rPh>
    <rPh sb="4" eb="8">
      <t>ケンサケッカ</t>
    </rPh>
    <rPh sb="10" eb="14">
      <t>ベッシサンショウ</t>
    </rPh>
    <rPh sb="14" eb="15">
      <t>ネガ</t>
    </rPh>
    <phoneticPr fontId="1"/>
  </si>
  <si>
    <t>1</t>
  </si>
  <si>
    <t>N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</si>
  <si>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</si>
  <si>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</si>
  <si>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</si>
  <si>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</si>
  <si>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</si>
  <si>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</si>
  <si>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</si>
  <si>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</si>
  <si>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</si>
  <si>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</si>
  <si>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</si>
  <si>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</si>
  <si>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</si>
  <si>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</si>
  <si>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</si>
  <si>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</si>
  <si>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</si>
  <si>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</si>
  <si>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</si>
  <si>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</si>
  <si>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</si>
  <si>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</si>
  <si>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</si>
  <si>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</si>
  <si>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</si>
  <si>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</si>
  <si>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</si>
  <si>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紹介状</t>
  </si>
  <si>
    <t>登録情報</t>
  </si>
  <si>
    <t>転入出先名</t>
  </si>
  <si>
    <t>233</t>
  </si>
  <si>
    <t>medical_institution_name</t>
  </si>
  <si>
    <t>string</t>
  </si>
  <si>
    <t>北海道銀行医務室</t>
  </si>
  <si>
    <t>G/標準</t>
  </si>
  <si>
    <t>True</t>
  </si>
  <si>
    <t>B9</t>
  </si>
  <si>
    <t>4</t>
  </si>
  <si>
    <t>紹介状.登録情報</t>
  </si>
  <si>
    <t>False</t>
  </si>
  <si>
    <t>2025/05/01 15:49:24</t>
  </si>
  <si>
    <t xml:space="preserve">新規追加_x000D_
表示文字数:4_x000D_
改頁しない_x000D_
繰返場所:B9_x000D_
グループ名:紹介状.登録情報_x000D_
プレビューデータ:北海道銀行医務室_x000D_
書式:G/標準_x000D_
縮小しない_x000D_
テンプレート内外:_x000D_
</t>
  </si>
  <si>
    <t>GroupPath</t>
  </si>
  <si>
    <t>RepeatCount</t>
  </si>
  <si>
    <t>紹介状.登録情報.紹介状.登録情報.B9</t>
  </si>
  <si>
    <t>グループ</t>
  </si>
  <si>
    <t xml:space="preserve">改頁しない_x000D_
</t>
  </si>
  <si>
    <t>2025/05/01 15:49:25</t>
  </si>
  <si>
    <t>集計設定</t>
  </si>
  <si>
    <t xml:space="preserve">縦の合計: ⇒ 0_x000D_
横の合計: ⇒ 0_x000D_
</t>
  </si>
  <si>
    <t>##患者情報.本人情報.患者ID</t>
  </si>
  <si>
    <t>##患者情報.本人情報.フリガナ</t>
  </si>
  <si>
    <t>##患者情報.本人情報.患者名</t>
  </si>
  <si>
    <t>##患者情報.本人情報.性別</t>
  </si>
  <si>
    <t>##患者情報.本人情報.電話番号1</t>
  </si>
  <si>
    <t>##患者情報.本人情報.血液型ABORH</t>
  </si>
  <si>
    <t>##患者情報.本人情報.生年月日</t>
  </si>
  <si>
    <t>##患者情報.本人情報.住所</t>
  </si>
  <si>
    <t>##指示.透析条件.治療方法</t>
  </si>
  <si>
    <t>##指示.透析パターン.透析パターン曜日</t>
  </si>
  <si>
    <t>##=[##指示.透析条件.透析時間(分)]/60</t>
  </si>
  <si>
    <t>##指示.透析条件.ダイアライザ</t>
  </si>
  <si>
    <t>##指示.透析条件.穿刺針A針名称</t>
  </si>
  <si>
    <t>##指示.透析条件.穿刺針V針名称</t>
  </si>
  <si>
    <t>##患者情報.身体情報(降順).DW</t>
  </si>
  <si>
    <t>B8:N9</t>
  </si>
  <si>
    <t>2</t>
  </si>
  <si>
    <t>患者情報</t>
  </si>
  <si>
    <t>本人情報</t>
  </si>
  <si>
    <t>患者ID</t>
  </si>
  <si>
    <t>hosp_pat_id</t>
  </si>
  <si>
    <t>123456789012</t>
  </si>
  <si>
    <t>AA10:AE10</t>
  </si>
  <si>
    <t>フリガナ</t>
  </si>
  <si>
    <t>pat_name_kana</t>
  </si>
  <si>
    <t>ニッキソウ　タロウ</t>
  </si>
  <si>
    <t>45</t>
  </si>
  <si>
    <t>F12:O12</t>
  </si>
  <si>
    <t>性別</t>
  </si>
  <si>
    <t>pat_sex</t>
  </si>
  <si>
    <t>男性</t>
  </si>
  <si>
    <t>AG12</t>
  </si>
  <si>
    <t>患者名</t>
  </si>
  <si>
    <t>pat_name</t>
  </si>
  <si>
    <t>日機装　太郎</t>
  </si>
  <si>
    <t>F13:O13</t>
  </si>
  <si>
    <t>電話番号1</t>
  </si>
  <si>
    <t>pat_tel1</t>
  </si>
  <si>
    <t>03-1234-5678</t>
  </si>
  <si>
    <t>U13:AE13</t>
  </si>
  <si>
    <t>生年月日</t>
  </si>
  <si>
    <t>pat_birthday</t>
  </si>
  <si>
    <t>DateTime</t>
  </si>
  <si>
    <t>yyyy/mm/dd</t>
  </si>
  <si>
    <t>F14:R14</t>
  </si>
  <si>
    <t>血液型ABORH</t>
  </si>
  <si>
    <t>pat_blood_type_abo_rh</t>
  </si>
  <si>
    <t>A型 Rh-</t>
  </si>
  <si>
    <t>U14:AE14</t>
  </si>
  <si>
    <t>住所</t>
  </si>
  <si>
    <t>pat_address</t>
  </si>
  <si>
    <t>東京都渋谷区恵比寿3-43-2 日機装第１別館１F</t>
  </si>
  <si>
    <t>F15:AE15</t>
  </si>
  <si>
    <t>指示</t>
  </si>
  <si>
    <t>透析条件</t>
  </si>
  <si>
    <t>治療方法</t>
  </si>
  <si>
    <t>5</t>
  </si>
  <si>
    <t>treatment_name</t>
  </si>
  <si>
    <t>HDF</t>
  </si>
  <si>
    <t>F18:P18</t>
  </si>
  <si>
    <t>透析パターン</t>
  </si>
  <si>
    <t>透析パターン曜日</t>
  </si>
  <si>
    <t>202</t>
  </si>
  <si>
    <t>treat_week</t>
  </si>
  <si>
    <t>月</t>
  </si>
  <si>
    <t>F19:P19</t>
  </si>
  <si>
    <t>decimal</t>
  </si>
  <si>
    <t>7</t>
  </si>
  <si>
    <t>AG20</t>
  </si>
  <si>
    <t>ダイアライザ</t>
  </si>
  <si>
    <t>dialyzer</t>
  </si>
  <si>
    <t>FDX-120GW</t>
  </si>
  <si>
    <t>F21:P21</t>
  </si>
  <si>
    <t>穿刺針A針名称</t>
  </si>
  <si>
    <t>puncture_needle_a_name</t>
  </si>
  <si>
    <t>穿刺針A針</t>
  </si>
  <si>
    <t>F22:P22</t>
  </si>
  <si>
    <t>穿刺針V針名称</t>
  </si>
  <si>
    <t>puncture_needle_v_name</t>
  </si>
  <si>
    <t>穿刺針V針</t>
  </si>
  <si>
    <t>F23:P23</t>
  </si>
  <si>
    <t>身体情報(降順)</t>
  </si>
  <si>
    <t>DW</t>
  </si>
  <si>
    <t>39</t>
  </si>
  <si>
    <t>dw</t>
  </si>
  <si>
    <t>55.00</t>
  </si>
  <si>
    <t>0.00</t>
  </si>
  <si>
    <t>AG24</t>
  </si>
  <si>
    <t>患者情報.身体情報(降順)</t>
  </si>
  <si>
    <t>2025/05/01 16:28:58</t>
  </si>
  <si>
    <t xml:space="preserve">新規追加_x000D_
表示文字数:59_x000D_
改頁しない_x000D_
繰返場所:B8:N9_x000D_
グループ名:紹介状.登録情報_x000D_
プレビューデータ:北海道銀行医務室_x000D_
書式:G/標準_x000D_
縮小しない_x000D_
テンプレート内外:_x000D_
</t>
  </si>
  <si>
    <t xml:space="preserve">新規追加_x000D_
表示文字数:22_x000D_
改頁しない_x000D_
プレビューデータ:123456789012_x000D_
書式:G/標準_x000D_
縮小しない_x000D_
テンプレート内外:_x000D_
</t>
  </si>
  <si>
    <t xml:space="preserve">新規追加_x000D_
表示文字数:45_x000D_
改頁しない_x000D_
プレビューデータ:ニッキソウ　タロウ_x000D_
書式:G/標準_x000D_
縮小しない_x000D_
テンプレート内外:_x000D_
</t>
  </si>
  <si>
    <t xml:space="preserve">新規追加_x000D_
表示文字数:4_x000D_
改頁しない_x000D_
プレビューデータ:男性_x000D_
書式:G/標準_x000D_
データ変換:&lt;convTable cls=""&gt;&lt;conv code="0" item="不明" disp="不明" /&gt;&lt;conv code="1" item="男性" disp="男" /&gt;&lt;conv code="2" item="女性" disp="女" /&gt;&lt;/convTable&gt;_x000D_
縮小しない_x000D_
テンプレート内外:_x000D_
</t>
  </si>
  <si>
    <t xml:space="preserve">新規追加_x000D_
表示文字数:45_x000D_
改頁しない_x000D_
プレビューデータ:日機装　太郎_x000D_
書式:G/標準_x000D_
縮小しない_x000D_
テンプレート内外:_x000D_
</t>
  </si>
  <si>
    <t xml:space="preserve">新規追加_x000D_
表示文字数:50_x000D_
改頁しない_x000D_
プレビューデータ:03-1234-5678_x000D_
書式:G/標準_x000D_
縮小しない_x000D_
テンプレート内外:_x000D_
</t>
  </si>
  <si>
    <t xml:space="preserve">新規追加_x000D_
改頁しない_x000D_
プレビューデータ:1945/01/01_x000D_
書式:yyyy/mm/dd_x000D_
縮小しない_x000D_
テンプレート内外:_x000D_
</t>
  </si>
  <si>
    <t xml:space="preserve">新規追加_x000D_
表示文字数:50_x000D_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</si>
  <si>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表示文字数:120_x000D_
改頁しない_x000D_
プレビューデータ:東京都渋谷区恵比寿3-43-2 日機装第１別館１F_x000D_
書式:G/標準_x000D_
縮小しない_x000D_
テンプレート内外:_x000D_
</t>
  </si>
  <si>
    <t xml:space="preserve">新規追加_x000D_
表示文字数:50_x000D_
改頁しない_x000D_
プレビューデータ:HDF_x000D_
書式:G/標準_x000D_
縮小しない_x000D_
テンプレート内外:_x000D_
</t>
  </si>
  <si>
    <t xml:space="preserve">新規追加_x000D_
表示文字数:50_x000D_
改頁しない_x000D_
プレビューデータ:月_x000D_
書式:G/標準_x000D_
縮小しない_x000D_
テンプレート内外:_x000D_
</t>
  </si>
  <si>
    <t xml:space="preserve">新規追加_x000D_
改頁しない_x000D_
プレビューデータ:7_x000D_
書式:G/標準_x000D_
縮小しない_x000D_
テンプレート内外:_x000D_
</t>
  </si>
  <si>
    <t xml:space="preserve">新規追加_x000D_
表示文字数:50_x000D_
改頁しない_x000D_
プレビューデータ:FDX-120GW_x000D_
書式:G/標準_x000D_
縮小しない_x000D_
テンプレート内外:_x000D_
</t>
  </si>
  <si>
    <t xml:space="preserve">新規追加_x000D_
表示文字数:50_x000D_
改頁しない_x000D_
プレビューデータ:穿刺針A針_x000D_
書式:G/標準_x000D_
縮小しない_x000D_
テンプレート内外:_x000D_
</t>
  </si>
  <si>
    <t xml:space="preserve">新規追加_x000D_
表示文字数:50_x000D_
改頁しない_x000D_
プレビューデータ:穿刺針V針_x000D_
書式:G/標準_x000D_
縮小しない_x000D_
テンプレート内外:_x000D_
</t>
  </si>
  <si>
    <t xml:space="preserve">新規追加_x000D_
改頁しない_x000D_
繰返場所:AG24_x000D_
グループ名:患者情報.身体情報(降順)_x000D_
プレビューデータ:55.00_x000D_
書式:0.00_x000D_
縮小しない_x000D_
テンプレート内外:_x000D_
</t>
  </si>
  <si>
    <t>削除</t>
  </si>
  <si>
    <t>紹介状.登録情報.紹介状.登録情報.B8:N9</t>
  </si>
  <si>
    <t>患者情報.身体情報(降順).患者情報.身体情報(降順).AG24</t>
  </si>
  <si>
    <t>19174</t>
  </si>
  <si>
    <t>2025/05/01 16:28:59</t>
  </si>
  <si>
    <t>定期日常点検・交換部品記録簿設定</t>
  </si>
  <si>
    <t xml:space="preserve">帳票区分:1 ⇒ _x000D_
</t>
  </si>
  <si>
    <t>##患者情報.身体情報(降順).CTR</t>
  </si>
  <si>
    <t>##患者情報.身体情報(降順).検査日時</t>
  </si>
  <si>
    <t>##患者情報.身体情報(降順).検査時体重</t>
  </si>
  <si>
    <t>##=[##指示.透析条件.透析時間(分)]/60</t>
    <phoneticPr fontId="1"/>
  </si>
  <si>
    <t>時間</t>
    <rPh sb="0" eb="2">
      <t>ジカン</t>
    </rPh>
    <phoneticPr fontId="1"/>
  </si>
  <si>
    <t>##患者情報.身体情報(降順).DW</t>
    <phoneticPr fontId="1"/>
  </si>
  <si>
    <t>Kg</t>
    <phoneticPr fontId="1"/>
  </si>
  <si>
    <t>##患者情報.身体情報(降順).CTR</t>
    <phoneticPr fontId="1"/>
  </si>
  <si>
    <t>##患者情報.身体情報(降順).検査日時</t>
    <phoneticPr fontId="1"/>
  </si>
  <si>
    <t>##患者情報.身体情報(降順).検査時体重</t>
    <phoneticPr fontId="1"/>
  </si>
  <si>
    <t>##患者情報.診療情報.透析歴</t>
  </si>
  <si>
    <t>##患者情報.診療情報.透析導入日</t>
  </si>
  <si>
    <t>##患者情報.診療情報.透析導入施設</t>
  </si>
  <si>
    <t>ml/min</t>
    <phoneticPr fontId="1"/>
  </si>
  <si>
    <t>##指示.透析条件.血流量</t>
  </si>
  <si>
    <t>##指示.透析条件.1次膜</t>
  </si>
  <si>
    <t>㎡</t>
    <phoneticPr fontId="1"/>
  </si>
  <si>
    <t>##指示.透析条件.抗凝固剤</t>
  </si>
  <si>
    <t>##指示.透析条件.抗凝固剤ワンショット量</t>
  </si>
  <si>
    <t>##指示.透析条件.抗凝固剤単位</t>
  </si>
  <si>
    <t>##指示.透析条件.抗凝固剤持続速度</t>
  </si>
  <si>
    <t>##指示.透析条件.抗凝固剤持続速度単位</t>
  </si>
  <si>
    <t>##指示.透析条件.抗凝固剤持続総量</t>
  </si>
  <si>
    <t>##指示.VA情報.造設日</t>
  </si>
  <si>
    <t>##指示.ベッド情報.シャント位置</t>
  </si>
  <si>
    <t>##指示.装置設定.除水速度制限</t>
  </si>
  <si>
    <t>##指示.透析条件.VA</t>
  </si>
  <si>
    <t>##患者情報.原疾患.病名</t>
  </si>
  <si>
    <t>##患者情報.感染症(+)(-)(不明).感染症</t>
  </si>
  <si>
    <t>診療情報</t>
  </si>
  <si>
    <t>透析歴</t>
  </si>
  <si>
    <t>19</t>
  </si>
  <si>
    <t>dialysis_vintage</t>
  </si>
  <si>
    <t>11年3ケ月</t>
  </si>
  <si>
    <t>U18:AE18</t>
  </si>
  <si>
    <t>透析導入日</t>
  </si>
  <si>
    <t>dialysis_start_date</t>
  </si>
  <si>
    <t>U19:AE19</t>
  </si>
  <si>
    <t>F20:K20</t>
  </si>
  <si>
    <t>透析導入施設</t>
  </si>
  <si>
    <t>facility_name</t>
  </si>
  <si>
    <t>日機装病院</t>
  </si>
  <si>
    <t>U20:AE20</t>
  </si>
  <si>
    <t>血流量</t>
  </si>
  <si>
    <t>blood_flow</t>
  </si>
  <si>
    <t>180</t>
  </si>
  <si>
    <t>U23:Z23</t>
  </si>
  <si>
    <t>F24:K24</t>
  </si>
  <si>
    <t>U24:Z24</t>
  </si>
  <si>
    <t>CTR</t>
  </si>
  <si>
    <t>ctr</t>
  </si>
  <si>
    <t>35.05</t>
  </si>
  <si>
    <t>F25:J25</t>
  </si>
  <si>
    <t>検査日時</t>
  </si>
  <si>
    <t>exam_date</t>
  </si>
  <si>
    <t>L25:P25</t>
  </si>
  <si>
    <t>抗凝固剤</t>
  </si>
  <si>
    <t>anti_coagulant_name</t>
  </si>
  <si>
    <t>1234567</t>
  </si>
  <si>
    <t>U25:AE25</t>
  </si>
  <si>
    <t>検査時体重</t>
  </si>
  <si>
    <t>ctr_weight</t>
  </si>
  <si>
    <t>58.12</t>
  </si>
  <si>
    <t>F26:K26</t>
  </si>
  <si>
    <t>抗凝固剤ワンショット量</t>
  </si>
  <si>
    <t>anti_coagulant_one_shot_amount</t>
  </si>
  <si>
    <t>1000</t>
  </si>
  <si>
    <t>U26:Z26</t>
  </si>
  <si>
    <t>抗凝固剤単位</t>
  </si>
  <si>
    <t>anti_coagulant_sustained_amount_unit</t>
  </si>
  <si>
    <t>U</t>
  </si>
  <si>
    <t>AA26:AE26</t>
  </si>
  <si>
    <t>抗凝固剤持続速度</t>
  </si>
  <si>
    <t>anti_coagulant_sustained_speed</t>
  </si>
  <si>
    <t>500</t>
  </si>
  <si>
    <t>U27:Z27</t>
  </si>
  <si>
    <t>抗凝固剤持続速度単位</t>
  </si>
  <si>
    <t>anti_coagulant_sustained_speed_unit</t>
  </si>
  <si>
    <t>U/h</t>
  </si>
  <si>
    <t>AA27:AE27</t>
  </si>
  <si>
    <t>抗凝固剤持続総量</t>
  </si>
  <si>
    <t>anti_coagulant_sustained_amount</t>
  </si>
  <si>
    <t>2000</t>
  </si>
  <si>
    <t>U28:Z28</t>
  </si>
  <si>
    <t>AA28:AE28</t>
  </si>
  <si>
    <t>原疾患</t>
  </si>
  <si>
    <t>病名</t>
  </si>
  <si>
    <t>26</t>
  </si>
  <si>
    <t>disease_name</t>
  </si>
  <si>
    <t>慢性糸球体腎炎</t>
  </si>
  <si>
    <t>F29:Q29</t>
  </si>
  <si>
    <t>VA情報</t>
  </si>
  <si>
    <t>造設日</t>
  </si>
  <si>
    <t>208</t>
  </si>
  <si>
    <t>make_start_date</t>
  </si>
  <si>
    <t>U29:AE29</t>
  </si>
  <si>
    <t>感染症(+)(-)(不明)</t>
  </si>
  <si>
    <t>感染症</t>
  </si>
  <si>
    <t>25</t>
  </si>
  <si>
    <t>infection_name</t>
  </si>
  <si>
    <t>Hbc抗体</t>
  </si>
  <si>
    <t>F30:Q30</t>
  </si>
  <si>
    <t>患者情報.感染症(+)(-)(不明)</t>
  </si>
  <si>
    <t>ベッド情報</t>
  </si>
  <si>
    <t>シャント位置</t>
  </si>
  <si>
    <t>shunt_position</t>
  </si>
  <si>
    <t>左</t>
  </si>
  <si>
    <t>U30:AE30</t>
  </si>
  <si>
    <t>VA</t>
  </si>
  <si>
    <t>va_name</t>
  </si>
  <si>
    <t>左手前腕内シャント化静脈</t>
  </si>
  <si>
    <t>U31:AE31</t>
  </si>
  <si>
    <t>U32:AE32</t>
  </si>
  <si>
    <t>2025/05/01 17:05:17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</si>
  <si>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</si>
  <si>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新規追加_x000D_
表示文字数:50_x000D_
改頁しない_x000D_
プレビューデータ:11年3ケ月_x000D_
書式:G/標準_x000D_
縮小しない_x000D_
テンプレート内外:_x000D_
</t>
  </si>
  <si>
    <t xml:space="preserve">新規追加_x000D_
改頁しない_x000D_
プレビューデータ:2000/02/10_x000D_
書式:yyyy/mm/dd_x000D_
縮小しない_x000D_
テンプレート内外:_x000D_
</t>
  </si>
  <si>
    <t xml:space="preserve">新規追加_x000D_
改頁しない_x000D_
プレビューデータ:7_x000D_
書式:0_x000D_
縮小しない_x000D_
テンプレート内外:_x000D_
</t>
  </si>
  <si>
    <t xml:space="preserve">新規追加_x000D_
表示文字数:50_x000D_
改頁しない_x000D_
プレビューデータ:日機装病院_x000D_
書式:G/標準_x000D_
縮小しない_x000D_
テンプレート内外:_x000D_
</t>
  </si>
  <si>
    <t xml:space="preserve">新規追加_x000D_
改頁しない_x000D_
プレビューデータ:180_x000D_
書式:0_x000D_
縮小しない_x000D_
テンプレート内外:_x000D_
</t>
  </si>
  <si>
    <t xml:space="preserve">新規追加_x000D_
改頁しない_x000D_
繰返場所:F24:K24_x000D_
グループ名:患者情報.身体情報(降順)_x000D_
プレビューデータ:55.00_x000D_
書式:0.00_x000D_
縮小しない_x000D_
テンプレート内外:_x000D_
</t>
  </si>
  <si>
    <t xml:space="preserve">新規追加_x000D_
表示文字数:27_x000D_
改頁しない_x000D_
プレビューデータ:テスト１次膜_x000D_
書式:G/標準_x000D_
縮小しない_x000D_
テンプレート内外:_x000D_
</t>
  </si>
  <si>
    <t xml:space="preserve">新規追加_x000D_
改頁しない_x000D_
繰返場所:F25:J25_x000D_
グループ名:患者情報.身体情報(降順)_x000D_
プレビューデータ:35.05_x000D_
書式:G/標準_x000D_
縮小しない_x000D_
テンプレート内外:_x000D_
</t>
  </si>
  <si>
    <t xml:space="preserve">新規追加_x000D_
改頁しない_x000D_
繰返場所:L25:P25_x000D_
グループ名:患者情報.身体情報(降順)_x000D_
プレビューデータ:2025/05/01_x000D_
書式:G/標準_x000D_
縮小しない_x000D_
テンプレート内外:_x000D_
</t>
  </si>
  <si>
    <t xml:space="preserve">新規追加_x000D_
表示文字数:50_x000D_
改頁しない_x000D_
プレビューデータ:1234567_x000D_
書式:G/標準_x000D_
縮小しない_x000D_
テンプレート内外:_x000D_
</t>
  </si>
  <si>
    <t xml:space="preserve">新規追加_x000D_
改頁しない_x000D_
繰返場所:F26:K26_x000D_
グループ名:患者情報.身体情報(降順)_x000D_
プレビューデータ:58.12_x000D_
書式:G/標準_x000D_
縮小しない_x000D_
テンプレート内外:_x000D_
</t>
  </si>
  <si>
    <t xml:space="preserve">新規追加_x000D_
改頁しない_x000D_
プレビューデータ:1000_x000D_
書式:0.00_x000D_
縮小しない_x000D_
テンプレート内外:_x000D_
</t>
  </si>
  <si>
    <t xml:space="preserve">新規追加_x000D_
表示文字数:22_x000D_
改頁しない_x000D_
プレビューデータ:U_x000D_
書式:G/標準_x000D_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</si>
  <si>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</si>
  <si>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表示文字数:22_x000D_
改頁しない_x000D_
プレビューデータ:U/h_x000D_
書式:G/標準_x000D_
縮小しない_x000D_
テンプレート内外:_x000D_
</t>
  </si>
  <si>
    <t xml:space="preserve">新規追加_x000D_
改頁しない_x000D_
プレビューデータ:2000_x000D_
書式:0_x000D_
縮小しない_x000D_
テンプレート内外:_x000D_
</t>
  </si>
  <si>
    <t xml:space="preserve">新規追加_x000D_
表示文字数:55_x000D_
改頁しない_x000D_
プレビューデータ:慢性糸球体腎炎_x000D_
書式:G/標準_x000D_
縮小しない_x000D_
テンプレート内外:_x000D_
</t>
  </si>
  <si>
    <t xml:space="preserve">新規追加_x000D_
改頁しない_x000D_
プレビューデータ:2011/05/20_x000D_
書式:yyyy/mm/dd_x000D_
縮小しない_x000D_
テンプレート内外:_x000D_
</t>
  </si>
  <si>
    <t xml:space="preserve">新規追加_x000D_
表示文字数:55_x000D_
改頁しない_x000D_
繰返場所:F30:Q30,F31:Q31,F32:Q32_x000D_
グループ名:患者情報.感染症(+)(-)(不明)_x000D_
プレビューデータ:Hbc抗体_x000D_
書式:G/標準_x000D_
縮小しない_x000D_
テンプレート内外:_x000D_
</t>
  </si>
  <si>
    <t xml:space="preserve">新規追加_x000D_
表示文字数:50_x000D_
改頁しない_x000D_
プレビューデータ:左_x000D_
書式:G/標準_x000D_
データ変換:&lt;convTable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縮小しない_x000D_
テンプレート内外:_x000D_
</t>
  </si>
  <si>
    <t xml:space="preserve">新規追加_x000D_
表示文字数:50_x000D_
改頁しない_x000D_
プレビューデータ:左手前腕内シャント化静脈_x000D_
書式:G/標準_x000D_
縮小しない_x000D_
テンプレート内外:_x000D_
</t>
  </si>
  <si>
    <t xml:space="preserve">新規追加_x000D_
改頁しない_x000D_
プレビューデータ:4.00_x000D_
書式:0.00_x000D_
縮小しない_x000D_
テンプレート内外:_x000D_
</t>
  </si>
  <si>
    <t>患者情報.感染症(+)(-)(不明).患者情報.感染症(+)(-)(不明).F30:Q30</t>
  </si>
  <si>
    <t>2025/05/01 17:05:18</t>
  </si>
  <si>
    <t>投与薬剤</t>
    <rPh sb="0" eb="4">
      <t>トウヨヤクザイ</t>
    </rPh>
    <phoneticPr fontId="1"/>
  </si>
  <si>
    <t>##指示.投薬.薬剤名</t>
  </si>
  <si>
    <t>##指示.投薬.治療日</t>
  </si>
  <si>
    <t>##指示.投薬.数量</t>
  </si>
  <si>
    <t>##指示.VA情報.画像</t>
  </si>
  <si>
    <t>##印刷情報.共通情報.印刷日時</t>
  </si>
  <si>
    <t>##印刷情報.共通情報.ログイン者</t>
  </si>
  <si>
    <t>I39:J40</t>
  </si>
  <si>
    <t>8</t>
  </si>
  <si>
    <t>2025/05/07 08:23:56</t>
  </si>
  <si>
    <t>テンプレート設定</t>
  </si>
  <si>
    <t xml:space="preserve">設定:無効 ⇒ 有効_x000D_
範囲:未設定 ⇒ I39:J40_x000D_
横回数:1 ⇒ 4_x000D_
縦回数:1 ⇒ 8_x000D_
</t>
  </si>
  <si>
    <t>外</t>
  </si>
  <si>
    <t>画像</t>
  </si>
  <si>
    <t>data1_pic1_file_path</t>
  </si>
  <si>
    <t>byte[]</t>
  </si>
  <si>
    <t>placeholder.jpg</t>
  </si>
  <si>
    <t>&lt;SelectSetting&gt;&lt;Item tag="Category" checkState="Checked" /&gt;&lt;/SelectSetting&gt;</t>
  </si>
  <si>
    <t>Category</t>
  </si>
  <si>
    <t>U36:AA46</t>
  </si>
  <si>
    <t>true</t>
  </si>
  <si>
    <t>投薬</t>
  </si>
  <si>
    <t>治療日</t>
  </si>
  <si>
    <t>treat_date</t>
  </si>
  <si>
    <t>&lt;SelectSetting&gt;&lt;Item tag="Medicine" checkState="Checked" /&gt;&lt;/SelectSetting&gt;</t>
  </si>
  <si>
    <t>Medicine</t>
  </si>
  <si>
    <t>I37:J38</t>
  </si>
  <si>
    <t>指示.投薬</t>
  </si>
  <si>
    <t>薬剤名</t>
  </si>
  <si>
    <t>medi_name</t>
  </si>
  <si>
    <t>テスト薬剤１</t>
  </si>
  <si>
    <t>B39:H40</t>
  </si>
  <si>
    <t>数量</t>
  </si>
  <si>
    <t>medi_amount</t>
  </si>
  <si>
    <t>内</t>
  </si>
  <si>
    <t>印刷情報</t>
  </si>
  <si>
    <t>共通情報</t>
  </si>
  <si>
    <t>印刷日時</t>
  </si>
  <si>
    <t>prt_dt</t>
  </si>
  <si>
    <t>W59:AE59</t>
  </si>
  <si>
    <t>ログイン者</t>
  </si>
  <si>
    <t>login</t>
  </si>
  <si>
    <t>確認テスト</t>
  </si>
  <si>
    <t>W61:AE61</t>
  </si>
  <si>
    <t>2025/05/07 08:23:57</t>
  </si>
  <si>
    <t xml:space="preserve">設定変更_x000D_
テンプレート内外: ⇒ 外_x000D_
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</si>
  <si>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テンプレート内外:外_x000D_
</t>
  </si>
  <si>
    <t xml:space="preserve">新規追加_x000D_
改頁しない_x000D_
繰返場所:I37:J38,K37:L38,M37:N38,O37:P38_x000D_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</si>
  <si>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表示文字数:31_x000D_
改頁しない_x000D_
繰返場所:B39:H40,B41:H42,B43:H44,B45:H46,B47:H48,B49:H50,B51:H52,B53:H54_x000D_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</si>
  <si>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繰返場所:I39:J40,I41:J42,I43:J44,I45:J46,I47:J48,I49:J50,I51:J52,I53:J54,K39:L40,K41:L42,K43:L44,K45:L46,K47:L48,K49:L50,K51:L52,K53:L54,M39:N40,M41:N42,M43:N44,M45:N46,M47:N48,M49:N50,M51:N52,M53:N54,O39:P40,O41:P42,O43:P44,O45:P46,O47:P48,O49:P50,O51:P52,O53:P54_x000D_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</si>
  <si>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改頁しない_x000D_
プレビューデータ:2011/06/03_x000D_
書式:yyyy/mm/dd_x000D_
縮小しない_x000D_
テンプレート内外:外_x000D_
</t>
  </si>
  <si>
    <t xml:space="preserve">新規追加_x000D_
表示文字数:41_x000D_
改頁しない_x000D_
プレビューデータ:確認テスト_x000D_
書式:G/標準_x000D_
縮小しない_x000D_
テンプレート内外:外_x000D_
</t>
  </si>
  <si>
    <t>紹介状.登録情報.紹介状.登録情報.外.B8:N9</t>
  </si>
  <si>
    <t>患者情報.身体情報(降順).患者情報.身体情報(降順).外.F24:K24</t>
  </si>
  <si>
    <t>患者情報.感染症(+)(-)(不明).患者情報.感染症(+)(-)(不明).外.F30:Q30</t>
  </si>
  <si>
    <t>指示.投薬.指示.投薬.外.I37:J38</t>
  </si>
  <si>
    <t>指示.投薬.指示.投薬.内.I39:J40</t>
  </si>
  <si>
    <t>2025/05/07 08:23:58</t>
  </si>
  <si>
    <t xml:space="preserve">改頁しない_x000D_
抽出条件:&lt;SelectSetting&gt;&lt;Item tag="Medicine" checkState="Checked" /&gt;&lt;/SelectSetting&gt;_x000D_
</t>
  </si>
  <si>
    <t>項目値</t>
  </si>
  <si>
    <t>2025/05/07 08:23:59</t>
  </si>
  <si>
    <t xml:space="preserve">横の集計単位: ⇒ treat_date_x000D_
縦の集計単位: ⇒ medi_name_x000D_
集計単位日付: ⇒ 曜日_x000D_
表示内容: ⇒ 項目値_x000D_
</t>
  </si>
  <si>
    <t>##施設.施設情報.施設名</t>
  </si>
  <si>
    <t>##施設.施設情報.住所</t>
  </si>
  <si>
    <t>##施設.施設情報.電話番号1</t>
  </si>
  <si>
    <t>B8:M9</t>
  </si>
  <si>
    <t>F29:P29</t>
  </si>
  <si>
    <t>F30:P30</t>
  </si>
  <si>
    <t>施設</t>
  </si>
  <si>
    <t>施設情報</t>
  </si>
  <si>
    <t>施設名</t>
  </si>
  <si>
    <t>300</t>
  </si>
  <si>
    <t>大塚医院</t>
  </si>
  <si>
    <t>C63:J63</t>
  </si>
  <si>
    <t>address</t>
  </si>
  <si>
    <t>宇都宮市今泉５－３－５</t>
  </si>
  <si>
    <t>K63:T63</t>
  </si>
  <si>
    <t>false</t>
  </si>
  <si>
    <t>phone_no1</t>
  </si>
  <si>
    <t>028-621-7600</t>
  </si>
  <si>
    <t>AA63:AD63</t>
  </si>
  <si>
    <t>2025/05/07 08:55:08</t>
  </si>
  <si>
    <t xml:space="preserve">新規追加_x000D_
表示文字数:49_x000D_
改頁しない_x000D_
繰返場所:B8:M9_x000D_
グループ名:紹介状.登録情報_x000D_
プレビューデータ:北海道銀行医務室_x000D_
書式:G/標準_x000D_
縮小しない_x000D_
テンプレート内外:外_x000D_
</t>
  </si>
  <si>
    <t xml:space="preserve">新規追加_x000D_
表示文字数:41_x000D_
改頁しない_x000D_
プレビューデータ:慢性糸球体腎炎_x000D_
書式:G/標準_x000D_
縮小しない_x000D_
テンプレート内外:外_x000D_
</t>
  </si>
  <si>
    <t xml:space="preserve">新規追加_x000D_
表示文字数:41_x000D_
改頁しない_x000D_
繰返場所:F30:P30,F31:P31,F32:P32_x000D_
グループ名:患者情報.感染症(+)(-)(不明)_x000D_
プレビューデータ:Hbc抗体_x000D_
書式:G/標準_x000D_
縮小しない_x000D_
テンプレート内外:外_x000D_
</t>
  </si>
  <si>
    <t xml:space="preserve">新規追加_x000D_
表示文字数:34_x000D_
改頁しない_x000D_
プレビューデータ:大塚医院_x000D_
書式:G/標準_x000D_
縮小しない_x000D_
テンプレート内外:外_x000D_
</t>
  </si>
  <si>
    <t xml:space="preserve">新規追加_x000D_
表示文字数:35_x000D_
改頁しない_x000D_
プレビューデータ:宇都宮市今泉５－３－５_x000D_
書式:G/標準_x000D_
縮小しない_x000D_
テンプレート内外:外_x000D_
</t>
  </si>
  <si>
    <t xml:space="preserve">新規追加_x000D_
表示文字数:18_x000D_
改頁しない_x000D_
プレビューデータ:028-621-7600_x000D_
書式:G/標準_x000D_
縮小しない_x000D_
テンプレート内外:外_x000D_
</t>
  </si>
  <si>
    <t>患者情報.感染症(+)(-)(不明).患者情報.感染症(+)(-)(不明).外.F30:P30</t>
  </si>
  <si>
    <t>紹介状.登録情報.紹介状.登録情報.外.B8:M9</t>
  </si>
  <si>
    <t>2025/05/07 08:55:09</t>
  </si>
  <si>
    <t>K39:L40</t>
  </si>
  <si>
    <t>2025/05/07 09:31:28</t>
  </si>
  <si>
    <t xml:space="preserve">範囲:I39:J40 ⇒ K39:L40_x000D_
</t>
  </si>
  <si>
    <t>T36:AA46</t>
  </si>
  <si>
    <t>K37:L38</t>
  </si>
  <si>
    <t>B39:J40</t>
  </si>
  <si>
    <t>AA63:AE63</t>
  </si>
  <si>
    <t>2025/05/07 09:31:29</t>
  </si>
  <si>
    <t xml:space="preserve">新規追加_x000D_
改頁しない_x000D_
繰返場所:K37:L38,M37:N38,O37:P38,Q37:R38_x000D_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</si>
  <si>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表示文字数:35_x000D_
改頁しない_x000D_
繰返場所:B39:J40,B41:J42,B43:J44,B45:J46,B47:J48,B49:J50,B51:J52,B53:J54_x000D_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</si>
  <si>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繰返場所:K39:L40,K41:L42,K43:L44,K45:L46,K47:L48,K49:L50,K51:L52,K53:L54,M39:N40,M41:N42,M43:N44,M45:N46,M47:N48,M49:N50,M51:N52,M53:N54,O39:P40,O41:P42,O43:P44,O45:P46,O47:P48,O49:P50,O51:P52,O53:P54,Q39:R40,Q41:R42,Q43:R44,Q45:R46,Q47:R48,Q49:R50,Q51:R52,Q53:R54_x000D_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</si>
  <si>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表示文字数:22_x000D_
改頁しない_x000D_
プレビューデータ:028-621-7600_x000D_
書式:G/標準_x000D_
縮小しない_x000D_
テンプレート内外:外_x000D_
</t>
  </si>
  <si>
    <t>指示.投薬.指示.投薬.外.K37:L38</t>
  </si>
  <si>
    <t>指示.投薬.指示.投薬.内.K39:L40</t>
  </si>
  <si>
    <t>##紹介状.登録情報.転入出先名</t>
    <phoneticPr fontId="1"/>
  </si>
  <si>
    <t>##患者情報.本人情報.年齢</t>
  </si>
  <si>
    <t>F14:O14</t>
  </si>
  <si>
    <t>年齢</t>
  </si>
  <si>
    <t>pat_age</t>
  </si>
  <si>
    <t>70</t>
  </si>
  <si>
    <t>AG14</t>
  </si>
  <si>
    <t>2025/05/07 10:33:15</t>
  </si>
  <si>
    <t xml:space="preserve">新規追加_x000D_
改頁しない_x000D_
プレビューデータ:2025/05/07_x000D_
書式:yyyy/mm/dd_x000D_
縮小しない_x000D_
テンプレート内外:外_x000D_
</t>
  </si>
  <si>
    <t xml:space="preserve">新規追加_x000D_
改頁しない_x000D_
プレビューデータ:70_x000D_
書式:0_x000D_
縮小しない_x000D_
テンプレート内外:外_x000D_
</t>
  </si>
  <si>
    <t xml:space="preserve">設定変更_x000D_
書式:G/標準 ⇒ 0_x000D_
</t>
  </si>
  <si>
    <t>2025/05/07 10:50:29</t>
  </si>
  <si>
    <t>2025/05/07 10:52:56</t>
  </si>
  <si>
    <t xml:space="preserve">新規追加_x000D_
表示文字数:27_x000D_
改頁しない_x000D_
プレビューデータ:テスト１次膜_x000D_
書式:G/標準_x000D_
縮小しない_x000D_
テンプレート内外:外_x000D_
</t>
  </si>
  <si>
    <t>2025/05/07 10:58:21</t>
  </si>
  <si>
    <t>2025/05/07 11:01:16</t>
  </si>
  <si>
    <t xml:space="preserve">設定変更_x000D_
書式:0 ⇒ G/標準_x000D_
</t>
  </si>
  <si>
    <t>2025/05/07 11:02:06</t>
  </si>
  <si>
    <t>2025/05/07 11:09:52</t>
  </si>
  <si>
    <t xml:space="preserve">設定変更_x000D_
書式:G/標準 ⇒ h"時"mm"分"ss"秒"_x000D_
</t>
  </si>
  <si>
    <t>2025/05/07 11:10:50</t>
  </si>
  <si>
    <t xml:space="preserve">設定変更_x000D_
書式:h"時"mm"分"ss"秒" ⇒ mm:ss.0_x000D_
</t>
  </si>
  <si>
    <t>2025/05/07 11:14:20</t>
  </si>
  <si>
    <t xml:space="preserve">設定変更_x000D_
書式:mm:ss.0 ⇒ [$-411]ggge"年"m"月"d"日"_x000D_
</t>
  </si>
  <si>
    <t>2025/05/07 11:14:52</t>
  </si>
  <si>
    <t xml:space="preserve">設定変更_x000D_
書式:[$-411]ggge"年"m"月"d"日" ⇒ 0_x000D_
</t>
  </si>
  <si>
    <t>2025/05/07 11:15:24</t>
  </si>
  <si>
    <t xml:space="preserve">設定変更_x000D_
書式:0 ⇒ 0.00_x000D_
</t>
  </si>
  <si>
    <t>2025/05/07 11:16:18</t>
  </si>
  <si>
    <t xml:space="preserve">設定変更_x000D_
書式:0.00 ⇒ #,##0_x000D_
</t>
  </si>
  <si>
    <t>2025/05/07 11:16:59</t>
  </si>
  <si>
    <t xml:space="preserve">設定変更_x000D_
書式:#,##0 ⇒ #,##0;[赤]#,##0_x000D_
</t>
  </si>
  <si>
    <t>2025/05/07 11:18:26</t>
  </si>
  <si>
    <t xml:space="preserve">設定変更_x000D_
書式:#,##0;[赤]#,##0 ⇒ 0%_x000D_
</t>
  </si>
  <si>
    <t>2025/05/07 11:19:42</t>
  </si>
  <si>
    <t xml:space="preserve">設定変更_x000D_
書式:0% ⇒ 0.00E+00_x000D_
</t>
  </si>
  <si>
    <t>2025/05/07 11:23:44</t>
  </si>
  <si>
    <t>##指示.ダイアライザ情報.面積</t>
  </si>
  <si>
    <t>ダイアライザ情報</t>
  </si>
  <si>
    <t>面積</t>
  </si>
  <si>
    <t>area</t>
  </si>
  <si>
    <t>1.2</t>
  </si>
  <si>
    <t>0.0</t>
  </si>
  <si>
    <t>2025/05/07 13:35:12</t>
  </si>
  <si>
    <t xml:space="preserve">新規追加_x000D_
改頁しない_x000D_
プレビューデータ:1.2_x000D_
書式:0.0_x000D_
縮小しない_x000D_
テンプレート内外:外_x000D_
</t>
  </si>
  <si>
    <t>2025/05/07 13:55:19</t>
  </si>
  <si>
    <t>2025/05/07 14:07:46</t>
  </si>
  <si>
    <t>2025/05/07 16:14:49</t>
  </si>
  <si>
    <t>2025/05/07 16:33:44</t>
  </si>
  <si>
    <t>2025/06/23 09:49:44</t>
  </si>
  <si>
    <t xml:space="preserve">集計単位日付:曜日 ⇒ 日_x000D_
</t>
  </si>
  <si>
    <t>2025/06/23 09:53:16</t>
  </si>
  <si>
    <t xml:space="preserve">設定変更_x000D_
プレビューデータ:2011/03/04 ⇒ 2025/06/23_x000D_
縮小しない_x000D_
</t>
  </si>
  <si>
    <t>2025/06/23 09:54:44</t>
  </si>
  <si>
    <t xml:space="preserve">集計単位日付:日 ⇒ 曜日_x000D_
</t>
  </si>
  <si>
    <t>2025/06/23 10:14:27</t>
  </si>
  <si>
    <t>2025/06/23 10:14:29</t>
  </si>
  <si>
    <t>曜日</t>
  </si>
  <si>
    <t>2025/06/23 10:20:31</t>
  </si>
  <si>
    <t>AF19</t>
  </si>
  <si>
    <t>2025/07/02 17:06:54</t>
  </si>
  <si>
    <t xml:space="preserve">新規追加_x000D_
改頁しない_x000D_
プレビューデータ:月_x000D_
書式:G/標準_x000D_
縮小しない_x000D_
テンプレート内外:外_x000D_
</t>
  </si>
  <si>
    <t>2025/07/02 17:09:36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</si>
  <si>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</si>
  <si>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2025/07/07 15:52:46</t>
  </si>
  <si>
    <t xml:space="preserve">設定変更_x000D_
表示文字数:45 ⇒ 38_x000D_
</t>
  </si>
  <si>
    <t>##指示.透析条件.抗凝固剤総量</t>
  </si>
  <si>
    <t>U25:AB25</t>
  </si>
  <si>
    <t>AC25:AD25</t>
  </si>
  <si>
    <t>AE25</t>
  </si>
  <si>
    <t>2025/07/09 15:05:04</t>
  </si>
  <si>
    <t xml:space="preserve">新規追加_x000D_
表示文字数:36_x000D_
改頁しない_x000D_
プレビューデータ:1234567_x000D_
書式:G/標準_x000D_
縮小しない_x000D_
テンプレート内外:外_x000D_
</t>
  </si>
  <si>
    <t xml:space="preserve">新規追加_x000D_
改頁しない_x000D_
プレビューデータ:3000_x000D_
書式:0_x000D_
縮小しない_x000D_
テンプレート内外:外_x000D_
</t>
  </si>
  <si>
    <t xml:space="preserve">新規追加_x000D_
改頁しない_x000D_
プレビューデータ:U_x000D_
書式:G/標準_x000D_
縮小しない_x000D_
テンプレート内外:外_x000D_
</t>
  </si>
  <si>
    <t>##患者情報.感染症(+)(-)(不明).感染症結果</t>
  </si>
  <si>
    <t>AF30</t>
  </si>
  <si>
    <t>感染症結果</t>
  </si>
  <si>
    <t>infect</t>
  </si>
  <si>
    <t>(不明)</t>
  </si>
  <si>
    <t>AG30</t>
  </si>
  <si>
    <t>2025/07/10 08:46:55</t>
  </si>
  <si>
    <t xml:space="preserve">新規追加_x000D_
表示文字数:50_x000D_
改頁しない_x000D_
プレビューデータ:1234567_x000D_
書式:G/標準_x000D_
縮小しない_x000D_
テンプレート内外:外_x000D_
</t>
  </si>
  <si>
    <t xml:space="preserve">新規追加_x000D_
改頁しない_x000D_
繰返場所:AF30,AF31,AF32_x000D_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</si>
  <si>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繰返場所:AG30,AG31,AG32_x000D_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</si>
  <si>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>F20:I20</t>
  </si>
  <si>
    <t>F24:J24</t>
  </si>
  <si>
    <t>F26:J26</t>
  </si>
  <si>
    <t>2025/07/10 08:54:22</t>
  </si>
  <si>
    <t xml:space="preserve">新規追加_x000D_
改頁しない_x000D_
プレビューデータ:7_x000D_
書式:0_x000D_
縮小しない_x000D_
テンプレート内外:外_x000D_
</t>
  </si>
  <si>
    <t xml:space="preserve">新規追加_x000D_
改頁しない_x000D_
繰返場所:F24:J24_x000D_
グループ名:患者情報.身体情報(降順)_x000D_
プレビューデータ:55.00_x000D_
書式:0.00_x000D_
縮小しない_x000D_
テンプレート内外:外_x000D_
</t>
  </si>
  <si>
    <t xml:space="preserve">新規追加_x000D_
改頁しない_x000D_
繰返場所:F26:J26_x000D_
グループ名:患者情報.身体情報(降順)_x000D_
プレビューデータ:58.12_x000D_
書式:G/標準_x000D_
縮小しない_x000D_
テンプレート内外:外_x000D_
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</si>
  <si>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</si>
  <si>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CanBarCode</t>
  </si>
  <si>
    <t>BarCode</t>
  </si>
  <si>
    <t>2025/10/09 09:06:13</t>
  </si>
  <si>
    <t xml:space="preserve">出力値のない列は省略する設定: ⇒ 0_x000D_
表示内容種類: ⇒ 先頭_x000D_
</t>
  </si>
  <si>
    <t>先頭</t>
    <phoneticPr fontId="1"/>
  </si>
  <si>
    <t>K39:K40</t>
  </si>
  <si>
    <t>2025/10/09 09:29:51</t>
  </si>
  <si>
    <t xml:space="preserve">範囲:K39:L40 ⇒ K39:K40_x000D_
</t>
  </si>
  <si>
    <t>T36:Y46</t>
  </si>
  <si>
    <t>2025/10/09</t>
  </si>
  <si>
    <t>K37:K38</t>
  </si>
  <si>
    <t>2025/10/09 09:29:52</t>
  </si>
  <si>
    <t xml:space="preserve">新規追加_x000D_
改頁しない_x000D_
繰返場所:K37:K38,L37:L38,M37:M38,N37:N38_x000D_
グループ名:指示.投薬_x000D_
プレビューデータ:2025/10/09_x000D_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</si>
  <si>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繰返場所:K39:K40,K41:K42,K43:K44,K45:K46,K47:K48,K49:K50,K51:K52,K53:K54,L39:L40,L41:L42,L43:L44,L45:L46,L47:L48,L49:L50,L51:L52,L53:L54,M39:M40,M41:M42,M43:M44,M45:M46,M47:M48,M49:M50,M51:M52,M53:M54,N39:N40,N41:N42,N43:N44,N45:N46,N47:N48,N49:N50,N51:N52,N53:N54_x000D_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</si>
  <si>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患者情報.身体情報(降順).患者情報.身体情報(降順).外.F24:J24</t>
  </si>
  <si>
    <t>患者情報.感染症(+)(-)(不明).患者情報.感染症(+)(-)(不明).外.AF30</t>
  </si>
  <si>
    <t>指示.投薬.指示.投薬.外.K37:K38</t>
  </si>
  <si>
    <t>指示.投薬.指示.投薬.内.K39:K40</t>
  </si>
  <si>
    <t>32</t>
  </si>
  <si>
    <t>2025/10/09 09:29:53</t>
  </si>
  <si>
    <t>31</t>
  </si>
  <si>
    <t>F13:M13</t>
  </si>
  <si>
    <t>F14:M14</t>
  </si>
  <si>
    <t>2025/10/09 09:52:03</t>
  </si>
  <si>
    <t xml:space="preserve">新規追加_x000D_
表示文字数:31_x000D_
改頁しない_x000D_
プレビューデータ:日機装　太郎_x000D_
書式:G/標準_x000D_
縮小しない_x000D_
テンプレート内外:外_x000D_
</t>
  </si>
  <si>
    <t xml:space="preserve">新規追加_x000D_
改頁しない_x000D_
プレビューデータ:2025/10/09_x000D_
書式:yyyy/mm/dd_x000D_
縮小しない_x000D_
テンプレート内外:外_x000D_
</t>
  </si>
  <si>
    <t>2025/10/9</t>
  </si>
  <si>
    <t>yyyy/m/d</t>
  </si>
  <si>
    <t>2025/10/09 10:04:48</t>
  </si>
  <si>
    <t xml:space="preserve">設定変更_x000D_
プレビューデータ:2025/05/01 ⇒ 2025/10/9_x000D_
書式:G/標準 ⇒ yyyy/m/d_x000D_
</t>
  </si>
  <si>
    <t>％</t>
    <phoneticPr fontId="1"/>
  </si>
  <si>
    <t>F20:H20</t>
  </si>
  <si>
    <t>F25:H25</t>
  </si>
  <si>
    <t>J25:P25</t>
  </si>
  <si>
    <t>F26:H26</t>
  </si>
  <si>
    <t>2025/10/09 10:21:32</t>
  </si>
  <si>
    <t xml:space="preserve">新規追加_x000D_
改頁しない_x000D_
繰返場所:F25:H25_x000D_
グループ名:患者情報.身体情報(降順)_x000D_
プレビューデータ:35.05_x000D_
書式:G/標準_x000D_
縮小しない_x000D_
テンプレート内外:外_x000D_
</t>
  </si>
  <si>
    <t xml:space="preserve">新規追加_x000D_
改頁しない_x000D_
繰返場所:J25:P25_x000D_
グループ名:患者情報.身体情報(降順)_x000D_
プレビューデータ:2025/10/9_x000D_
書式:yyyy/m/d_x000D_
縮小しない_x000D_
テンプレート内外:外_x000D_
</t>
  </si>
  <si>
    <t xml:space="preserve">新規追加_x000D_
改頁しない_x000D_
繰返場所:F26:H26_x000D_
グループ名:患者情報.身体情報(降順)_x000D_
プレビューデータ:58.12_x000D_
書式:G/標準_x000D_
縮小しない_x000D_
テンプレート内外:外_x000D_
</t>
  </si>
  <si>
    <t>F24:H24</t>
  </si>
  <si>
    <t>2025/10/09 10:30:53</t>
  </si>
  <si>
    <t xml:space="preserve">新規追加_x000D_
改頁しない_x000D_
繰返場所:F24:H24_x000D_
グループ名:患者情報.身体情報(降順)_x000D_
プレビューデータ:55.00_x000D_
書式:0.00_x000D_
縮小しない_x000D_
テンプレート内外:外_x000D_
</t>
  </si>
  <si>
    <t xml:space="preserve">設定変更_x000D_
書式:G/標準 ⇒ 0.00_x000D_
</t>
  </si>
  <si>
    <t>##指示.透析条件.穿刺針A針名称</t>
    <phoneticPr fontId="1"/>
  </si>
  <si>
    <t>K36:K37</t>
  </si>
  <si>
    <t>2025/10/09 11:34:09</t>
  </si>
  <si>
    <t xml:space="preserve">範囲:K39:K40 ⇒ K36:K37_x000D_
</t>
  </si>
  <si>
    <t>B8:L9</t>
  </si>
  <si>
    <t>AA10:AD10</t>
  </si>
  <si>
    <t>AH12</t>
  </si>
  <si>
    <t>V13:AD13</t>
  </si>
  <si>
    <t>V14:AD14</t>
  </si>
  <si>
    <t>AH14</t>
  </si>
  <si>
    <t>F15:AD15</t>
  </si>
  <si>
    <t>F17:M17</t>
  </si>
  <si>
    <t>T17:AD17</t>
  </si>
  <si>
    <t>T18:AD18</t>
  </si>
  <si>
    <t>AG18</t>
  </si>
  <si>
    <t>F19:H19</t>
  </si>
  <si>
    <t>T19:AD19</t>
  </si>
  <si>
    <t>F20:M20</t>
  </si>
  <si>
    <t>F21:M21</t>
  </si>
  <si>
    <t>T21:Y21</t>
  </si>
  <si>
    <t>F22:M22</t>
  </si>
  <si>
    <t>T22:Y22</t>
  </si>
  <si>
    <t>F23:H23</t>
  </si>
  <si>
    <t>T23:AD23</t>
  </si>
  <si>
    <t>J24:M24</t>
  </si>
  <si>
    <t>T24:Y24</t>
  </si>
  <si>
    <t>Z24:AD24</t>
  </si>
  <si>
    <t>T25:Y25</t>
  </si>
  <si>
    <t>Z25:AD25</t>
  </si>
  <si>
    <t>T26:Y26</t>
  </si>
  <si>
    <t>Z26:AD26</t>
  </si>
  <si>
    <t>F27:M27</t>
  </si>
  <si>
    <t>T27:AD27</t>
  </si>
  <si>
    <t>T28:AD28</t>
  </si>
  <si>
    <t>T29:AD29</t>
  </si>
  <si>
    <t>AG29</t>
  </si>
  <si>
    <t>Infection</t>
  </si>
  <si>
    <t>AH29</t>
  </si>
  <si>
    <t>T30:AD30</t>
  </si>
  <si>
    <t>2011/03/04</t>
  </si>
  <si>
    <t>K34:K35,L34:L35,M34:M35,N34:N35</t>
  </si>
  <si>
    <t>K34:K35</t>
  </si>
  <si>
    <t>S34:Y44</t>
  </si>
  <si>
    <t>B36:J37,B38:J39,B40:J41,B42:J43,B44:J45,B46:J47,B48:J49,B50:J51</t>
  </si>
  <si>
    <t>B36:J37</t>
  </si>
  <si>
    <t>K36:K37,K38:K39,K40:K41,K42:K43,K44:K45,K46:K47,K48:K49,K50:K51,L36:L37,L38:L39,L40:L41,L42:L43,L44:L45,L46:L47,L48:L49,L50:L51,M36:M37,M38:M39,M40:M41,M42:M43,M44:M45,M46:M47,M48:M49,M50:M51,N36:N37,N38:N39,N40:N41,N42:N43,N44:N45,N46:N47,N48:N49,N50:N51</t>
  </si>
  <si>
    <t>U57:AC57</t>
  </si>
  <si>
    <t>U59:AC59</t>
  </si>
  <si>
    <t>C61:J61</t>
  </si>
  <si>
    <t>K61</t>
  </si>
  <si>
    <t>X61:AB61</t>
  </si>
  <si>
    <t>2025/10/09 11:34:10</t>
  </si>
  <si>
    <t xml:space="preserve">新規追加_x000D_
表示文字数:37_x000D_
改頁しない_x000D_
繰返場所:B8:L9_x000D_
グループ名:紹介状.登録情報_x000D_
プレビューデータ:北海道銀行医務室_x000D_
書式:G/標準_x000D_
縮小しない_x000D_
テンプレート内外:外_x000D_
</t>
  </si>
  <si>
    <t xml:space="preserve">新規追加_x000D_
表示文字数:13_x000D_
改頁しない_x000D_
プレビューデータ:123456789012_x000D_
書式:G/標準_x000D_
縮小しない_x000D_
テンプレート内外:外_x000D_
</t>
  </si>
  <si>
    <t xml:space="preserve">設定変更_x000D_
表示文字数:38 ⇒ 35_x000D_
</t>
  </si>
  <si>
    <t xml:space="preserve">新規追加_x000D_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テンプレート内外:外_x000D_
</t>
  </si>
  <si>
    <t xml:space="preserve">新規追加_x000D_
表示文字数:32_x000D_
改頁しない_x000D_
プレビューデータ:03-1234-5678_x000D_
書式:G/標準_x000D_
縮小しない_x000D_
テンプレート内外:外_x000D_
</t>
  </si>
  <si>
    <t xml:space="preserve">新規追加_x000D_
表示文字数:32_x000D_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</si>
  <si>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 xml:space="preserve">新規追加_x000D_
表示文字数:83_x000D_
改頁しない_x000D_
プレビューデータ:東京都渋谷区恵比寿3-43-2 日機装第１別館１F_x000D_
書式:G/標準_x000D_
縮小しない_x000D_
テンプレート内外:外_x000D_
</t>
  </si>
  <si>
    <t xml:space="preserve">新規追加_x000D_
表示文字数:31_x000D_
改頁しない_x000D_
プレビューデータ:HDF_x000D_
書式:G/標準_x000D_
縮小しない_x000D_
テンプレート内外:外_x000D_
</t>
  </si>
  <si>
    <t xml:space="preserve">新規追加_x000D_
表示文字数:41_x000D_
改頁しない_x000D_
プレビューデータ:11年3ケ月_x000D_
書式:G/標準_x000D_
縮小しない_x000D_
テンプレート内外:外_x000D_
</t>
  </si>
  <si>
    <t xml:space="preserve">新規追加_x000D_
表示文字数:41_x000D_
改頁しない_x000D_
プレビューデータ:日機装病院_x000D_
書式:G/標準_x000D_
縮小しない_x000D_
テンプレート内外:外_x000D_
</t>
  </si>
  <si>
    <t xml:space="preserve">新規追加_x000D_
表示文字数:31_x000D_
改頁しない_x000D_
プレビューデータ:FDX-120GW_x000D_
書式:G/標準_x000D_
縮小しない_x000D_
テンプレート内外:外_x000D_
</t>
  </si>
  <si>
    <t xml:space="preserve">新規追加_x000D_
表示文字数:31_x000D_
改頁しない_x000D_
プレビューデータ:穿刺針A針_x000D_
書式:G/標準_x000D_
縮小しない_x000D_
テンプレート内外:外_x000D_
</t>
  </si>
  <si>
    <t xml:space="preserve">新規追加_x000D_
改頁しない_x000D_
プレビューデータ:180_x000D_
書式:0_x000D_
縮小しない_x000D_
テンプレート内外:外_x000D_
</t>
  </si>
  <si>
    <t xml:space="preserve">新規追加_x000D_
表示文字数:31_x000D_
改頁しない_x000D_
プレビューデータ:穿刺針V針_x000D_
書式:G/標準_x000D_
縮小しない_x000D_
テンプレート内外:外_x000D_
</t>
  </si>
  <si>
    <t xml:space="preserve">新規追加_x000D_
改頁しない_x000D_
繰返場所:F23:H23_x000D_
グループ名:患者情報.身体情報(降順)_x000D_
プレビューデータ:55.00_x000D_
書式:0.00_x000D_
縮小しない_x000D_
テンプレート内外:外_x000D_
</t>
  </si>
  <si>
    <t xml:space="preserve">新規追加_x000D_
表示文字数:41_x000D_
改頁しない_x000D_
プレビューデータ:1234567_x000D_
書式:G/標準_x000D_
縮小しない_x000D_
テンプレート内外:外_x000D_
</t>
  </si>
  <si>
    <t xml:space="preserve">設定変更_x000D_
プレビューデータ:55.00 ⇒ 35.05_x000D_
書式:0.00 ⇒ G/標準_x000D_
</t>
  </si>
  <si>
    <t xml:space="preserve">新規追加_x000D_
改頁しない_x000D_
繰返場所:J24:M24_x000D_
グループ名:患者情報.身体情報(降順)_x000D_
プレビューデータ:2025/10/9_x000D_
書式:yyyy/m/d_x000D_
縮小しない_x000D_
テンプレート内外:外_x000D_
</t>
  </si>
  <si>
    <t xml:space="preserve">新規追加_x000D_
改頁しない_x000D_
プレビューデータ:1000_x000D_
書式:0.00_x000D_
縮小しない_x000D_
テンプレート内外:外_x000D_
</t>
  </si>
  <si>
    <t xml:space="preserve">新規追加_x000D_
表示文字数:17_x000D_
改頁しない_x000D_
プレビューデータ:U_x000D_
書式:G/標準_x000D_
縮小しない_x000D_
テンプレート内外:外_x000D_
</t>
  </si>
  <si>
    <t xml:space="preserve">設定変更_x000D_
プレビューデータ:35.05 ⇒ 58.12_x000D_
書式:G/標準 ⇒ 0.00_x000D_
</t>
  </si>
  <si>
    <t xml:space="preserve">新規追加_x000D_
改頁しない_x000D_
プレビューデータ:500_x000D_
書式:0.00_x000D_
縮小しない_x000D_
テンプレート内外:外_x000D_
</t>
  </si>
  <si>
    <t xml:space="preserve">新規追加_x000D_
表示文字数:17_x000D_
改頁しない_x000D_
プレビューデータ:U/h_x000D_
書式:G/標準_x000D_
縮小しない_x000D_
テンプレート内外:外_x000D_
</t>
  </si>
  <si>
    <t xml:space="preserve">新規追加_x000D_
改頁しない_x000D_
プレビューデータ:2000_x000D_
書式:0.00_x000D_
縮小しない_x000D_
テンプレート内外:外_x000D_
</t>
  </si>
  <si>
    <t xml:space="preserve">新規追加_x000D_
表示文字数:31_x000D_
改頁しない_x000D_
プレビューデータ:慢性糸球体腎炎_x000D_
書式:G/標準_x000D_
縮小しない_x000D_
テンプレート内外:外_x000D_
</t>
  </si>
  <si>
    <t xml:space="preserve">新規追加_x000D_
表示文字数:41_x000D_
改頁しない_x000D_
プレビューデータ:左_x000D_
書式:G/標準_x000D_
データ変換:&lt;convTable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縮小しない_x000D_
テンプレート内外:外_x000D_
</t>
  </si>
  <si>
    <t xml:space="preserve">新規追加_x000D_
表示文字数:41_x000D_
改頁しない_x000D_
プレビューデータ:左手前腕内シャント化静脈_x000D_
書式:G/標準_x000D_
縮小しない_x000D_
テンプレート内外:外_x000D_
</t>
  </si>
  <si>
    <t xml:space="preserve">新規追加_x000D_
改頁しない_x000D_
繰返場所:AG29_x000D_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</si>
  <si>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繰返場所:AH29_x000D_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</si>
  <si>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 xml:space="preserve">新規追加_x000D_
改頁しない_x000D_
プレビューデータ:_x000D_
書式:0.00_x000D_
縮小しない_x000D_
テンプレート内外:外_x000D_
</t>
  </si>
  <si>
    <t xml:space="preserve">新規追加_x000D_
改頁しない_x000D_
繰返場所:K34:K35,L34:L35,M34:M35,N34:N35_x000D_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</si>
  <si>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表示文字数:28_x000D_
改頁しない_x000D_
繰返場所:B36:J37,B38:J39,B40:J41,B42:J43,B44:J45,B46:J47,B48:J49,B50:J51_x000D_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</si>
  <si>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繰返場所:K36:K37,K38:K39,K40:K41,K42:K43,K44:K45,K46:K47,K48:K49,K50:K51,L36:L37,L38:L39,L40:L41,L42:L43,L44:L45,L46:L47,L48:L49,L50:L51,M36:M37,M38:M39,M40:M41,M42:M43,M44:M45,M46:M47,M48:M49,M50:M51,N36:N37,N38:N39,N40:N41,N42:N43,N44:N45,N46:N47,N48:N49,N50:N51_x000D_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</si>
  <si>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表示文字数:31_x000D_
改頁しない_x000D_
プレビューデータ:確認テスト_x000D_
書式:G/標準_x000D_
縮小しない_x000D_
テンプレート内外:外_x000D_
</t>
  </si>
  <si>
    <t xml:space="preserve">新規追加_x000D_
表示文字数:28_x000D_
改頁しない_x000D_
プレビューデータ:大塚医院_x000D_
書式:G/標準_x000D_
縮小しない_x000D_
テンプレート内外:外_x000D_
</t>
  </si>
  <si>
    <t xml:space="preserve">新規追加_x000D_
改頁しない_x000D_
プレビューデータ:宇都宮市今泉５－３－５_x000D_
書式:G/標準_x000D_
縮小しない_x000D_
テンプレート内外:外_x000D_
</t>
  </si>
  <si>
    <t xml:space="preserve">新規追加_x000D_
表示文字数:15_x000D_
改頁しない_x000D_
プレビューデータ:028-621-7600_x000D_
書式:G/標準_x000D_
縮小しない_x000D_
テンプレート内外:外_x000D_
</t>
  </si>
  <si>
    <t>紹介状.登録情報.紹介状.登録情報.外.B8:L9</t>
  </si>
  <si>
    <t>患者情報.身体情報(降順).患者情報.身体情報(降順).外.F23:H23</t>
  </si>
  <si>
    <t>患者情報.感染症(+)(-)(不明).患者情報.感染症(+)(-)(不明).外.AG29</t>
  </si>
  <si>
    <t>&lt;SelectSetting&gt;&lt;Item tag="Infection" checkState="Checked" /&gt;&lt;/SelectSetting&gt;</t>
  </si>
  <si>
    <t>指示.投薬.指示.投薬.外.K34:K35</t>
  </si>
  <si>
    <t>指示.投薬.指示.投薬.内.K36:K37</t>
  </si>
  <si>
    <t>2025/10/09 11:34:11</t>
  </si>
  <si>
    <t xml:space="preserve">改頁しない_x000D_
抽出条件:&lt;SelectSetting&gt;&lt;Item tag="Infection" checkState="Checked" /&gt;&lt;/SelectSetting&gt;_x000D_
</t>
  </si>
  <si>
    <t>2025/10/09 11:35:56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</si>
  <si>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</si>
  <si>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データ変換:&lt;convTable cls=""&gt;&lt;conv code="0" item="両方" disp="両方" /&gt;&lt;conv code="1" item="左" disp="左" /&gt;&lt;conv code="2" item="右" disp="右" /&gt;&lt;conv code="3" item="なし" disp="なし" /&gt;&lt;conv code="-" item="不明" disp="不明" /&gt;&lt;/convTable&gt; ⇒ 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</t>
  </si>
  <si>
    <t>AB10:AE10</t>
  </si>
  <si>
    <t>F12:M12</t>
  </si>
  <si>
    <t>AI12</t>
  </si>
  <si>
    <t>W13:AE13</t>
  </si>
  <si>
    <t>W14:AE14</t>
  </si>
  <si>
    <t>AI14</t>
  </si>
  <si>
    <t>U17:AE17</t>
  </si>
  <si>
    <t>AH18</t>
  </si>
  <si>
    <t>U21:Z21</t>
  </si>
  <si>
    <t>U22:Z22</t>
  </si>
  <si>
    <t>U23:AE23</t>
  </si>
  <si>
    <t>AA24:AE24</t>
  </si>
  <si>
    <t>U25:Z25</t>
  </si>
  <si>
    <t>AA25:AE25</t>
  </si>
  <si>
    <t>U27:AE27</t>
  </si>
  <si>
    <t>U28:AE28</t>
  </si>
  <si>
    <t>AI29</t>
  </si>
  <si>
    <t>T34:Z44</t>
  </si>
  <si>
    <t>W56:AE56</t>
  </si>
  <si>
    <t>W58:AE58</t>
  </si>
  <si>
    <t>C60:J60</t>
  </si>
  <si>
    <t>3</t>
  </si>
  <si>
    <t>K60</t>
  </si>
  <si>
    <t>Z60:AD60</t>
  </si>
  <si>
    <t>2025/10/09 11:52:58</t>
  </si>
  <si>
    <t xml:space="preserve">新規追加_x000D_
表示文字数:42_x000D_
改頁しない_x000D_
繰返場所:B8:M9_x000D_
グループ名:紹介状.登録情報_x000D_
プレビューデータ:北海道銀行医務室_x000D_
書式:G/標準_x000D_
縮小しない_x000D_
テンプレート内外:外_x000D_
</t>
  </si>
  <si>
    <t xml:space="preserve">新規追加_x000D_
表示文字数:31_x000D_
改頁しない_x000D_
プレビューデータ:ニッキソウ　タロウ_x000D_
書式:G/標準_x000D_
縮小しない_x000D_
テンプレート内外:外_x000D_
</t>
  </si>
  <si>
    <t xml:space="preserve">新規追加_x000D_
表示文字数:31_x000D_
改頁しない_x000D_
プレビューデータ:03-1234-5678_x000D_
書式:G/標準_x000D_
縮小しない_x000D_
テンプレート内外:外_x000D_
</t>
  </si>
  <si>
    <t xml:space="preserve">新規追加_x000D_
表示文字数:31_x000D_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</si>
  <si>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 xml:space="preserve">新規追加_x000D_
表示文字数:38_x000D_
改頁しない_x000D_
プレビューデータ:11年3ケ月_x000D_
書式:G/標準_x000D_
縮小しない_x000D_
テンプレート内外:外_x000D_
</t>
  </si>
  <si>
    <t xml:space="preserve">新規追加_x000D_
表示文字数:38_x000D_
改頁しない_x000D_
プレビューデータ:日機装病院_x000D_
書式:G/標準_x000D_
縮小しない_x000D_
テンプレート内外:外_x000D_
</t>
  </si>
  <si>
    <t xml:space="preserve">新規追加_x000D_
表示文字数:38_x000D_
改頁しない_x000D_
プレビューデータ:1234567_x000D_
書式:G/標準_x000D_
縮小しない_x000D_
テンプレート内外:外_x000D_
</t>
  </si>
  <si>
    <t xml:space="preserve">新規追加_x000D_
表示文字数:15_x000D_
改頁しない_x000D_
プレビューデータ:U_x000D_
書式:G/標準_x000D_
縮小しない_x000D_
テンプレート内外:外_x000D_
</t>
  </si>
  <si>
    <t xml:space="preserve">新規追加_x000D_
表示文字数:15_x000D_
改頁しない_x000D_
プレビューデータ:U/h_x000D_
書式:G/標準_x000D_
縮小しない_x000D_
テンプレート内外:外_x000D_
</t>
  </si>
  <si>
    <t xml:space="preserve">新規追加_x000D_
表示文字数:38_x000D_
改頁しない_x000D_
プレビューデータ:左_x000D_
書式:G/標準_x000D_
データ変換:&lt;convTable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縮小しない_x000D_
テンプレート内外:外_x000D_
</t>
  </si>
  <si>
    <t xml:space="preserve">新規追加_x000D_
表示文字数:38_x000D_
改頁しない_x000D_
プレビューデータ:左手前腕内シャント化静脈_x000D_
書式:G/標準_x000D_
縮小しない_x000D_
テンプレート内外:外_x000D_
</t>
  </si>
  <si>
    <t xml:space="preserve">設定変更_x000D_
プレビューデータ:(不明) ⇒ Hbc抗体_x000D_
データ変換:&lt;convTable cls=""&gt;&lt;conv code="0" item="不明" disp="不明" /&gt;&lt;conv code="1" item="(-)" disp="(-)" /&gt;&lt;conv code="2" item="(+)" disp="(+)" /&gt;&lt;/convTable&gt; ⇒ _x000D_
</t>
  </si>
  <si>
    <t xml:space="preserve">新規追加_x000D_
改頁しない_x000D_
繰返場所:AI29_x000D_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</si>
  <si>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 xml:space="preserve">新規追加_x000D_
表示文字数:3_x000D_
改頁しない_x000D_
プレビューデータ:宇都宮市今泉５－３－５_x000D_
書式:G/標準_x000D_
縮小しない_x000D_
テンプレート内外:外_x000D_
</t>
  </si>
  <si>
    <t>患者情報.感染症(+)(-)(不明).患者情報.感染症(+)(-)(不明).外.AI29</t>
  </si>
  <si>
    <t>U21:Y21</t>
  </si>
  <si>
    <t>U22:Y22</t>
  </si>
  <si>
    <t>U24:Y24</t>
  </si>
  <si>
    <t>Z24:AE24</t>
  </si>
  <si>
    <t>U25:Y25</t>
  </si>
  <si>
    <t>Z25:AE25</t>
  </si>
  <si>
    <t>U26:Y26</t>
  </si>
  <si>
    <t>Z26:AE26</t>
  </si>
  <si>
    <t>2025/10/09 12:02:44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</si>
  <si>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</si>
  <si>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新規追加_x000D_
表示文字数:19_x000D_
改頁しない_x000D_
プレビューデータ:U_x000D_
書式:G/標準_x000D_
縮小しない_x000D_
テンプレート内外:外_x000D_
</t>
  </si>
  <si>
    <t xml:space="preserve">新規追加_x000D_
表示文字数:19_x000D_
改頁しない_x000D_
プレビューデータ:U/h_x000D_
書式:G/標準_x000D_
縮小しない_x000D_
テンプレート内外:外_x000D_
</t>
  </si>
  <si>
    <t xml:space="preserve">設定変更_x000D_
繰返場所:AH29 ⇒ AH29,AH30,AH31_x000D_
</t>
  </si>
  <si>
    <t xml:space="preserve">設定変更_x000D_
繰返場所:AI29 ⇒ AI29,AI30,AI31_x000D_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</si>
  <si>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 xml:space="preserve">設定変更_x000D_
表示文字数:28 ⇒ _x000D_
</t>
  </si>
  <si>
    <t xml:space="preserve">設定変更_x000D_
表示文字数:3 ⇒ _x000D_
</t>
  </si>
  <si>
    <t>11</t>
  </si>
  <si>
    <t>Z10:AC10</t>
  </si>
  <si>
    <t>22</t>
  </si>
  <si>
    <t>W13:AC13</t>
  </si>
  <si>
    <t>W14:AC14</t>
  </si>
  <si>
    <t>75</t>
  </si>
  <si>
    <t>F15:AC15</t>
  </si>
  <si>
    <t>30</t>
  </si>
  <si>
    <t>U17:AC17</t>
  </si>
  <si>
    <t>U18:AC18</t>
  </si>
  <si>
    <t>AF18</t>
  </si>
  <si>
    <t>U19:AC19</t>
  </si>
  <si>
    <t>U23:AC23</t>
  </si>
  <si>
    <t>Z24:AC24</t>
  </si>
  <si>
    <t>Z25:AC25</t>
  </si>
  <si>
    <t>Z26:AC26</t>
  </si>
  <si>
    <t>U27:AC27</t>
  </si>
  <si>
    <t>U28:AC28</t>
  </si>
  <si>
    <t>U29:AC29</t>
  </si>
  <si>
    <t>AF29,AF30,AF31</t>
  </si>
  <si>
    <t>AF29</t>
  </si>
  <si>
    <t>AG29,AG30,AG31</t>
  </si>
  <si>
    <t>U30:AC30</t>
  </si>
  <si>
    <t>W56:AC56</t>
  </si>
  <si>
    <t>W58:AC58</t>
  </si>
  <si>
    <t>Z60:AC60</t>
  </si>
  <si>
    <t>2025/10/09 12:11:12</t>
  </si>
  <si>
    <t xml:space="preserve">新規追加_x000D_
表示文字数:11_x000D_
改頁しない_x000D_
プレビューデータ:123456789012_x000D_
書式:G/標準_x000D_
縮小しない_x000D_
テンプレート内外:外_x000D_
</t>
  </si>
  <si>
    <t xml:space="preserve">新規追加_x000D_
表示文字数:4_x000D_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テンプレート内外:外_x000D_
</t>
  </si>
  <si>
    <t xml:space="preserve">新規追加_x000D_
表示文字数:22_x000D_
改頁しない_x000D_
プレビューデータ:03-1234-5678_x000D_
書式:G/標準_x000D_
縮小しない_x000D_
テンプレート内外:外_x000D_
</t>
  </si>
  <si>
    <t xml:space="preserve">新規追加_x000D_
表示文字数:22_x000D_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</si>
  <si>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 xml:space="preserve">新規追加_x000D_
表示文字数:75_x000D_
改頁しない_x000D_
プレビューデータ:東京都渋谷区恵比寿3-43-2 日機装第１別館１F_x000D_
書式:G/標準_x000D_
縮小しない_x000D_
テンプレート内外:外_x000D_
</t>
  </si>
  <si>
    <t xml:space="preserve">新規追加_x000D_
表示文字数:30_x000D_
改頁しない_x000D_
プレビューデータ:11年3ケ月_x000D_
書式:G/標準_x000D_
縮小しない_x000D_
テンプレート内外:外_x000D_
</t>
  </si>
  <si>
    <t xml:space="preserve">新規追加_x000D_
表示文字数:30_x000D_
改頁しない_x000D_
プレビューデータ:日機装病院_x000D_
書式:G/標準_x000D_
縮小しない_x000D_
テンプレート内外:外_x000D_
</t>
  </si>
  <si>
    <t xml:space="preserve">新規追加_x000D_
表示文字数:30_x000D_
改頁しない_x000D_
プレビューデータ:1234567_x000D_
書式:G/標準_x000D_
縮小しない_x000D_
テンプレート内外:外_x000D_
</t>
  </si>
  <si>
    <t xml:space="preserve">新規追加_x000D_
表示文字数:11_x000D_
改頁しない_x000D_
プレビューデータ:U_x000D_
書式:G/標準_x000D_
縮小しない_x000D_
テンプレート内外:外_x000D_
</t>
  </si>
  <si>
    <t xml:space="preserve">新規追加_x000D_
表示文字数:11_x000D_
改頁しない_x000D_
プレビューデータ:U/h_x000D_
書式:G/標準_x000D_
縮小しない_x000D_
テンプレート内外:外_x000D_
</t>
  </si>
  <si>
    <t xml:space="preserve">新規追加_x000D_
表示文字数:30_x000D_
改頁しない_x000D_
プレビューデータ:左_x000D_
書式:G/標準_x000D_
データ変換:&lt;convTable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縮小しない_x000D_
テンプレート内外:外_x000D_
</t>
  </si>
  <si>
    <t xml:space="preserve">新規追加_x000D_
表示文字数:30_x000D_
改頁しない_x000D_
プレビューデータ:左手前腕内シャント化静脈_x000D_
書式:G/標準_x000D_
縮小しない_x000D_
テンプレート内外:外_x000D_
</t>
  </si>
  <si>
    <t xml:space="preserve">新規追加_x000D_
改頁しない_x000D_
繰返場所:AF29,AF30,AF31_x000D_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</si>
  <si>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繰返場所:AG29,AG30,AG31_x000D_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</si>
  <si>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 xml:space="preserve">新規追加_x000D_
表示文字数:22_x000D_
改頁しない_x000D_
プレビューデータ:確認テスト_x000D_
書式:G/標準_x000D_
縮小しない_x000D_
テンプレート内外:外_x000D_
</t>
  </si>
  <si>
    <t xml:space="preserve">設定変更_x000D_
表示文字数: ⇒ _x000D_
</t>
  </si>
  <si>
    <t xml:space="preserve">新規追加_x000D_
表示文字数:11_x000D_
改頁しない_x000D_
プレビューデータ:028-621-7600_x000D_
書式:G/標準_x000D_
縮小しない_x000D_
テンプレート内外:外_x000D_
</t>
  </si>
  <si>
    <t>B8</t>
  </si>
  <si>
    <t>2025/10/09 12:17:19</t>
  </si>
  <si>
    <t xml:space="preserve">新規追加_x000D_
改頁しない_x000D_
繰返場所:B8_x000D_
グループ名:紹介状.登録情報_x000D_
プレビューデータ:北海道銀行医務室_x000D_
書式:G/標準_x000D_
縮小しない_x000D_
テンプレート内外:外_x000D_
</t>
  </si>
  <si>
    <t xml:space="preserve">新規追加_x000D_
改頁しない_x000D_
繰返場所:F24:H24_x000D_
グループ名:患者情報.身体情報(降順)_x000D_
プレビューデータ:35.05_x000D_
書式:G/標準_x000D_
縮小しない_x000D_
テンプレート内外:外_x000D_
</t>
  </si>
  <si>
    <t xml:space="preserve">新規追加_x000D_
改頁しない_x000D_
繰返場所:F25:H25_x000D_
グループ名:患者情報.身体情報(降順)_x000D_
プレビューデータ:58.12_x000D_
書式:0.00_x000D_
縮小しない_x000D_
テンプレート内外:外_x000D_
</t>
  </si>
  <si>
    <t xml:space="preserve">新規追加_x000D_
改頁しない_x000D_
プレビューデータ:大塚医院_x000D_
書式:G/標準_x000D_
縮小しない_x000D_
テンプレート内外:外_x000D_
</t>
  </si>
  <si>
    <t xml:space="preserve">新規追加_x000D_
改頁しない_x000D_
プレビューデータ:028-621-7600_x000D_
書式:G/標準_x000D_
縮小しない_x000D_
テンプレート内外:外_x000D_
</t>
  </si>
  <si>
    <t>紹介状.登録情報.紹介状.登録情報.外.B8</t>
  </si>
  <si>
    <t>2025/10/09 12:17:20</t>
  </si>
  <si>
    <t>2025/10/09 12:17:42</t>
  </si>
  <si>
    <t>C8:L9</t>
  </si>
  <si>
    <t>37</t>
  </si>
  <si>
    <t>&lt;convTable cls=""&gt;&lt;conv code="0" item="不明" disp="不明" /&gt;&lt;conv code="1" item="男性" disp="男" /&gt;&lt;conv code="2" item="女性" disp="女"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</si>
  <si>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</si>
  <si>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2025/10/09 12:21:44</t>
  </si>
  <si>
    <t xml:space="preserve">新規追加_x000D_
表示文字数:37_x000D_
改頁しない_x000D_
繰返場所:C8:L9_x000D_
グループ名:紹介状.登録情報_x000D_
プレビューデータ:北海道銀行医務室_x000D_
書式:G/標準_x000D_
縮小しない_x000D_
テンプレート内外:外_x000D_
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</si>
  <si>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</si>
  <si>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>紹介状.登録情報.紹介状.登録情報.外.C8:L9</t>
  </si>
  <si>
    <t>2025/10/09 12:24:58</t>
  </si>
  <si>
    <t>2025/10/09 12:29:22</t>
  </si>
  <si>
    <t>&lt;convTable cls=""&gt;&lt;conv code="0" item="両方" disp="両方" /&gt;&lt;conv code="1" item="左" disp="左" /&gt;&lt;conv code="2" item="右" disp="右" /&gt;&lt;conv code="3" item="なし" disp="なし" /&gt;&lt;conv code="-" item="不明" disp="不明" /&gt;&lt;/convTable&gt;</t>
  </si>
  <si>
    <t>&lt;convTable cls=""&gt;&lt;conv code="0" item="不明" disp="不明" /&gt;&lt;conv code="1" item="(-)" disp="(-)" /&gt;&lt;conv code="2" item="(+)" disp="(+)" /&gt;&lt;/convTable&gt;</t>
  </si>
  <si>
    <t>患者情報.身体情報(降順)DW</t>
  </si>
  <si>
    <t>2025/10/15 17:03:24</t>
  </si>
  <si>
    <t xml:space="preserve">設定変更_x000D_
グループ名:患者情報.身体情報(降順) ⇒ 患者情報.身体情報(降順)DW_x000D_
</t>
  </si>
  <si>
    <t>患者情報.身体情報(降順).患者情報.身体情報(降順)DW.外.F23:H23</t>
  </si>
  <si>
    <t>2025/10/15 17:16:33</t>
  </si>
  <si>
    <t xml:space="preserve">設定変更_x000D_
縮小しない_x000D_
</t>
  </si>
  <si>
    <t>2025/10/20 15:43:33</t>
  </si>
  <si>
    <t xml:space="preserve">設定変更_x000D_
表示文字数:28 ⇒ _x000D_
縮小しない_x000D_
</t>
  </si>
  <si>
    <t>##患者情報.装置設定.除水速度操作範囲上限</t>
  </si>
  <si>
    <t>##患者情報.装置設定.除水速度操作範囲上限</t>
    <phoneticPr fontId="1"/>
  </si>
  <si>
    <t>装置設定</t>
  </si>
  <si>
    <t>除水速度操作範囲上限</t>
  </si>
  <si>
    <t>211</t>
  </si>
  <si>
    <t>ope_dev_a_0181</t>
  </si>
  <si>
    <t>4.00</t>
  </si>
  <si>
    <t>2025/10/20 16:25:02</t>
  </si>
  <si>
    <t xml:space="preserve">設定変更_x000D_
プレビューデータ: ⇒ 4.00_x000D_
</t>
  </si>
  <si>
    <t>2025/10/20 16:26:05</t>
  </si>
  <si>
    <t xml:space="preserve">設定変更_x000D_
書式:0.00 ⇒ 0_x000D_
</t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</si>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</sst>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"/>
  </numFmts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22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u/>
      <sz val="11"/>
      <color theme="1"/>
      <name val="游ゴシック"/>
      <family val="3"/>
      <charset val="128"/>
    </font>
    <font>
      <u/>
      <sz val="10"/>
      <color theme="1"/>
      <name val="游ゴシック"/>
      <family val="3"/>
      <charset val="128"/>
    </font>
    <font>
      <b/>
      <u/>
      <sz val="14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1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5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2" fillId="3" borderId="0" xfId="0" applyNumberFormat="1" applyFont="1" applyFill="1">
      <alignment vertical="center"/>
    </xf>
    <xf numFmtId="0" fontId="2" fillId="0" borderId="10" xfId="0" applyNumberFormat="1" applyFont="1" applyBorder="1" applyAlignment="1">
      <alignment vertical="center"/>
    </xf>
    <xf numFmtId="1" fontId="2" fillId="3" borderId="0" xfId="0" applyNumberFormat="1" applyFont="1" applyFill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left" vertical="distributed"/>
    </xf>
    <xf numFmtId="176" fontId="2" fillId="0" borderId="0" xfId="0" applyNumberFormat="1" applyFont="1" applyBorder="1" applyAlignment="1">
      <alignment horizontal="left" vertical="center"/>
    </xf>
    <xf numFmtId="0" fontId="2" fillId="3" borderId="0" xfId="0" applyNumberFormat="1" applyFont="1" applyFill="1" applyAlignment="1">
      <alignment vertical="center" shrinkToFit="1"/>
    </xf>
    <xf numFmtId="1" fontId="2" fillId="0" borderId="0" xfId="0" applyNumberFormat="1" applyFont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2" fontId="2" fillId="0" borderId="0" xfId="0" applyNumberFormat="1" applyFont="1" applyBorder="1" applyAlignment="1">
      <alignment horizontal="left" vertical="center"/>
    </xf>
    <xf numFmtId="2" fontId="2" fillId="3" borderId="0" xfId="0" applyNumberFormat="1" applyFont="1" applyFill="1">
      <alignment vertical="center"/>
    </xf>
    <xf numFmtId="0" fontId="2" fillId="0" borderId="3" xfId="0" applyFont="1" applyBorder="1" applyAlignment="1">
      <alignment vertical="center"/>
    </xf>
    <xf numFmtId="14" fontId="2" fillId="0" borderId="0" xfId="0" applyNumberFormat="1" applyFont="1" applyBorder="1" applyAlignment="1">
      <alignment horizontal="left" vertical="center"/>
    </xf>
    <xf numFmtId="176" fontId="2" fillId="3" borderId="0" xfId="0" applyNumberFormat="1" applyFont="1" applyFill="1">
      <alignment vertical="center"/>
    </xf>
    <xf numFmtId="0" fontId="2" fillId="0" borderId="0" xfId="0" applyFont="1" applyFill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Border="1" applyAlignment="1">
      <alignment vertical="center" shrinkToFit="1"/>
    </xf>
    <xf numFmtId="0" fontId="2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8" fillId="0" borderId="0" xfId="0" applyFont="1">
      <alignment vertical="center"/>
    </xf>
    <xf numFmtId="0" fontId="2" fillId="0" borderId="0" xfId="0" applyNumberFormat="1" applyFont="1" applyAlignment="1">
      <alignment horizontal="left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 shrinkToFit="1"/>
    </xf>
    <xf numFmtId="176" fontId="2" fillId="0" borderId="9" xfId="0" applyNumberFormat="1" applyFont="1" applyBorder="1" applyAlignment="1">
      <alignment horizontal="center" vertical="center" shrinkToFit="1"/>
    </xf>
    <xf numFmtId="176" fontId="2" fillId="0" borderId="5" xfId="0" applyNumberFormat="1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1" fontId="2" fillId="0" borderId="13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" fontId="2" fillId="0" borderId="2" xfId="0" applyNumberFormat="1" applyFont="1" applyBorder="1" applyAlignment="1">
      <alignment horizontal="right" vertical="center"/>
    </xf>
    <xf numFmtId="1" fontId="2" fillId="0" borderId="3" xfId="0" applyNumberFormat="1" applyFont="1" applyBorder="1" applyAlignment="1">
      <alignment horizontal="right" vertical="center"/>
    </xf>
    <xf numFmtId="14" fontId="2" fillId="0" borderId="3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left" vertical="center"/>
    </xf>
    <xf numFmtId="177" fontId="2" fillId="0" borderId="2" xfId="0" applyNumberFormat="1" applyFont="1" applyBorder="1" applyAlignment="1">
      <alignment horizontal="right" vertical="center"/>
    </xf>
    <xf numFmtId="177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/>
    </xf>
    <xf numFmtId="0" fontId="2" fillId="0" borderId="4" xfId="0" applyNumberFormat="1" applyFont="1" applyBorder="1" applyAlignment="1">
      <alignment vertical="center"/>
    </xf>
    <xf numFmtId="2" fontId="2" fillId="0" borderId="2" xfId="0" applyNumberFormat="1" applyFont="1" applyBorder="1" applyAlignment="1">
      <alignment horizontal="right" vertical="center"/>
    </xf>
    <xf numFmtId="2" fontId="2" fillId="0" borderId="3" xfId="0" applyNumberFormat="1" applyFont="1" applyBorder="1" applyAlignment="1">
      <alignment horizontal="right" vertical="center"/>
    </xf>
    <xf numFmtId="176" fontId="2" fillId="0" borderId="0" xfId="0" applyNumberFormat="1" applyFont="1" applyAlignment="1">
      <alignment horizontal="left" vertical="center" indent="2"/>
    </xf>
    <xf numFmtId="0" fontId="2" fillId="0" borderId="0" xfId="0" applyNumberFormat="1" applyFont="1" applyAlignment="1">
      <alignment horizontal="left" vertical="center" indent="2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indent="1"/>
    </xf>
    <xf numFmtId="176" fontId="2" fillId="0" borderId="13" xfId="0" applyNumberFormat="1" applyFont="1" applyBorder="1" applyAlignment="1">
      <alignment horizontal="center" vertical="center" shrinkToFit="1"/>
    </xf>
    <xf numFmtId="176" fontId="2" fillId="0" borderId="12" xfId="0" applyNumberFormat="1" applyFont="1" applyBorder="1" applyAlignment="1">
      <alignment horizontal="center" vertical="center" shrinkToFit="1"/>
    </xf>
    <xf numFmtId="0" fontId="2" fillId="0" borderId="7" xfId="0" applyNumberFormat="1" applyFont="1" applyBorder="1" applyAlignment="1">
      <alignment horizontal="left" vertical="center" indent="1" shrinkToFit="1"/>
    </xf>
    <xf numFmtId="0" fontId="2" fillId="0" borderId="8" xfId="0" applyNumberFormat="1" applyFont="1" applyBorder="1" applyAlignment="1">
      <alignment horizontal="left" vertical="center" indent="1" shrinkToFit="1"/>
    </xf>
    <xf numFmtId="0" fontId="2" fillId="0" borderId="9" xfId="0" applyNumberFormat="1" applyFont="1" applyBorder="1" applyAlignment="1">
      <alignment horizontal="left" vertical="center" indent="1" shrinkToFit="1"/>
    </xf>
    <xf numFmtId="0" fontId="2" fillId="0" borderId="5" xfId="0" applyNumberFormat="1" applyFont="1" applyBorder="1" applyAlignment="1">
      <alignment horizontal="left" vertical="center" indent="1" shrinkToFit="1"/>
    </xf>
    <xf numFmtId="0" fontId="2" fillId="0" borderId="1" xfId="0" applyNumberFormat="1" applyFont="1" applyBorder="1" applyAlignment="1">
      <alignment horizontal="left" vertical="center" indent="1" shrinkToFit="1"/>
    </xf>
    <xf numFmtId="0" fontId="2" fillId="0" borderId="6" xfId="0" applyNumberFormat="1" applyFont="1" applyBorder="1" applyAlignment="1">
      <alignment horizontal="left" vertical="center" indent="1" shrinkToFit="1"/>
    </xf>
    <xf numFmtId="0" fontId="2" fillId="0" borderId="5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2" fillId="0" borderId="2" xfId="0" applyNumberFormat="1" applyFont="1" applyBorder="1" applyAlignment="1">
      <alignment horizontal="left" vertical="distributed"/>
    </xf>
    <xf numFmtId="0" fontId="2" fillId="0" borderId="3" xfId="0" applyNumberFormat="1" applyFont="1" applyBorder="1" applyAlignment="1">
      <alignment horizontal="left" vertical="distributed"/>
    </xf>
    <xf numFmtId="0" fontId="2" fillId="0" borderId="4" xfId="0" applyNumberFormat="1" applyFont="1" applyBorder="1" applyAlignment="1">
      <alignment horizontal="left" vertical="distributed"/>
    </xf>
    <xf numFmtId="1" fontId="2" fillId="0" borderId="3" xfId="0" applyNumberFormat="1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176" fontId="2" fillId="0" borderId="3" xfId="0" applyNumberFormat="1" applyFont="1" applyBorder="1" applyAlignment="1">
      <alignment horizontal="left" vertical="center"/>
    </xf>
    <xf numFmtId="176" fontId="2" fillId="0" borderId="4" xfId="0" applyNumberFormat="1" applyFont="1" applyBorder="1" applyAlignment="1">
      <alignment horizontal="left" vertical="center"/>
    </xf>
    <xf numFmtId="2" fontId="2" fillId="0" borderId="3" xfId="0" applyNumberFormat="1" applyFont="1" applyBorder="1" applyAlignment="1">
      <alignment horizontal="left" vertical="center"/>
    </xf>
    <xf numFmtId="2" fontId="2" fillId="0" borderId="4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center" shrinkToFit="1"/>
    </xf>
    <xf numFmtId="1" fontId="2" fillId="0" borderId="2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7615-A3F5-46F5-9702-C42860856A6C}">
  <dimension ref="A1:E547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3" t="s">
        <v>6</v>
      </c>
    </row>
    <row r="2" spans="1:5" ht="409.5" x14ac:dyDescent="0.4">
      <c r="A2" s="1" t="s">
        <v>3</v>
      </c>
      <c r="B2" s="1" t="s">
        <v>88</v>
      </c>
      <c r="C2" s="1" t="s">
        <v>9</v>
      </c>
      <c r="D2" s="1" t="s">
        <v>84</v>
      </c>
      <c r="E2" s="3" t="s">
        <v>89</v>
      </c>
    </row>
    <row r="3" spans="1:5" ht="56.25" x14ac:dyDescent="0.4">
      <c r="A3" s="1" t="s">
        <v>3</v>
      </c>
      <c r="B3" s="1" t="s">
        <v>88</v>
      </c>
      <c r="C3" s="1" t="s">
        <v>92</v>
      </c>
      <c r="D3" s="1" t="s">
        <v>93</v>
      </c>
      <c r="E3" s="3" t="s">
        <v>94</v>
      </c>
    </row>
    <row r="4" spans="1:5" ht="93.75" x14ac:dyDescent="0.4">
      <c r="A4" s="1" t="s">
        <v>3</v>
      </c>
      <c r="B4" s="1" t="s">
        <v>95</v>
      </c>
      <c r="C4" s="1" t="s">
        <v>96</v>
      </c>
      <c r="D4" s="1" t="s">
        <v>1</v>
      </c>
      <c r="E4" s="3" t="s">
        <v>97</v>
      </c>
    </row>
    <row r="5" spans="1:5" ht="409.5" x14ac:dyDescent="0.4">
      <c r="A5" s="1" t="s">
        <v>3</v>
      </c>
      <c r="B5" s="1" t="s">
        <v>187</v>
      </c>
      <c r="C5" s="1" t="s">
        <v>9</v>
      </c>
      <c r="D5" s="1" t="s">
        <v>113</v>
      </c>
      <c r="E5" s="3" t="s">
        <v>188</v>
      </c>
    </row>
    <row r="6" spans="1:5" ht="337.5" x14ac:dyDescent="0.4">
      <c r="A6" s="1" t="s">
        <v>3</v>
      </c>
      <c r="B6" s="1" t="s">
        <v>187</v>
      </c>
      <c r="C6" s="1" t="s">
        <v>98</v>
      </c>
      <c r="D6" s="1" t="s">
        <v>120</v>
      </c>
      <c r="E6" s="3" t="s">
        <v>189</v>
      </c>
    </row>
    <row r="7" spans="1:5" ht="356.25" x14ac:dyDescent="0.4">
      <c r="A7" s="1" t="s">
        <v>3</v>
      </c>
      <c r="B7" s="1" t="s">
        <v>187</v>
      </c>
      <c r="C7" s="1" t="s">
        <v>99</v>
      </c>
      <c r="D7" s="1" t="s">
        <v>125</v>
      </c>
      <c r="E7" s="3" t="s">
        <v>190</v>
      </c>
    </row>
    <row r="8" spans="1:5" ht="409.5" x14ac:dyDescent="0.4">
      <c r="A8" s="1" t="s">
        <v>3</v>
      </c>
      <c r="B8" s="1" t="s">
        <v>187</v>
      </c>
      <c r="C8" s="1" t="s">
        <v>101</v>
      </c>
      <c r="D8" s="1" t="s">
        <v>129</v>
      </c>
      <c r="E8" s="3" t="s">
        <v>191</v>
      </c>
    </row>
    <row r="9" spans="1:5" ht="337.5" x14ac:dyDescent="0.4">
      <c r="A9" s="1" t="s">
        <v>3</v>
      </c>
      <c r="B9" s="1" t="s">
        <v>187</v>
      </c>
      <c r="C9" s="1" t="s">
        <v>100</v>
      </c>
      <c r="D9" s="1" t="s">
        <v>133</v>
      </c>
      <c r="E9" s="3" t="s">
        <v>192</v>
      </c>
    </row>
    <row r="10" spans="1:5" ht="356.25" x14ac:dyDescent="0.4">
      <c r="A10" s="1" t="s">
        <v>3</v>
      </c>
      <c r="B10" s="1" t="s">
        <v>187</v>
      </c>
      <c r="C10" s="1" t="s">
        <v>102</v>
      </c>
      <c r="D10" s="1" t="s">
        <v>137</v>
      </c>
      <c r="E10" s="3" t="s">
        <v>193</v>
      </c>
    </row>
    <row r="11" spans="1:5" ht="318.75" x14ac:dyDescent="0.4">
      <c r="A11" s="1" t="s">
        <v>3</v>
      </c>
      <c r="B11" s="1" t="s">
        <v>187</v>
      </c>
      <c r="C11" s="1" t="s">
        <v>104</v>
      </c>
      <c r="D11" s="1" t="s">
        <v>142</v>
      </c>
      <c r="E11" s="3" t="s">
        <v>194</v>
      </c>
    </row>
    <row r="12" spans="1:5" ht="409.5" x14ac:dyDescent="0.4">
      <c r="A12" s="1" t="s">
        <v>3</v>
      </c>
      <c r="B12" s="1" t="s">
        <v>187</v>
      </c>
      <c r="C12" s="1" t="s">
        <v>103</v>
      </c>
      <c r="D12" s="1" t="s">
        <v>146</v>
      </c>
      <c r="E12" s="3" t="s">
        <v>195</v>
      </c>
    </row>
    <row r="13" spans="1:5" ht="393.75" x14ac:dyDescent="0.4">
      <c r="A13" s="1" t="s">
        <v>3</v>
      </c>
      <c r="B13" s="1" t="s">
        <v>187</v>
      </c>
      <c r="C13" s="1" t="s">
        <v>105</v>
      </c>
      <c r="D13" s="1" t="s">
        <v>150</v>
      </c>
      <c r="E13" s="3" t="s">
        <v>196</v>
      </c>
    </row>
    <row r="14" spans="1:5" ht="318.75" x14ac:dyDescent="0.4">
      <c r="A14" s="1" t="s">
        <v>3</v>
      </c>
      <c r="B14" s="1" t="s">
        <v>187</v>
      </c>
      <c r="C14" s="1" t="s">
        <v>106</v>
      </c>
      <c r="D14" s="1" t="s">
        <v>157</v>
      </c>
      <c r="E14" s="3" t="s">
        <v>197</v>
      </c>
    </row>
    <row r="15" spans="1:5" ht="300" x14ac:dyDescent="0.4">
      <c r="A15" s="1" t="s">
        <v>3</v>
      </c>
      <c r="B15" s="1" t="s">
        <v>187</v>
      </c>
      <c r="C15" s="1" t="s">
        <v>107</v>
      </c>
      <c r="D15" s="1" t="s">
        <v>163</v>
      </c>
      <c r="E15" s="3" t="s">
        <v>198</v>
      </c>
    </row>
    <row r="16" spans="1:5" ht="262.5" x14ac:dyDescent="0.4">
      <c r="A16" s="1" t="s">
        <v>3</v>
      </c>
      <c r="B16" s="1" t="s">
        <v>187</v>
      </c>
      <c r="C16" s="1" t="s">
        <v>108</v>
      </c>
      <c r="D16" s="1" t="s">
        <v>166</v>
      </c>
      <c r="E16" s="3" t="s">
        <v>199</v>
      </c>
    </row>
    <row r="17" spans="1:5" ht="337.5" x14ac:dyDescent="0.4">
      <c r="A17" s="1" t="s">
        <v>3</v>
      </c>
      <c r="B17" s="1" t="s">
        <v>187</v>
      </c>
      <c r="C17" s="1" t="s">
        <v>109</v>
      </c>
      <c r="D17" s="1" t="s">
        <v>170</v>
      </c>
      <c r="E17" s="3" t="s">
        <v>200</v>
      </c>
    </row>
    <row r="18" spans="1:5" ht="318.75" x14ac:dyDescent="0.4">
      <c r="A18" s="1" t="s">
        <v>3</v>
      </c>
      <c r="B18" s="1" t="s">
        <v>187</v>
      </c>
      <c r="C18" s="1" t="s">
        <v>110</v>
      </c>
      <c r="D18" s="1" t="s">
        <v>174</v>
      </c>
      <c r="E18" s="3" t="s">
        <v>201</v>
      </c>
    </row>
    <row r="19" spans="1:5" ht="318.75" x14ac:dyDescent="0.4">
      <c r="A19" s="1" t="s">
        <v>3</v>
      </c>
      <c r="B19" s="1" t="s">
        <v>187</v>
      </c>
      <c r="C19" s="1" t="s">
        <v>111</v>
      </c>
      <c r="D19" s="1" t="s">
        <v>178</v>
      </c>
      <c r="E19" s="3" t="s">
        <v>202</v>
      </c>
    </row>
    <row r="20" spans="1:5" ht="375" x14ac:dyDescent="0.4">
      <c r="A20" s="1" t="s">
        <v>3</v>
      </c>
      <c r="B20" s="1" t="s">
        <v>187</v>
      </c>
      <c r="C20" s="1" t="s">
        <v>112</v>
      </c>
      <c r="D20" s="1" t="s">
        <v>185</v>
      </c>
      <c r="E20" s="3" t="s">
        <v>203</v>
      </c>
    </row>
    <row r="21" spans="1:5" x14ac:dyDescent="0.4">
      <c r="A21" s="1" t="s">
        <v>3</v>
      </c>
      <c r="B21" s="1" t="s">
        <v>187</v>
      </c>
      <c r="C21" s="1" t="s">
        <v>9</v>
      </c>
      <c r="D21" s="1" t="s">
        <v>84</v>
      </c>
      <c r="E21" s="1" t="s">
        <v>204</v>
      </c>
    </row>
    <row r="22" spans="1:5" ht="56.25" x14ac:dyDescent="0.4">
      <c r="A22" s="1" t="s">
        <v>3</v>
      </c>
      <c r="B22" s="1" t="s">
        <v>187</v>
      </c>
      <c r="C22" s="1" t="s">
        <v>205</v>
      </c>
      <c r="D22" s="1" t="s">
        <v>93</v>
      </c>
      <c r="E22" s="3" t="s">
        <v>94</v>
      </c>
    </row>
    <row r="23" spans="1:5" ht="56.25" x14ac:dyDescent="0.4">
      <c r="A23" s="1" t="s">
        <v>3</v>
      </c>
      <c r="B23" s="1" t="s">
        <v>187</v>
      </c>
      <c r="C23" s="1" t="s">
        <v>206</v>
      </c>
      <c r="D23" s="1" t="s">
        <v>93</v>
      </c>
      <c r="E23" s="3" t="s">
        <v>94</v>
      </c>
    </row>
    <row r="24" spans="1:5" x14ac:dyDescent="0.4">
      <c r="A24" s="1" t="s">
        <v>3</v>
      </c>
      <c r="B24" s="1" t="s">
        <v>187</v>
      </c>
      <c r="C24" s="1" t="s">
        <v>92</v>
      </c>
      <c r="D24" s="1" t="s">
        <v>93</v>
      </c>
      <c r="E24" s="1" t="s">
        <v>204</v>
      </c>
    </row>
    <row r="25" spans="1:5" ht="56.25" x14ac:dyDescent="0.4">
      <c r="A25" s="1" t="s">
        <v>3</v>
      </c>
      <c r="B25" s="1" t="s">
        <v>208</v>
      </c>
      <c r="C25" s="1" t="s">
        <v>209</v>
      </c>
      <c r="D25" s="1" t="s">
        <v>1</v>
      </c>
      <c r="E25" s="3" t="s">
        <v>210</v>
      </c>
    </row>
    <row r="26" spans="1:5" ht="409.5" x14ac:dyDescent="0.4">
      <c r="A26" s="1" t="s">
        <v>3</v>
      </c>
      <c r="B26" s="1" t="s">
        <v>324</v>
      </c>
      <c r="C26" s="1" t="s">
        <v>103</v>
      </c>
      <c r="D26" s="1" t="s">
        <v>146</v>
      </c>
      <c r="E26" s="3" t="s">
        <v>325</v>
      </c>
    </row>
    <row r="27" spans="1:5" ht="318.75" x14ac:dyDescent="0.4">
      <c r="A27" s="1" t="s">
        <v>3</v>
      </c>
      <c r="B27" s="1" t="s">
        <v>324</v>
      </c>
      <c r="C27" s="1" t="s">
        <v>221</v>
      </c>
      <c r="D27" s="1" t="s">
        <v>245</v>
      </c>
      <c r="E27" s="3" t="s">
        <v>326</v>
      </c>
    </row>
    <row r="28" spans="1:5" ht="318.75" x14ac:dyDescent="0.4">
      <c r="A28" s="1" t="s">
        <v>3</v>
      </c>
      <c r="B28" s="1" t="s">
        <v>324</v>
      </c>
      <c r="C28" s="1" t="s">
        <v>222</v>
      </c>
      <c r="D28" s="1" t="s">
        <v>248</v>
      </c>
      <c r="E28" s="3" t="s">
        <v>327</v>
      </c>
    </row>
    <row r="29" spans="1:5" ht="243.75" x14ac:dyDescent="0.4">
      <c r="A29" s="1" t="s">
        <v>3</v>
      </c>
      <c r="B29" s="1" t="s">
        <v>324</v>
      </c>
      <c r="C29" s="1" t="s">
        <v>108</v>
      </c>
      <c r="D29" s="1" t="s">
        <v>249</v>
      </c>
      <c r="E29" s="3" t="s">
        <v>328</v>
      </c>
    </row>
    <row r="30" spans="1:5" ht="318.75" x14ac:dyDescent="0.4">
      <c r="A30" s="1" t="s">
        <v>3</v>
      </c>
      <c r="B30" s="1" t="s">
        <v>324</v>
      </c>
      <c r="C30" s="1" t="s">
        <v>223</v>
      </c>
      <c r="D30" s="1" t="s">
        <v>253</v>
      </c>
      <c r="E30" s="3" t="s">
        <v>329</v>
      </c>
    </row>
    <row r="31" spans="1:5" ht="262.5" x14ac:dyDescent="0.4">
      <c r="A31" s="1" t="s">
        <v>3</v>
      </c>
      <c r="B31" s="1" t="s">
        <v>324</v>
      </c>
      <c r="C31" s="1" t="s">
        <v>225</v>
      </c>
      <c r="D31" s="1" t="s">
        <v>257</v>
      </c>
      <c r="E31" s="3" t="s">
        <v>330</v>
      </c>
    </row>
    <row r="32" spans="1:5" ht="393.75" x14ac:dyDescent="0.4">
      <c r="A32" s="1" t="s">
        <v>3</v>
      </c>
      <c r="B32" s="1" t="s">
        <v>324</v>
      </c>
      <c r="C32" s="1" t="s">
        <v>112</v>
      </c>
      <c r="D32" s="1" t="s">
        <v>258</v>
      </c>
      <c r="E32" s="3" t="s">
        <v>331</v>
      </c>
    </row>
    <row r="33" spans="1:5" ht="337.5" x14ac:dyDescent="0.4">
      <c r="A33" s="1" t="s">
        <v>3</v>
      </c>
      <c r="B33" s="1" t="s">
        <v>324</v>
      </c>
      <c r="C33" s="1" t="s">
        <v>226</v>
      </c>
      <c r="D33" s="1" t="s">
        <v>259</v>
      </c>
      <c r="E33" s="3" t="s">
        <v>332</v>
      </c>
    </row>
    <row r="34" spans="1:5" ht="409.5" x14ac:dyDescent="0.4">
      <c r="A34" s="1" t="s">
        <v>3</v>
      </c>
      <c r="B34" s="1" t="s">
        <v>324</v>
      </c>
      <c r="C34" s="1" t="s">
        <v>211</v>
      </c>
      <c r="D34" s="1" t="s">
        <v>263</v>
      </c>
      <c r="E34" s="3" t="s">
        <v>333</v>
      </c>
    </row>
    <row r="35" spans="1:5" ht="409.5" x14ac:dyDescent="0.4">
      <c r="A35" s="1" t="s">
        <v>3</v>
      </c>
      <c r="B35" s="1" t="s">
        <v>324</v>
      </c>
      <c r="C35" s="1" t="s">
        <v>212</v>
      </c>
      <c r="D35" s="1" t="s">
        <v>266</v>
      </c>
      <c r="E35" s="3" t="s">
        <v>334</v>
      </c>
    </row>
    <row r="36" spans="1:5" ht="337.5" x14ac:dyDescent="0.4">
      <c r="A36" s="1" t="s">
        <v>3</v>
      </c>
      <c r="B36" s="1" t="s">
        <v>324</v>
      </c>
      <c r="C36" s="1" t="s">
        <v>228</v>
      </c>
      <c r="D36" s="1" t="s">
        <v>270</v>
      </c>
      <c r="E36" s="3" t="s">
        <v>335</v>
      </c>
    </row>
    <row r="37" spans="1:5" ht="409.5" x14ac:dyDescent="0.4">
      <c r="A37" s="1" t="s">
        <v>3</v>
      </c>
      <c r="B37" s="1" t="s">
        <v>324</v>
      </c>
      <c r="C37" s="1" t="s">
        <v>213</v>
      </c>
      <c r="D37" s="1" t="s">
        <v>274</v>
      </c>
      <c r="E37" s="3" t="s">
        <v>336</v>
      </c>
    </row>
    <row r="38" spans="1:5" ht="262.5" x14ac:dyDescent="0.4">
      <c r="A38" s="1" t="s">
        <v>3</v>
      </c>
      <c r="B38" s="1" t="s">
        <v>324</v>
      </c>
      <c r="C38" s="1" t="s">
        <v>229</v>
      </c>
      <c r="D38" s="1" t="s">
        <v>278</v>
      </c>
      <c r="E38" s="3" t="s">
        <v>337</v>
      </c>
    </row>
    <row r="39" spans="1:5" ht="300" x14ac:dyDescent="0.4">
      <c r="A39" s="1" t="s">
        <v>3</v>
      </c>
      <c r="B39" s="1" t="s">
        <v>324</v>
      </c>
      <c r="C39" s="1" t="s">
        <v>230</v>
      </c>
      <c r="D39" s="1" t="s">
        <v>282</v>
      </c>
      <c r="E39" s="3" t="s">
        <v>338</v>
      </c>
    </row>
    <row r="40" spans="1:5" ht="262.5" x14ac:dyDescent="0.4">
      <c r="A40" s="1" t="s">
        <v>3</v>
      </c>
      <c r="B40" s="1" t="s">
        <v>324</v>
      </c>
      <c r="C40" s="1" t="s">
        <v>231</v>
      </c>
      <c r="D40" s="1" t="s">
        <v>286</v>
      </c>
      <c r="E40" s="3" t="s">
        <v>339</v>
      </c>
    </row>
    <row r="41" spans="1:5" ht="318.75" x14ac:dyDescent="0.4">
      <c r="A41" s="1" t="s">
        <v>3</v>
      </c>
      <c r="B41" s="1" t="s">
        <v>324</v>
      </c>
      <c r="C41" s="1" t="s">
        <v>232</v>
      </c>
      <c r="D41" s="1" t="s">
        <v>290</v>
      </c>
      <c r="E41" s="3" t="s">
        <v>340</v>
      </c>
    </row>
    <row r="42" spans="1:5" ht="262.5" x14ac:dyDescent="0.4">
      <c r="A42" s="1" t="s">
        <v>3</v>
      </c>
      <c r="B42" s="1" t="s">
        <v>324</v>
      </c>
      <c r="C42" s="1" t="s">
        <v>233</v>
      </c>
      <c r="D42" s="1" t="s">
        <v>294</v>
      </c>
      <c r="E42" s="3" t="s">
        <v>341</v>
      </c>
    </row>
    <row r="43" spans="1:5" ht="300" x14ac:dyDescent="0.4">
      <c r="A43" s="1" t="s">
        <v>3</v>
      </c>
      <c r="B43" s="1" t="s">
        <v>324</v>
      </c>
      <c r="C43" s="1" t="s">
        <v>230</v>
      </c>
      <c r="D43" s="1" t="s">
        <v>295</v>
      </c>
      <c r="E43" s="3" t="s">
        <v>338</v>
      </c>
    </row>
    <row r="44" spans="1:5" ht="337.5" x14ac:dyDescent="0.4">
      <c r="A44" s="1" t="s">
        <v>3</v>
      </c>
      <c r="B44" s="1" t="s">
        <v>324</v>
      </c>
      <c r="C44" s="1" t="s">
        <v>238</v>
      </c>
      <c r="D44" s="1" t="s">
        <v>301</v>
      </c>
      <c r="E44" s="3" t="s">
        <v>342</v>
      </c>
    </row>
    <row r="45" spans="1:5" ht="318.75" x14ac:dyDescent="0.4">
      <c r="A45" s="1" t="s">
        <v>3</v>
      </c>
      <c r="B45" s="1" t="s">
        <v>324</v>
      </c>
      <c r="C45" s="1" t="s">
        <v>234</v>
      </c>
      <c r="D45" s="1" t="s">
        <v>306</v>
      </c>
      <c r="E45" s="3" t="s">
        <v>343</v>
      </c>
    </row>
    <row r="46" spans="1:5" ht="409.5" x14ac:dyDescent="0.4">
      <c r="A46" s="1" t="s">
        <v>3</v>
      </c>
      <c r="B46" s="1" t="s">
        <v>324</v>
      </c>
      <c r="C46" s="1" t="s">
        <v>239</v>
      </c>
      <c r="D46" s="1" t="s">
        <v>312</v>
      </c>
      <c r="E46" s="3" t="s">
        <v>344</v>
      </c>
    </row>
    <row r="47" spans="1:5" ht="409.5" x14ac:dyDescent="0.4">
      <c r="A47" s="1" t="s">
        <v>3</v>
      </c>
      <c r="B47" s="1" t="s">
        <v>324</v>
      </c>
      <c r="C47" s="1" t="s">
        <v>235</v>
      </c>
      <c r="D47" s="1" t="s">
        <v>318</v>
      </c>
      <c r="E47" s="3" t="s">
        <v>345</v>
      </c>
    </row>
    <row r="48" spans="1:5" ht="356.25" x14ac:dyDescent="0.4">
      <c r="A48" s="1" t="s">
        <v>3</v>
      </c>
      <c r="B48" s="1" t="s">
        <v>324</v>
      </c>
      <c r="C48" s="1" t="s">
        <v>237</v>
      </c>
      <c r="D48" s="1" t="s">
        <v>322</v>
      </c>
      <c r="E48" s="3" t="s">
        <v>346</v>
      </c>
    </row>
    <row r="49" spans="1:5" ht="262.5" x14ac:dyDescent="0.4">
      <c r="A49" s="1" t="s">
        <v>3</v>
      </c>
      <c r="B49" s="1" t="s">
        <v>324</v>
      </c>
      <c r="C49" s="1" t="s">
        <v>236</v>
      </c>
      <c r="D49" s="1" t="s">
        <v>323</v>
      </c>
      <c r="E49" s="3" t="s">
        <v>347</v>
      </c>
    </row>
    <row r="50" spans="1:5" x14ac:dyDescent="0.4">
      <c r="A50" s="1" t="s">
        <v>3</v>
      </c>
      <c r="B50" s="1" t="s">
        <v>324</v>
      </c>
      <c r="C50" s="1" t="s">
        <v>108</v>
      </c>
      <c r="D50" s="1" t="s">
        <v>166</v>
      </c>
      <c r="E50" s="1" t="s">
        <v>204</v>
      </c>
    </row>
    <row r="51" spans="1:5" x14ac:dyDescent="0.4">
      <c r="A51" s="1" t="s">
        <v>3</v>
      </c>
      <c r="B51" s="1" t="s">
        <v>324</v>
      </c>
      <c r="C51" s="1" t="s">
        <v>112</v>
      </c>
      <c r="D51" s="1" t="s">
        <v>185</v>
      </c>
      <c r="E51" s="1" t="s">
        <v>204</v>
      </c>
    </row>
    <row r="52" spans="1:5" ht="56.25" x14ac:dyDescent="0.4">
      <c r="A52" s="1" t="s">
        <v>3</v>
      </c>
      <c r="B52" s="1" t="s">
        <v>324</v>
      </c>
      <c r="C52" s="1" t="s">
        <v>348</v>
      </c>
      <c r="D52" s="1" t="s">
        <v>93</v>
      </c>
      <c r="E52" s="3" t="s">
        <v>94</v>
      </c>
    </row>
    <row r="53" spans="1:5" ht="56.25" x14ac:dyDescent="0.4">
      <c r="A53" s="1" t="s">
        <v>3</v>
      </c>
      <c r="B53" s="1" t="s">
        <v>349</v>
      </c>
      <c r="C53" s="1" t="s">
        <v>209</v>
      </c>
      <c r="D53" s="1" t="s">
        <v>1</v>
      </c>
      <c r="E53" s="3" t="s">
        <v>210</v>
      </c>
    </row>
    <row r="54" spans="1:5" ht="187.5" x14ac:dyDescent="0.4">
      <c r="A54" s="1" t="s">
        <v>3</v>
      </c>
      <c r="B54" s="1" t="s">
        <v>359</v>
      </c>
      <c r="C54" s="1" t="s">
        <v>360</v>
      </c>
      <c r="D54" s="1" t="s">
        <v>1</v>
      </c>
      <c r="E54" s="3" t="s">
        <v>361</v>
      </c>
    </row>
    <row r="55" spans="1:5" ht="93.75" x14ac:dyDescent="0.4">
      <c r="A55" s="1" t="s">
        <v>3</v>
      </c>
      <c r="B55" s="1" t="s">
        <v>394</v>
      </c>
      <c r="C55" s="1" t="s">
        <v>9</v>
      </c>
      <c r="D55" s="1" t="s">
        <v>113</v>
      </c>
      <c r="E55" s="3" t="s">
        <v>395</v>
      </c>
    </row>
    <row r="56" spans="1:5" ht="93.75" x14ac:dyDescent="0.4">
      <c r="A56" s="1" t="s">
        <v>3</v>
      </c>
      <c r="B56" s="1" t="s">
        <v>394</v>
      </c>
      <c r="C56" s="1" t="s">
        <v>98</v>
      </c>
      <c r="D56" s="1" t="s">
        <v>120</v>
      </c>
      <c r="E56" s="3" t="s">
        <v>395</v>
      </c>
    </row>
    <row r="57" spans="1:5" ht="93.75" x14ac:dyDescent="0.4">
      <c r="A57" s="1" t="s">
        <v>3</v>
      </c>
      <c r="B57" s="1" t="s">
        <v>394</v>
      </c>
      <c r="C57" s="1" t="s">
        <v>99</v>
      </c>
      <c r="D57" s="1" t="s">
        <v>125</v>
      </c>
      <c r="E57" s="3" t="s">
        <v>395</v>
      </c>
    </row>
    <row r="58" spans="1:5" ht="93.75" x14ac:dyDescent="0.4">
      <c r="A58" s="1" t="s">
        <v>3</v>
      </c>
      <c r="B58" s="1" t="s">
        <v>394</v>
      </c>
      <c r="C58" s="1" t="s">
        <v>101</v>
      </c>
      <c r="D58" s="1" t="s">
        <v>129</v>
      </c>
      <c r="E58" s="3" t="s">
        <v>395</v>
      </c>
    </row>
    <row r="59" spans="1:5" ht="93.75" x14ac:dyDescent="0.4">
      <c r="A59" s="1" t="s">
        <v>3</v>
      </c>
      <c r="B59" s="1" t="s">
        <v>394</v>
      </c>
      <c r="C59" s="1" t="s">
        <v>100</v>
      </c>
      <c r="D59" s="1" t="s">
        <v>133</v>
      </c>
      <c r="E59" s="3" t="s">
        <v>395</v>
      </c>
    </row>
    <row r="60" spans="1:5" ht="93.75" x14ac:dyDescent="0.4">
      <c r="A60" s="1" t="s">
        <v>3</v>
      </c>
      <c r="B60" s="1" t="s">
        <v>394</v>
      </c>
      <c r="C60" s="1" t="s">
        <v>102</v>
      </c>
      <c r="D60" s="1" t="s">
        <v>137</v>
      </c>
      <c r="E60" s="3" t="s">
        <v>395</v>
      </c>
    </row>
    <row r="61" spans="1:5" ht="93.75" x14ac:dyDescent="0.4">
      <c r="A61" s="1" t="s">
        <v>3</v>
      </c>
      <c r="B61" s="1" t="s">
        <v>394</v>
      </c>
      <c r="C61" s="1" t="s">
        <v>104</v>
      </c>
      <c r="D61" s="1" t="s">
        <v>142</v>
      </c>
      <c r="E61" s="3" t="s">
        <v>395</v>
      </c>
    </row>
    <row r="62" spans="1:5" ht="93.75" x14ac:dyDescent="0.4">
      <c r="A62" s="1" t="s">
        <v>3</v>
      </c>
      <c r="B62" s="1" t="s">
        <v>394</v>
      </c>
      <c r="C62" s="1" t="s">
        <v>103</v>
      </c>
      <c r="D62" s="1" t="s">
        <v>146</v>
      </c>
      <c r="E62" s="3" t="s">
        <v>395</v>
      </c>
    </row>
    <row r="63" spans="1:5" ht="93.75" x14ac:dyDescent="0.4">
      <c r="A63" s="1" t="s">
        <v>3</v>
      </c>
      <c r="B63" s="1" t="s">
        <v>394</v>
      </c>
      <c r="C63" s="1" t="s">
        <v>105</v>
      </c>
      <c r="D63" s="1" t="s">
        <v>150</v>
      </c>
      <c r="E63" s="3" t="s">
        <v>395</v>
      </c>
    </row>
    <row r="64" spans="1:5" ht="93.75" x14ac:dyDescent="0.4">
      <c r="A64" s="1" t="s">
        <v>3</v>
      </c>
      <c r="B64" s="1" t="s">
        <v>394</v>
      </c>
      <c r="C64" s="1" t="s">
        <v>106</v>
      </c>
      <c r="D64" s="1" t="s">
        <v>157</v>
      </c>
      <c r="E64" s="3" t="s">
        <v>395</v>
      </c>
    </row>
    <row r="65" spans="1:5" ht="93.75" x14ac:dyDescent="0.4">
      <c r="A65" s="1" t="s">
        <v>3</v>
      </c>
      <c r="B65" s="1" t="s">
        <v>394</v>
      </c>
      <c r="C65" s="1" t="s">
        <v>221</v>
      </c>
      <c r="D65" s="1" t="s">
        <v>245</v>
      </c>
      <c r="E65" s="3" t="s">
        <v>395</v>
      </c>
    </row>
    <row r="66" spans="1:5" ht="93.75" x14ac:dyDescent="0.4">
      <c r="A66" s="1" t="s">
        <v>3</v>
      </c>
      <c r="B66" s="1" t="s">
        <v>394</v>
      </c>
      <c r="C66" s="1" t="s">
        <v>107</v>
      </c>
      <c r="D66" s="1" t="s">
        <v>163</v>
      </c>
      <c r="E66" s="3" t="s">
        <v>395</v>
      </c>
    </row>
    <row r="67" spans="1:5" ht="93.75" x14ac:dyDescent="0.4">
      <c r="A67" s="1" t="s">
        <v>3</v>
      </c>
      <c r="B67" s="1" t="s">
        <v>394</v>
      </c>
      <c r="C67" s="1" t="s">
        <v>222</v>
      </c>
      <c r="D67" s="1" t="s">
        <v>248</v>
      </c>
      <c r="E67" s="3" t="s">
        <v>395</v>
      </c>
    </row>
    <row r="68" spans="1:5" ht="93.75" x14ac:dyDescent="0.4">
      <c r="A68" s="1" t="s">
        <v>3</v>
      </c>
      <c r="B68" s="1" t="s">
        <v>394</v>
      </c>
      <c r="C68" s="1" t="s">
        <v>108</v>
      </c>
      <c r="D68" s="1" t="s">
        <v>249</v>
      </c>
      <c r="E68" s="3" t="s">
        <v>395</v>
      </c>
    </row>
    <row r="69" spans="1:5" ht="93.75" x14ac:dyDescent="0.4">
      <c r="A69" s="1" t="s">
        <v>3</v>
      </c>
      <c r="B69" s="1" t="s">
        <v>394</v>
      </c>
      <c r="C69" s="1" t="s">
        <v>223</v>
      </c>
      <c r="D69" s="1" t="s">
        <v>253</v>
      </c>
      <c r="E69" s="3" t="s">
        <v>395</v>
      </c>
    </row>
    <row r="70" spans="1:5" ht="93.75" x14ac:dyDescent="0.4">
      <c r="A70" s="1" t="s">
        <v>3</v>
      </c>
      <c r="B70" s="1" t="s">
        <v>394</v>
      </c>
      <c r="C70" s="1" t="s">
        <v>109</v>
      </c>
      <c r="D70" s="1" t="s">
        <v>170</v>
      </c>
      <c r="E70" s="3" t="s">
        <v>395</v>
      </c>
    </row>
    <row r="71" spans="1:5" ht="93.75" x14ac:dyDescent="0.4">
      <c r="A71" s="1" t="s">
        <v>3</v>
      </c>
      <c r="B71" s="1" t="s">
        <v>394</v>
      </c>
      <c r="C71" s="1" t="s">
        <v>110</v>
      </c>
      <c r="D71" s="1" t="s">
        <v>174</v>
      </c>
      <c r="E71" s="3" t="s">
        <v>395</v>
      </c>
    </row>
    <row r="72" spans="1:5" ht="93.75" x14ac:dyDescent="0.4">
      <c r="A72" s="1" t="s">
        <v>3</v>
      </c>
      <c r="B72" s="1" t="s">
        <v>394</v>
      </c>
      <c r="C72" s="1" t="s">
        <v>111</v>
      </c>
      <c r="D72" s="1" t="s">
        <v>178</v>
      </c>
      <c r="E72" s="3" t="s">
        <v>395</v>
      </c>
    </row>
    <row r="73" spans="1:5" ht="93.75" x14ac:dyDescent="0.4">
      <c r="A73" s="1" t="s">
        <v>3</v>
      </c>
      <c r="B73" s="1" t="s">
        <v>394</v>
      </c>
      <c r="C73" s="1" t="s">
        <v>225</v>
      </c>
      <c r="D73" s="1" t="s">
        <v>257</v>
      </c>
      <c r="E73" s="3" t="s">
        <v>395</v>
      </c>
    </row>
    <row r="74" spans="1:5" ht="93.75" x14ac:dyDescent="0.4">
      <c r="A74" s="1" t="s">
        <v>3</v>
      </c>
      <c r="B74" s="1" t="s">
        <v>394</v>
      </c>
      <c r="C74" s="1" t="s">
        <v>112</v>
      </c>
      <c r="D74" s="1" t="s">
        <v>258</v>
      </c>
      <c r="E74" s="3" t="s">
        <v>395</v>
      </c>
    </row>
    <row r="75" spans="1:5" ht="93.75" x14ac:dyDescent="0.4">
      <c r="A75" s="1" t="s">
        <v>3</v>
      </c>
      <c r="B75" s="1" t="s">
        <v>394</v>
      </c>
      <c r="C75" s="1" t="s">
        <v>226</v>
      </c>
      <c r="D75" s="1" t="s">
        <v>259</v>
      </c>
      <c r="E75" s="3" t="s">
        <v>395</v>
      </c>
    </row>
    <row r="76" spans="1:5" ht="93.75" x14ac:dyDescent="0.4">
      <c r="A76" s="1" t="s">
        <v>3</v>
      </c>
      <c r="B76" s="1" t="s">
        <v>394</v>
      </c>
      <c r="C76" s="1" t="s">
        <v>211</v>
      </c>
      <c r="D76" s="1" t="s">
        <v>263</v>
      </c>
      <c r="E76" s="3" t="s">
        <v>395</v>
      </c>
    </row>
    <row r="77" spans="1:5" ht="93.75" x14ac:dyDescent="0.4">
      <c r="A77" s="1" t="s">
        <v>3</v>
      </c>
      <c r="B77" s="1" t="s">
        <v>394</v>
      </c>
      <c r="C77" s="1" t="s">
        <v>212</v>
      </c>
      <c r="D77" s="1" t="s">
        <v>266</v>
      </c>
      <c r="E77" s="3" t="s">
        <v>395</v>
      </c>
    </row>
    <row r="78" spans="1:5" ht="93.75" x14ac:dyDescent="0.4">
      <c r="A78" s="1" t="s">
        <v>3</v>
      </c>
      <c r="B78" s="1" t="s">
        <v>394</v>
      </c>
      <c r="C78" s="1" t="s">
        <v>228</v>
      </c>
      <c r="D78" s="1" t="s">
        <v>270</v>
      </c>
      <c r="E78" s="3" t="s">
        <v>395</v>
      </c>
    </row>
    <row r="79" spans="1:5" ht="93.75" x14ac:dyDescent="0.4">
      <c r="A79" s="1" t="s">
        <v>3</v>
      </c>
      <c r="B79" s="1" t="s">
        <v>394</v>
      </c>
      <c r="C79" s="1" t="s">
        <v>213</v>
      </c>
      <c r="D79" s="1" t="s">
        <v>274</v>
      </c>
      <c r="E79" s="3" t="s">
        <v>395</v>
      </c>
    </row>
    <row r="80" spans="1:5" ht="93.75" x14ac:dyDescent="0.4">
      <c r="A80" s="1" t="s">
        <v>3</v>
      </c>
      <c r="B80" s="1" t="s">
        <v>394</v>
      </c>
      <c r="C80" s="1" t="s">
        <v>229</v>
      </c>
      <c r="D80" s="1" t="s">
        <v>278</v>
      </c>
      <c r="E80" s="3" t="s">
        <v>395</v>
      </c>
    </row>
    <row r="81" spans="1:5" ht="93.75" x14ac:dyDescent="0.4">
      <c r="A81" s="1" t="s">
        <v>3</v>
      </c>
      <c r="B81" s="1" t="s">
        <v>394</v>
      </c>
      <c r="C81" s="1" t="s">
        <v>230</v>
      </c>
      <c r="D81" s="1" t="s">
        <v>282</v>
      </c>
      <c r="E81" s="3" t="s">
        <v>395</v>
      </c>
    </row>
    <row r="82" spans="1:5" ht="93.75" x14ac:dyDescent="0.4">
      <c r="A82" s="1" t="s">
        <v>3</v>
      </c>
      <c r="B82" s="1" t="s">
        <v>394</v>
      </c>
      <c r="C82" s="1" t="s">
        <v>231</v>
      </c>
      <c r="D82" s="1" t="s">
        <v>286</v>
      </c>
      <c r="E82" s="3" t="s">
        <v>395</v>
      </c>
    </row>
    <row r="83" spans="1:5" ht="93.75" x14ac:dyDescent="0.4">
      <c r="A83" s="1" t="s">
        <v>3</v>
      </c>
      <c r="B83" s="1" t="s">
        <v>394</v>
      </c>
      <c r="C83" s="1" t="s">
        <v>232</v>
      </c>
      <c r="D83" s="1" t="s">
        <v>290</v>
      </c>
      <c r="E83" s="3" t="s">
        <v>395</v>
      </c>
    </row>
    <row r="84" spans="1:5" ht="93.75" x14ac:dyDescent="0.4">
      <c r="A84" s="1" t="s">
        <v>3</v>
      </c>
      <c r="B84" s="1" t="s">
        <v>394</v>
      </c>
      <c r="C84" s="1" t="s">
        <v>233</v>
      </c>
      <c r="D84" s="1" t="s">
        <v>294</v>
      </c>
      <c r="E84" s="3" t="s">
        <v>395</v>
      </c>
    </row>
    <row r="85" spans="1:5" ht="93.75" x14ac:dyDescent="0.4">
      <c r="A85" s="1" t="s">
        <v>3</v>
      </c>
      <c r="B85" s="1" t="s">
        <v>394</v>
      </c>
      <c r="C85" s="1" t="s">
        <v>230</v>
      </c>
      <c r="D85" s="1" t="s">
        <v>295</v>
      </c>
      <c r="E85" s="3" t="s">
        <v>395</v>
      </c>
    </row>
    <row r="86" spans="1:5" ht="93.75" x14ac:dyDescent="0.4">
      <c r="A86" s="1" t="s">
        <v>3</v>
      </c>
      <c r="B86" s="1" t="s">
        <v>394</v>
      </c>
      <c r="C86" s="1" t="s">
        <v>238</v>
      </c>
      <c r="D86" s="1" t="s">
        <v>301</v>
      </c>
      <c r="E86" s="3" t="s">
        <v>395</v>
      </c>
    </row>
    <row r="87" spans="1:5" ht="93.75" x14ac:dyDescent="0.4">
      <c r="A87" s="1" t="s">
        <v>3</v>
      </c>
      <c r="B87" s="1" t="s">
        <v>394</v>
      </c>
      <c r="C87" s="1" t="s">
        <v>234</v>
      </c>
      <c r="D87" s="1" t="s">
        <v>306</v>
      </c>
      <c r="E87" s="3" t="s">
        <v>395</v>
      </c>
    </row>
    <row r="88" spans="1:5" ht="93.75" x14ac:dyDescent="0.4">
      <c r="A88" s="1" t="s">
        <v>3</v>
      </c>
      <c r="B88" s="1" t="s">
        <v>394</v>
      </c>
      <c r="C88" s="1" t="s">
        <v>239</v>
      </c>
      <c r="D88" s="1" t="s">
        <v>312</v>
      </c>
      <c r="E88" s="3" t="s">
        <v>395</v>
      </c>
    </row>
    <row r="89" spans="1:5" ht="93.75" x14ac:dyDescent="0.4">
      <c r="A89" s="1" t="s">
        <v>3</v>
      </c>
      <c r="B89" s="1" t="s">
        <v>394</v>
      </c>
      <c r="C89" s="1" t="s">
        <v>235</v>
      </c>
      <c r="D89" s="1" t="s">
        <v>318</v>
      </c>
      <c r="E89" s="3" t="s">
        <v>395</v>
      </c>
    </row>
    <row r="90" spans="1:5" ht="93.75" x14ac:dyDescent="0.4">
      <c r="A90" s="1" t="s">
        <v>3</v>
      </c>
      <c r="B90" s="1" t="s">
        <v>394</v>
      </c>
      <c r="C90" s="1" t="s">
        <v>237</v>
      </c>
      <c r="D90" s="1" t="s">
        <v>322</v>
      </c>
      <c r="E90" s="3" t="s">
        <v>395</v>
      </c>
    </row>
    <row r="91" spans="1:5" ht="93.75" x14ac:dyDescent="0.4">
      <c r="A91" s="1" t="s">
        <v>3</v>
      </c>
      <c r="B91" s="1" t="s">
        <v>394</v>
      </c>
      <c r="C91" s="1" t="s">
        <v>236</v>
      </c>
      <c r="D91" s="1" t="s">
        <v>323</v>
      </c>
      <c r="E91" s="3" t="s">
        <v>395</v>
      </c>
    </row>
    <row r="92" spans="1:5" ht="409.5" x14ac:dyDescent="0.4">
      <c r="A92" s="1" t="s">
        <v>3</v>
      </c>
      <c r="B92" s="1" t="s">
        <v>394</v>
      </c>
      <c r="C92" s="1" t="s">
        <v>354</v>
      </c>
      <c r="D92" s="1" t="s">
        <v>369</v>
      </c>
      <c r="E92" s="3" t="s">
        <v>396</v>
      </c>
    </row>
    <row r="93" spans="1:5" ht="409.5" x14ac:dyDescent="0.4">
      <c r="A93" s="1" t="s">
        <v>3</v>
      </c>
      <c r="B93" s="1" t="s">
        <v>394</v>
      </c>
      <c r="C93" s="1" t="s">
        <v>352</v>
      </c>
      <c r="D93" s="1" t="s">
        <v>376</v>
      </c>
      <c r="E93" s="3" t="s">
        <v>397</v>
      </c>
    </row>
    <row r="94" spans="1:5" ht="409.5" x14ac:dyDescent="0.4">
      <c r="A94" s="1" t="s">
        <v>3</v>
      </c>
      <c r="B94" s="1" t="s">
        <v>394</v>
      </c>
      <c r="C94" s="1" t="s">
        <v>351</v>
      </c>
      <c r="D94" s="1" t="s">
        <v>381</v>
      </c>
      <c r="E94" s="3" t="s">
        <v>398</v>
      </c>
    </row>
    <row r="95" spans="1:5" ht="409.5" x14ac:dyDescent="0.4">
      <c r="A95" s="1" t="s">
        <v>3</v>
      </c>
      <c r="B95" s="1" t="s">
        <v>394</v>
      </c>
      <c r="C95" s="1" t="s">
        <v>353</v>
      </c>
      <c r="D95" s="1" t="s">
        <v>357</v>
      </c>
      <c r="E95" s="3" t="s">
        <v>399</v>
      </c>
    </row>
    <row r="96" spans="1:5" ht="318.75" x14ac:dyDescent="0.4">
      <c r="A96" s="1" t="s">
        <v>3</v>
      </c>
      <c r="B96" s="1" t="s">
        <v>394</v>
      </c>
      <c r="C96" s="1" t="s">
        <v>355</v>
      </c>
      <c r="D96" s="1" t="s">
        <v>389</v>
      </c>
      <c r="E96" s="3" t="s">
        <v>400</v>
      </c>
    </row>
    <row r="97" spans="1:5" ht="318.75" x14ac:dyDescent="0.4">
      <c r="A97" s="1" t="s">
        <v>3</v>
      </c>
      <c r="B97" s="1" t="s">
        <v>394</v>
      </c>
      <c r="C97" s="1" t="s">
        <v>356</v>
      </c>
      <c r="D97" s="1" t="s">
        <v>393</v>
      </c>
      <c r="E97" s="3" t="s">
        <v>401</v>
      </c>
    </row>
    <row r="98" spans="1:5" ht="56.25" x14ac:dyDescent="0.4">
      <c r="A98" s="1" t="s">
        <v>3</v>
      </c>
      <c r="B98" s="1" t="s">
        <v>407</v>
      </c>
      <c r="C98" s="1" t="s">
        <v>402</v>
      </c>
      <c r="D98" s="1" t="s">
        <v>93</v>
      </c>
      <c r="E98" s="3" t="s">
        <v>94</v>
      </c>
    </row>
    <row r="99" spans="1:5" ht="56.25" x14ac:dyDescent="0.4">
      <c r="A99" s="1" t="s">
        <v>3</v>
      </c>
      <c r="B99" s="1" t="s">
        <v>407</v>
      </c>
      <c r="C99" s="1" t="s">
        <v>403</v>
      </c>
      <c r="D99" s="1" t="s">
        <v>93</v>
      </c>
      <c r="E99" s="3" t="s">
        <v>94</v>
      </c>
    </row>
    <row r="100" spans="1:5" ht="56.25" x14ac:dyDescent="0.4">
      <c r="A100" s="1" t="s">
        <v>3</v>
      </c>
      <c r="B100" s="1" t="s">
        <v>407</v>
      </c>
      <c r="C100" s="1" t="s">
        <v>404</v>
      </c>
      <c r="D100" s="1" t="s">
        <v>93</v>
      </c>
      <c r="E100" s="3" t="s">
        <v>94</v>
      </c>
    </row>
    <row r="101" spans="1:5" ht="281.25" x14ac:dyDescent="0.4">
      <c r="A101" s="1" t="s">
        <v>3</v>
      </c>
      <c r="B101" s="1" t="s">
        <v>407</v>
      </c>
      <c r="C101" s="1" t="s">
        <v>405</v>
      </c>
      <c r="D101" s="1" t="s">
        <v>93</v>
      </c>
      <c r="E101" s="3" t="s">
        <v>408</v>
      </c>
    </row>
    <row r="102" spans="1:5" ht="281.25" x14ac:dyDescent="0.4">
      <c r="A102" s="1" t="s">
        <v>3</v>
      </c>
      <c r="B102" s="1" t="s">
        <v>407</v>
      </c>
      <c r="C102" s="1" t="s">
        <v>406</v>
      </c>
      <c r="D102" s="1" t="s">
        <v>93</v>
      </c>
      <c r="E102" s="3" t="s">
        <v>408</v>
      </c>
    </row>
    <row r="103" spans="1:5" x14ac:dyDescent="0.4">
      <c r="A103" s="1" t="s">
        <v>3</v>
      </c>
      <c r="B103" s="1" t="s">
        <v>407</v>
      </c>
      <c r="C103" s="1" t="s">
        <v>205</v>
      </c>
      <c r="D103" s="1" t="s">
        <v>93</v>
      </c>
      <c r="E103" s="1" t="s">
        <v>204</v>
      </c>
    </row>
    <row r="104" spans="1:5" x14ac:dyDescent="0.4">
      <c r="A104" s="1" t="s">
        <v>3</v>
      </c>
      <c r="B104" s="1" t="s">
        <v>407</v>
      </c>
      <c r="C104" s="1" t="s">
        <v>206</v>
      </c>
      <c r="D104" s="1" t="s">
        <v>93</v>
      </c>
      <c r="E104" s="1" t="s">
        <v>204</v>
      </c>
    </row>
    <row r="105" spans="1:5" x14ac:dyDescent="0.4">
      <c r="A105" s="1" t="s">
        <v>3</v>
      </c>
      <c r="B105" s="1" t="s">
        <v>407</v>
      </c>
      <c r="C105" s="1" t="s">
        <v>348</v>
      </c>
      <c r="D105" s="1" t="s">
        <v>93</v>
      </c>
      <c r="E105" s="1" t="s">
        <v>204</v>
      </c>
    </row>
    <row r="106" spans="1:5" ht="37.5" x14ac:dyDescent="0.4">
      <c r="A106" s="1" t="s">
        <v>3</v>
      </c>
      <c r="B106" s="1" t="s">
        <v>407</v>
      </c>
      <c r="C106" s="1" t="s">
        <v>5</v>
      </c>
      <c r="D106" s="1" t="s">
        <v>1</v>
      </c>
      <c r="E106" s="3" t="s">
        <v>6</v>
      </c>
    </row>
    <row r="107" spans="1:5" ht="262.5" x14ac:dyDescent="0.4">
      <c r="A107" s="1" t="s">
        <v>3</v>
      </c>
      <c r="B107" s="1" t="s">
        <v>410</v>
      </c>
      <c r="C107" s="1" t="s">
        <v>96</v>
      </c>
      <c r="D107" s="1" t="s">
        <v>1</v>
      </c>
      <c r="E107" s="3" t="s">
        <v>411</v>
      </c>
    </row>
    <row r="108" spans="1:5" ht="409.5" x14ac:dyDescent="0.4">
      <c r="A108" s="1" t="s">
        <v>3</v>
      </c>
      <c r="B108" s="1" t="s">
        <v>431</v>
      </c>
      <c r="C108" s="1" t="s">
        <v>9</v>
      </c>
      <c r="D108" s="1" t="s">
        <v>415</v>
      </c>
      <c r="E108" s="3" t="s">
        <v>432</v>
      </c>
    </row>
    <row r="109" spans="1:5" ht="337.5" x14ac:dyDescent="0.4">
      <c r="A109" s="1" t="s">
        <v>3</v>
      </c>
      <c r="B109" s="1" t="s">
        <v>431</v>
      </c>
      <c r="C109" s="1" t="s">
        <v>238</v>
      </c>
      <c r="D109" s="1" t="s">
        <v>416</v>
      </c>
      <c r="E109" s="3" t="s">
        <v>433</v>
      </c>
    </row>
    <row r="110" spans="1:5" ht="409.5" x14ac:dyDescent="0.4">
      <c r="A110" s="1" t="s">
        <v>3</v>
      </c>
      <c r="B110" s="1" t="s">
        <v>431</v>
      </c>
      <c r="C110" s="1" t="s">
        <v>239</v>
      </c>
      <c r="D110" s="1" t="s">
        <v>417</v>
      </c>
      <c r="E110" s="3" t="s">
        <v>434</v>
      </c>
    </row>
    <row r="111" spans="1:5" ht="318.75" x14ac:dyDescent="0.4">
      <c r="A111" s="1" t="s">
        <v>3</v>
      </c>
      <c r="B111" s="1" t="s">
        <v>431</v>
      </c>
      <c r="C111" s="1" t="s">
        <v>412</v>
      </c>
      <c r="D111" s="1" t="s">
        <v>423</v>
      </c>
      <c r="E111" s="3" t="s">
        <v>435</v>
      </c>
    </row>
    <row r="112" spans="1:5" ht="356.25" x14ac:dyDescent="0.4">
      <c r="A112" s="1" t="s">
        <v>3</v>
      </c>
      <c r="B112" s="1" t="s">
        <v>431</v>
      </c>
      <c r="C112" s="1" t="s">
        <v>413</v>
      </c>
      <c r="D112" s="1" t="s">
        <v>426</v>
      </c>
      <c r="E112" s="3" t="s">
        <v>436</v>
      </c>
    </row>
    <row r="113" spans="1:5" ht="337.5" x14ac:dyDescent="0.4">
      <c r="A113" s="1" t="s">
        <v>3</v>
      </c>
      <c r="B113" s="1" t="s">
        <v>431</v>
      </c>
      <c r="C113" s="1" t="s">
        <v>414</v>
      </c>
      <c r="D113" s="1" t="s">
        <v>430</v>
      </c>
      <c r="E113" s="3" t="s">
        <v>437</v>
      </c>
    </row>
    <row r="114" spans="1:5" x14ac:dyDescent="0.4">
      <c r="A114" s="1" t="s">
        <v>3</v>
      </c>
      <c r="B114" s="1" t="s">
        <v>431</v>
      </c>
      <c r="C114" s="1" t="s">
        <v>9</v>
      </c>
      <c r="D114" s="1" t="s">
        <v>113</v>
      </c>
      <c r="E114" s="1" t="s">
        <v>204</v>
      </c>
    </row>
    <row r="115" spans="1:5" x14ac:dyDescent="0.4">
      <c r="A115" s="1" t="s">
        <v>3</v>
      </c>
      <c r="B115" s="1" t="s">
        <v>431</v>
      </c>
      <c r="C115" s="1" t="s">
        <v>238</v>
      </c>
      <c r="D115" s="1" t="s">
        <v>301</v>
      </c>
      <c r="E115" s="1" t="s">
        <v>204</v>
      </c>
    </row>
    <row r="116" spans="1:5" x14ac:dyDescent="0.4">
      <c r="A116" s="1" t="s">
        <v>3</v>
      </c>
      <c r="B116" s="1" t="s">
        <v>431</v>
      </c>
      <c r="C116" s="1" t="s">
        <v>239</v>
      </c>
      <c r="D116" s="1" t="s">
        <v>312</v>
      </c>
      <c r="E116" s="1" t="s">
        <v>204</v>
      </c>
    </row>
    <row r="117" spans="1:5" ht="56.25" x14ac:dyDescent="0.4">
      <c r="A117" s="1" t="s">
        <v>3</v>
      </c>
      <c r="B117" s="1" t="s">
        <v>440</v>
      </c>
      <c r="C117" s="1" t="s">
        <v>438</v>
      </c>
      <c r="D117" s="1" t="s">
        <v>93</v>
      </c>
      <c r="E117" s="3" t="s">
        <v>94</v>
      </c>
    </row>
    <row r="118" spans="1:5" ht="56.25" x14ac:dyDescent="0.4">
      <c r="A118" s="1" t="s">
        <v>3</v>
      </c>
      <c r="B118" s="1" t="s">
        <v>440</v>
      </c>
      <c r="C118" s="1" t="s">
        <v>439</v>
      </c>
      <c r="D118" s="1" t="s">
        <v>93</v>
      </c>
      <c r="E118" s="3" t="s">
        <v>94</v>
      </c>
    </row>
    <row r="119" spans="1:5" x14ac:dyDescent="0.4">
      <c r="A119" s="1" t="s">
        <v>3</v>
      </c>
      <c r="B119" s="1" t="s">
        <v>440</v>
      </c>
      <c r="C119" s="1" t="s">
        <v>402</v>
      </c>
      <c r="D119" s="1" t="s">
        <v>93</v>
      </c>
      <c r="E119" s="1" t="s">
        <v>204</v>
      </c>
    </row>
    <row r="120" spans="1:5" x14ac:dyDescent="0.4">
      <c r="A120" s="1" t="s">
        <v>3</v>
      </c>
      <c r="B120" s="1" t="s">
        <v>440</v>
      </c>
      <c r="C120" s="1" t="s">
        <v>404</v>
      </c>
      <c r="D120" s="1" t="s">
        <v>93</v>
      </c>
      <c r="E120" s="1" t="s">
        <v>204</v>
      </c>
    </row>
    <row r="121" spans="1:5" ht="93.75" x14ac:dyDescent="0.4">
      <c r="A121" s="1" t="s">
        <v>3</v>
      </c>
      <c r="B121" s="1" t="s">
        <v>442</v>
      </c>
      <c r="C121" s="1" t="s">
        <v>360</v>
      </c>
      <c r="D121" s="1" t="s">
        <v>1</v>
      </c>
      <c r="E121" s="3" t="s">
        <v>443</v>
      </c>
    </row>
    <row r="122" spans="1:5" ht="409.5" x14ac:dyDescent="0.4">
      <c r="A122" s="1" t="s">
        <v>3</v>
      </c>
      <c r="B122" s="1" t="s">
        <v>448</v>
      </c>
      <c r="C122" s="1" t="s">
        <v>354</v>
      </c>
      <c r="D122" s="1" t="s">
        <v>444</v>
      </c>
      <c r="E122" s="3" t="s">
        <v>396</v>
      </c>
    </row>
    <row r="123" spans="1:5" ht="409.5" x14ac:dyDescent="0.4">
      <c r="A123" s="1" t="s">
        <v>3</v>
      </c>
      <c r="B123" s="1" t="s">
        <v>448</v>
      </c>
      <c r="C123" s="1" t="s">
        <v>352</v>
      </c>
      <c r="D123" s="1" t="s">
        <v>445</v>
      </c>
      <c r="E123" s="3" t="s">
        <v>449</v>
      </c>
    </row>
    <row r="124" spans="1:5" ht="409.5" x14ac:dyDescent="0.4">
      <c r="A124" s="1" t="s">
        <v>3</v>
      </c>
      <c r="B124" s="1" t="s">
        <v>448</v>
      </c>
      <c r="C124" s="1" t="s">
        <v>351</v>
      </c>
      <c r="D124" s="1" t="s">
        <v>446</v>
      </c>
      <c r="E124" s="3" t="s">
        <v>450</v>
      </c>
    </row>
    <row r="125" spans="1:5" ht="409.5" x14ac:dyDescent="0.4">
      <c r="A125" s="1" t="s">
        <v>3</v>
      </c>
      <c r="B125" s="1" t="s">
        <v>448</v>
      </c>
      <c r="C125" s="1" t="s">
        <v>353</v>
      </c>
      <c r="D125" s="1" t="s">
        <v>441</v>
      </c>
      <c r="E125" s="3" t="s">
        <v>451</v>
      </c>
    </row>
    <row r="126" spans="1:5" ht="337.5" x14ac:dyDescent="0.4">
      <c r="A126" s="1" t="s">
        <v>3</v>
      </c>
      <c r="B126" s="1" t="s">
        <v>448</v>
      </c>
      <c r="C126" s="1" t="s">
        <v>414</v>
      </c>
      <c r="D126" s="1" t="s">
        <v>447</v>
      </c>
      <c r="E126" s="3" t="s">
        <v>452</v>
      </c>
    </row>
    <row r="127" spans="1:5" x14ac:dyDescent="0.4">
      <c r="A127" s="1" t="s">
        <v>3</v>
      </c>
      <c r="B127" s="1" t="s">
        <v>448</v>
      </c>
      <c r="C127" s="1" t="s">
        <v>354</v>
      </c>
      <c r="D127" s="1" t="s">
        <v>369</v>
      </c>
      <c r="E127" s="1" t="s">
        <v>204</v>
      </c>
    </row>
    <row r="128" spans="1:5" x14ac:dyDescent="0.4">
      <c r="A128" s="1" t="s">
        <v>3</v>
      </c>
      <c r="B128" s="1" t="s">
        <v>448</v>
      </c>
      <c r="C128" s="1" t="s">
        <v>352</v>
      </c>
      <c r="D128" s="1" t="s">
        <v>376</v>
      </c>
      <c r="E128" s="1" t="s">
        <v>204</v>
      </c>
    </row>
    <row r="129" spans="1:5" x14ac:dyDescent="0.4">
      <c r="A129" s="1" t="s">
        <v>3</v>
      </c>
      <c r="B129" s="1" t="s">
        <v>448</v>
      </c>
      <c r="C129" s="1" t="s">
        <v>351</v>
      </c>
      <c r="D129" s="1" t="s">
        <v>381</v>
      </c>
      <c r="E129" s="1" t="s">
        <v>204</v>
      </c>
    </row>
    <row r="130" spans="1:5" x14ac:dyDescent="0.4">
      <c r="A130" s="1" t="s">
        <v>3</v>
      </c>
      <c r="B130" s="1" t="s">
        <v>448</v>
      </c>
      <c r="C130" s="1" t="s">
        <v>353</v>
      </c>
      <c r="D130" s="1" t="s">
        <v>357</v>
      </c>
      <c r="E130" s="1" t="s">
        <v>204</v>
      </c>
    </row>
    <row r="131" spans="1:5" x14ac:dyDescent="0.4">
      <c r="A131" s="1" t="s">
        <v>3</v>
      </c>
      <c r="B131" s="1" t="s">
        <v>448</v>
      </c>
      <c r="C131" s="1" t="s">
        <v>414</v>
      </c>
      <c r="D131" s="1" t="s">
        <v>430</v>
      </c>
      <c r="E131" s="1" t="s">
        <v>204</v>
      </c>
    </row>
    <row r="132" spans="1:5" ht="281.25" x14ac:dyDescent="0.4">
      <c r="A132" s="1" t="s">
        <v>3</v>
      </c>
      <c r="B132" s="1" t="s">
        <v>448</v>
      </c>
      <c r="C132" s="1" t="s">
        <v>453</v>
      </c>
      <c r="D132" s="1" t="s">
        <v>93</v>
      </c>
      <c r="E132" s="3" t="s">
        <v>408</v>
      </c>
    </row>
    <row r="133" spans="1:5" ht="281.25" x14ac:dyDescent="0.4">
      <c r="A133" s="1" t="s">
        <v>3</v>
      </c>
      <c r="B133" s="1" t="s">
        <v>448</v>
      </c>
      <c r="C133" s="1" t="s">
        <v>454</v>
      </c>
      <c r="D133" s="1" t="s">
        <v>93</v>
      </c>
      <c r="E133" s="3" t="s">
        <v>408</v>
      </c>
    </row>
    <row r="134" spans="1:5" x14ac:dyDescent="0.4">
      <c r="A134" s="1" t="s">
        <v>3</v>
      </c>
      <c r="B134" s="1" t="s">
        <v>448</v>
      </c>
      <c r="C134" s="1" t="s">
        <v>405</v>
      </c>
      <c r="D134" s="1" t="s">
        <v>93</v>
      </c>
      <c r="E134" s="1" t="s">
        <v>204</v>
      </c>
    </row>
    <row r="135" spans="1:5" x14ac:dyDescent="0.4">
      <c r="A135" s="1" t="s">
        <v>3</v>
      </c>
      <c r="B135" s="1" t="s">
        <v>448</v>
      </c>
      <c r="C135" s="1" t="s">
        <v>406</v>
      </c>
      <c r="D135" s="1" t="s">
        <v>93</v>
      </c>
      <c r="E135" s="1" t="s">
        <v>204</v>
      </c>
    </row>
    <row r="136" spans="1:5" ht="318.75" x14ac:dyDescent="0.4">
      <c r="A136" s="1" t="s">
        <v>3</v>
      </c>
      <c r="B136" s="1" t="s">
        <v>462</v>
      </c>
      <c r="C136" s="1" t="s">
        <v>104</v>
      </c>
      <c r="D136" s="1" t="s">
        <v>457</v>
      </c>
      <c r="E136" s="3" t="s">
        <v>463</v>
      </c>
    </row>
    <row r="137" spans="1:5" ht="243.75" x14ac:dyDescent="0.4">
      <c r="A137" s="1" t="s">
        <v>3</v>
      </c>
      <c r="B137" s="1" t="s">
        <v>462</v>
      </c>
      <c r="C137" s="1" t="s">
        <v>456</v>
      </c>
      <c r="D137" s="1" t="s">
        <v>461</v>
      </c>
      <c r="E137" s="3" t="s">
        <v>464</v>
      </c>
    </row>
    <row r="138" spans="1:5" ht="75" x14ac:dyDescent="0.4">
      <c r="A138" s="1" t="s">
        <v>3</v>
      </c>
      <c r="B138" s="1" t="s">
        <v>462</v>
      </c>
      <c r="C138" s="1" t="s">
        <v>226</v>
      </c>
      <c r="D138" s="1" t="s">
        <v>259</v>
      </c>
      <c r="E138" s="3" t="s">
        <v>465</v>
      </c>
    </row>
    <row r="139" spans="1:5" x14ac:dyDescent="0.4">
      <c r="A139" s="1" t="s">
        <v>3</v>
      </c>
      <c r="B139" s="1" t="s">
        <v>462</v>
      </c>
      <c r="C139" s="1" t="s">
        <v>104</v>
      </c>
      <c r="D139" s="1" t="s">
        <v>142</v>
      </c>
      <c r="E139" s="1" t="s">
        <v>204</v>
      </c>
    </row>
    <row r="140" spans="1:5" x14ac:dyDescent="0.4">
      <c r="A140" s="1" t="s">
        <v>3</v>
      </c>
      <c r="B140" s="1" t="s">
        <v>466</v>
      </c>
      <c r="C140" s="1" t="s">
        <v>226</v>
      </c>
      <c r="D140" s="1" t="s">
        <v>259</v>
      </c>
      <c r="E140" s="1" t="s">
        <v>204</v>
      </c>
    </row>
    <row r="141" spans="1:5" ht="337.5" x14ac:dyDescent="0.4">
      <c r="A141" s="1" t="s">
        <v>3</v>
      </c>
      <c r="B141" s="1" t="s">
        <v>467</v>
      </c>
      <c r="C141" s="1" t="s">
        <v>226</v>
      </c>
      <c r="D141" s="1" t="s">
        <v>259</v>
      </c>
      <c r="E141" s="3" t="s">
        <v>468</v>
      </c>
    </row>
    <row r="142" spans="1:5" ht="75" x14ac:dyDescent="0.4">
      <c r="A142" s="1" t="s">
        <v>3</v>
      </c>
      <c r="B142" s="1" t="s">
        <v>469</v>
      </c>
      <c r="C142" s="1" t="s">
        <v>226</v>
      </c>
      <c r="D142" s="1" t="s">
        <v>259</v>
      </c>
      <c r="E142" s="3" t="s">
        <v>465</v>
      </c>
    </row>
    <row r="143" spans="1:5" ht="75" x14ac:dyDescent="0.4">
      <c r="A143" s="1" t="s">
        <v>3</v>
      </c>
      <c r="B143" s="1" t="s">
        <v>470</v>
      </c>
      <c r="C143" s="1" t="s">
        <v>226</v>
      </c>
      <c r="D143" s="1" t="s">
        <v>259</v>
      </c>
      <c r="E143" s="3" t="s">
        <v>471</v>
      </c>
    </row>
    <row r="144" spans="1:5" ht="75" x14ac:dyDescent="0.4">
      <c r="A144" s="1" t="s">
        <v>3</v>
      </c>
      <c r="B144" s="1" t="s">
        <v>472</v>
      </c>
      <c r="C144" s="1" t="s">
        <v>228</v>
      </c>
      <c r="D144" s="1" t="s">
        <v>270</v>
      </c>
      <c r="E144" s="3" t="s">
        <v>465</v>
      </c>
    </row>
    <row r="145" spans="1:5" ht="112.5" x14ac:dyDescent="0.4">
      <c r="A145" s="1" t="s">
        <v>3</v>
      </c>
      <c r="B145" s="1" t="s">
        <v>473</v>
      </c>
      <c r="C145" s="1" t="s">
        <v>226</v>
      </c>
      <c r="D145" s="1" t="s">
        <v>259</v>
      </c>
      <c r="E145" s="3" t="s">
        <v>474</v>
      </c>
    </row>
    <row r="146" spans="1:5" ht="75" x14ac:dyDescent="0.4">
      <c r="A146" s="1" t="s">
        <v>3</v>
      </c>
      <c r="B146" s="1" t="s">
        <v>473</v>
      </c>
      <c r="C146" s="1" t="s">
        <v>228</v>
      </c>
      <c r="D146" s="1" t="s">
        <v>270</v>
      </c>
      <c r="E146" s="3" t="s">
        <v>471</v>
      </c>
    </row>
    <row r="147" spans="1:5" ht="131.25" x14ac:dyDescent="0.4">
      <c r="A147" s="1" t="s">
        <v>3</v>
      </c>
      <c r="B147" s="1" t="s">
        <v>475</v>
      </c>
      <c r="C147" s="1" t="s">
        <v>226</v>
      </c>
      <c r="D147" s="1" t="s">
        <v>259</v>
      </c>
      <c r="E147" s="3" t="s">
        <v>476</v>
      </c>
    </row>
    <row r="148" spans="1:5" ht="150" x14ac:dyDescent="0.4">
      <c r="A148" s="1" t="s">
        <v>3</v>
      </c>
      <c r="B148" s="1" t="s">
        <v>477</v>
      </c>
      <c r="C148" s="1" t="s">
        <v>226</v>
      </c>
      <c r="D148" s="1" t="s">
        <v>259</v>
      </c>
      <c r="E148" s="3" t="s">
        <v>478</v>
      </c>
    </row>
    <row r="149" spans="1:5" ht="131.25" x14ac:dyDescent="0.4">
      <c r="A149" s="1" t="s">
        <v>3</v>
      </c>
      <c r="B149" s="1" t="s">
        <v>479</v>
      </c>
      <c r="C149" s="1" t="s">
        <v>226</v>
      </c>
      <c r="D149" s="1" t="s">
        <v>259</v>
      </c>
      <c r="E149" s="3" t="s">
        <v>480</v>
      </c>
    </row>
    <row r="150" spans="1:5" ht="75" x14ac:dyDescent="0.4">
      <c r="A150" s="1" t="s">
        <v>3</v>
      </c>
      <c r="B150" s="1" t="s">
        <v>481</v>
      </c>
      <c r="C150" s="1" t="s">
        <v>226</v>
      </c>
      <c r="D150" s="1" t="s">
        <v>259</v>
      </c>
      <c r="E150" s="3" t="s">
        <v>482</v>
      </c>
    </row>
    <row r="151" spans="1:5" ht="75" x14ac:dyDescent="0.4">
      <c r="A151" s="1" t="s">
        <v>3</v>
      </c>
      <c r="B151" s="1" t="s">
        <v>483</v>
      </c>
      <c r="C151" s="1" t="s">
        <v>226</v>
      </c>
      <c r="D151" s="1" t="s">
        <v>259</v>
      </c>
      <c r="E151" s="3" t="s">
        <v>484</v>
      </c>
    </row>
    <row r="152" spans="1:5" ht="131.25" x14ac:dyDescent="0.4">
      <c r="A152" s="1" t="s">
        <v>3</v>
      </c>
      <c r="B152" s="1" t="s">
        <v>485</v>
      </c>
      <c r="C152" s="1" t="s">
        <v>226</v>
      </c>
      <c r="D152" s="1" t="s">
        <v>259</v>
      </c>
      <c r="E152" s="3" t="s">
        <v>486</v>
      </c>
    </row>
    <row r="153" spans="1:5" ht="112.5" x14ac:dyDescent="0.4">
      <c r="A153" s="1" t="s">
        <v>3</v>
      </c>
      <c r="B153" s="1" t="s">
        <v>487</v>
      </c>
      <c r="C153" s="1" t="s">
        <v>226</v>
      </c>
      <c r="D153" s="1" t="s">
        <v>259</v>
      </c>
      <c r="E153" s="3" t="s">
        <v>488</v>
      </c>
    </row>
    <row r="154" spans="1:5" ht="93.75" x14ac:dyDescent="0.4">
      <c r="A154" s="1" t="s">
        <v>3</v>
      </c>
      <c r="B154" s="1" t="s">
        <v>489</v>
      </c>
      <c r="C154" s="1" t="s">
        <v>226</v>
      </c>
      <c r="D154" s="1" t="s">
        <v>259</v>
      </c>
      <c r="E154" s="3" t="s">
        <v>490</v>
      </c>
    </row>
    <row r="155" spans="1:5" x14ac:dyDescent="0.4">
      <c r="A155" s="1" t="s">
        <v>3</v>
      </c>
      <c r="B155" s="1" t="s">
        <v>491</v>
      </c>
      <c r="C155" s="1" t="s">
        <v>226</v>
      </c>
      <c r="D155" s="1" t="s">
        <v>259</v>
      </c>
      <c r="E155" s="1" t="s">
        <v>204</v>
      </c>
    </row>
    <row r="156" spans="1:5" ht="262.5" x14ac:dyDescent="0.4">
      <c r="A156" s="1" t="s">
        <v>3</v>
      </c>
      <c r="B156" s="1" t="s">
        <v>498</v>
      </c>
      <c r="C156" s="1" t="s">
        <v>492</v>
      </c>
      <c r="D156" s="1" t="s">
        <v>259</v>
      </c>
      <c r="E156" s="3" t="s">
        <v>499</v>
      </c>
    </row>
    <row r="157" spans="1:5" ht="75" x14ac:dyDescent="0.4">
      <c r="A157" s="1" t="s">
        <v>3</v>
      </c>
      <c r="B157" s="1" t="s">
        <v>500</v>
      </c>
      <c r="C157" s="1" t="s">
        <v>228</v>
      </c>
      <c r="D157" s="1" t="s">
        <v>270</v>
      </c>
      <c r="E157" s="3" t="s">
        <v>465</v>
      </c>
    </row>
    <row r="158" spans="1:5" ht="75" x14ac:dyDescent="0.4">
      <c r="A158" s="1" t="s">
        <v>3</v>
      </c>
      <c r="B158" s="1" t="s">
        <v>501</v>
      </c>
      <c r="C158" s="1" t="s">
        <v>228</v>
      </c>
      <c r="D158" s="1" t="s">
        <v>270</v>
      </c>
      <c r="E158" s="3" t="s">
        <v>471</v>
      </c>
    </row>
    <row r="159" spans="1:5" ht="75" x14ac:dyDescent="0.4">
      <c r="A159" s="1" t="s">
        <v>3</v>
      </c>
      <c r="B159" s="1" t="s">
        <v>502</v>
      </c>
      <c r="C159" s="1" t="s">
        <v>228</v>
      </c>
      <c r="D159" s="1" t="s">
        <v>270</v>
      </c>
      <c r="E159" s="3" t="s">
        <v>465</v>
      </c>
    </row>
    <row r="160" spans="1:5" ht="75" x14ac:dyDescent="0.4">
      <c r="A160" s="1" t="s">
        <v>3</v>
      </c>
      <c r="B160" s="1" t="s">
        <v>503</v>
      </c>
      <c r="C160" s="1" t="s">
        <v>228</v>
      </c>
      <c r="D160" s="1" t="s">
        <v>270</v>
      </c>
      <c r="E160" s="3" t="s">
        <v>471</v>
      </c>
    </row>
    <row r="161" spans="1:5" ht="75" x14ac:dyDescent="0.4">
      <c r="A161" s="1" t="s">
        <v>3</v>
      </c>
      <c r="B161" s="1" t="s">
        <v>504</v>
      </c>
      <c r="C161" s="1" t="s">
        <v>96</v>
      </c>
      <c r="D161" s="1" t="s">
        <v>1</v>
      </c>
      <c r="E161" s="3" t="s">
        <v>505</v>
      </c>
    </row>
    <row r="162" spans="1:5" ht="206.25" x14ac:dyDescent="0.4">
      <c r="A162" s="1" t="s">
        <v>3</v>
      </c>
      <c r="B162" s="1" t="s">
        <v>506</v>
      </c>
      <c r="C162" s="1" t="s">
        <v>352</v>
      </c>
      <c r="D162" s="1" t="s">
        <v>445</v>
      </c>
      <c r="E162" s="3" t="s">
        <v>507</v>
      </c>
    </row>
    <row r="163" spans="1:5" ht="75" x14ac:dyDescent="0.4">
      <c r="A163" s="1" t="s">
        <v>3</v>
      </c>
      <c r="B163" s="1" t="s">
        <v>508</v>
      </c>
      <c r="C163" s="1" t="s">
        <v>96</v>
      </c>
      <c r="D163" s="1" t="s">
        <v>1</v>
      </c>
      <c r="E163" s="3" t="s">
        <v>509</v>
      </c>
    </row>
    <row r="164" spans="1:5" ht="56.25" x14ac:dyDescent="0.4">
      <c r="A164" s="1" t="s">
        <v>3</v>
      </c>
      <c r="B164" s="1" t="s">
        <v>510</v>
      </c>
      <c r="C164" s="1" t="s">
        <v>360</v>
      </c>
      <c r="D164" s="1" t="s">
        <v>1</v>
      </c>
      <c r="E164" s="3" t="s">
        <v>94</v>
      </c>
    </row>
    <row r="165" spans="1:5" ht="75" x14ac:dyDescent="0.4">
      <c r="A165" s="1" t="s">
        <v>3</v>
      </c>
      <c r="B165" s="1" t="s">
        <v>511</v>
      </c>
      <c r="C165" s="1" t="s">
        <v>96</v>
      </c>
      <c r="D165" s="1" t="s">
        <v>1</v>
      </c>
      <c r="E165" s="3" t="s">
        <v>505</v>
      </c>
    </row>
    <row r="166" spans="1:5" ht="75" x14ac:dyDescent="0.4">
      <c r="A166" s="1" t="s">
        <v>3</v>
      </c>
      <c r="B166" s="1" t="s">
        <v>513</v>
      </c>
      <c r="C166" s="1" t="s">
        <v>96</v>
      </c>
      <c r="D166" s="1" t="s">
        <v>1</v>
      </c>
      <c r="E166" s="3" t="s">
        <v>509</v>
      </c>
    </row>
    <row r="167" spans="1:5" ht="262.5" x14ac:dyDescent="0.4">
      <c r="A167" s="1" t="s">
        <v>3</v>
      </c>
      <c r="B167" s="1" t="s">
        <v>515</v>
      </c>
      <c r="C167" s="1" t="s">
        <v>107</v>
      </c>
      <c r="D167" s="1" t="s">
        <v>514</v>
      </c>
      <c r="E167" s="3" t="s">
        <v>516</v>
      </c>
    </row>
    <row r="168" spans="1:5" x14ac:dyDescent="0.4">
      <c r="A168" s="1" t="s">
        <v>3</v>
      </c>
      <c r="B168" s="1" t="s">
        <v>515</v>
      </c>
      <c r="C168" s="1" t="s">
        <v>107</v>
      </c>
      <c r="D168" s="1" t="s">
        <v>163</v>
      </c>
      <c r="E168" s="1" t="s">
        <v>204</v>
      </c>
    </row>
    <row r="169" spans="1:5" ht="409.5" x14ac:dyDescent="0.4">
      <c r="A169" s="1" t="s">
        <v>3</v>
      </c>
      <c r="B169" s="1" t="s">
        <v>517</v>
      </c>
      <c r="C169" s="1" t="s">
        <v>103</v>
      </c>
      <c r="D169" s="1" t="s">
        <v>146</v>
      </c>
      <c r="E169" s="3" t="s">
        <v>518</v>
      </c>
    </row>
    <row r="170" spans="1:5" ht="75" x14ac:dyDescent="0.4">
      <c r="A170" s="1" t="s">
        <v>3</v>
      </c>
      <c r="B170" s="1" t="s">
        <v>517</v>
      </c>
      <c r="C170" s="1" t="s">
        <v>231</v>
      </c>
      <c r="D170" s="1" t="s">
        <v>286</v>
      </c>
      <c r="E170" s="3" t="s">
        <v>482</v>
      </c>
    </row>
    <row r="171" spans="1:5" ht="75" x14ac:dyDescent="0.4">
      <c r="A171" s="1" t="s">
        <v>3</v>
      </c>
      <c r="B171" s="1" t="s">
        <v>517</v>
      </c>
      <c r="C171" s="1" t="s">
        <v>233</v>
      </c>
      <c r="D171" s="1" t="s">
        <v>294</v>
      </c>
      <c r="E171" s="3" t="s">
        <v>482</v>
      </c>
    </row>
    <row r="172" spans="1:5" ht="93.75" x14ac:dyDescent="0.4">
      <c r="A172" s="1" t="s">
        <v>3</v>
      </c>
      <c r="B172" s="1" t="s">
        <v>519</v>
      </c>
      <c r="C172" s="1" t="s">
        <v>99</v>
      </c>
      <c r="D172" s="1" t="s">
        <v>125</v>
      </c>
      <c r="E172" s="3" t="s">
        <v>520</v>
      </c>
    </row>
    <row r="173" spans="1:5" ht="337.5" x14ac:dyDescent="0.4">
      <c r="A173" s="1" t="s">
        <v>3</v>
      </c>
      <c r="B173" s="1" t="s">
        <v>525</v>
      </c>
      <c r="C173" s="1" t="s">
        <v>228</v>
      </c>
      <c r="D173" s="1" t="s">
        <v>522</v>
      </c>
      <c r="E173" s="3" t="s">
        <v>526</v>
      </c>
    </row>
    <row r="174" spans="1:5" ht="262.5" x14ac:dyDescent="0.4">
      <c r="A174" s="1" t="s">
        <v>3</v>
      </c>
      <c r="B174" s="1" t="s">
        <v>525</v>
      </c>
      <c r="C174" s="1" t="s">
        <v>521</v>
      </c>
      <c r="D174" s="1" t="s">
        <v>523</v>
      </c>
      <c r="E174" s="3" t="s">
        <v>527</v>
      </c>
    </row>
    <row r="175" spans="1:5" ht="262.5" x14ac:dyDescent="0.4">
      <c r="A175" s="1" t="s">
        <v>3</v>
      </c>
      <c r="B175" s="1" t="s">
        <v>525</v>
      </c>
      <c r="C175" s="1" t="s">
        <v>230</v>
      </c>
      <c r="D175" s="1" t="s">
        <v>524</v>
      </c>
      <c r="E175" s="3" t="s">
        <v>528</v>
      </c>
    </row>
    <row r="176" spans="1:5" x14ac:dyDescent="0.4">
      <c r="A176" s="1" t="s">
        <v>3</v>
      </c>
      <c r="B176" s="1" t="s">
        <v>525</v>
      </c>
      <c r="C176" s="1" t="s">
        <v>228</v>
      </c>
      <c r="D176" s="1" t="s">
        <v>270</v>
      </c>
      <c r="E176" s="1" t="s">
        <v>204</v>
      </c>
    </row>
    <row r="177" spans="1:5" ht="337.5" x14ac:dyDescent="0.4">
      <c r="A177" s="1" t="s">
        <v>3</v>
      </c>
      <c r="B177" s="1" t="s">
        <v>535</v>
      </c>
      <c r="C177" s="1" t="s">
        <v>228</v>
      </c>
      <c r="D177" s="1" t="s">
        <v>270</v>
      </c>
      <c r="E177" s="3" t="s">
        <v>536</v>
      </c>
    </row>
    <row r="178" spans="1:5" ht="409.5" x14ac:dyDescent="0.4">
      <c r="A178" s="1" t="s">
        <v>3</v>
      </c>
      <c r="B178" s="1" t="s">
        <v>535</v>
      </c>
      <c r="C178" s="1" t="s">
        <v>239</v>
      </c>
      <c r="D178" s="1" t="s">
        <v>530</v>
      </c>
      <c r="E178" s="3" t="s">
        <v>537</v>
      </c>
    </row>
    <row r="179" spans="1:5" ht="409.5" x14ac:dyDescent="0.4">
      <c r="A179" s="1" t="s">
        <v>3</v>
      </c>
      <c r="B179" s="1" t="s">
        <v>535</v>
      </c>
      <c r="C179" s="1" t="s">
        <v>529</v>
      </c>
      <c r="D179" s="1" t="s">
        <v>534</v>
      </c>
      <c r="E179" s="3" t="s">
        <v>538</v>
      </c>
    </row>
    <row r="180" spans="1:5" x14ac:dyDescent="0.4">
      <c r="A180" s="1" t="s">
        <v>3</v>
      </c>
      <c r="B180" s="1" t="s">
        <v>535</v>
      </c>
      <c r="C180" s="1" t="s">
        <v>228</v>
      </c>
      <c r="D180" s="1" t="s">
        <v>522</v>
      </c>
      <c r="E180" s="1" t="s">
        <v>204</v>
      </c>
    </row>
    <row r="181" spans="1:5" x14ac:dyDescent="0.4">
      <c r="A181" s="1" t="s">
        <v>3</v>
      </c>
      <c r="B181" s="1" t="s">
        <v>535</v>
      </c>
      <c r="C181" s="1" t="s">
        <v>521</v>
      </c>
      <c r="D181" s="1" t="s">
        <v>523</v>
      </c>
      <c r="E181" s="1" t="s">
        <v>204</v>
      </c>
    </row>
    <row r="182" spans="1:5" x14ac:dyDescent="0.4">
      <c r="A182" s="1" t="s">
        <v>3</v>
      </c>
      <c r="B182" s="1" t="s">
        <v>535</v>
      </c>
      <c r="C182" s="1" t="s">
        <v>230</v>
      </c>
      <c r="D182" s="1" t="s">
        <v>524</v>
      </c>
      <c r="E182" s="1" t="s">
        <v>204</v>
      </c>
    </row>
    <row r="183" spans="1:5" x14ac:dyDescent="0.4">
      <c r="A183" s="1" t="s">
        <v>3</v>
      </c>
      <c r="B183" s="1" t="s">
        <v>535</v>
      </c>
      <c r="C183" s="1" t="s">
        <v>239</v>
      </c>
      <c r="D183" s="1" t="s">
        <v>417</v>
      </c>
      <c r="E183" s="1" t="s">
        <v>204</v>
      </c>
    </row>
    <row r="184" spans="1:5" ht="243.75" x14ac:dyDescent="0.4">
      <c r="A184" s="1" t="s">
        <v>3</v>
      </c>
      <c r="B184" s="1" t="s">
        <v>542</v>
      </c>
      <c r="C184" s="1" t="s">
        <v>108</v>
      </c>
      <c r="D184" s="1" t="s">
        <v>539</v>
      </c>
      <c r="E184" s="3" t="s">
        <v>543</v>
      </c>
    </row>
    <row r="185" spans="1:5" ht="393.75" x14ac:dyDescent="0.4">
      <c r="A185" s="1" t="s">
        <v>3</v>
      </c>
      <c r="B185" s="1" t="s">
        <v>542</v>
      </c>
      <c r="C185" s="1" t="s">
        <v>112</v>
      </c>
      <c r="D185" s="1" t="s">
        <v>540</v>
      </c>
      <c r="E185" s="3" t="s">
        <v>544</v>
      </c>
    </row>
    <row r="186" spans="1:5" ht="409.5" x14ac:dyDescent="0.4">
      <c r="A186" s="1" t="s">
        <v>3</v>
      </c>
      <c r="B186" s="1" t="s">
        <v>542</v>
      </c>
      <c r="C186" s="1" t="s">
        <v>213</v>
      </c>
      <c r="D186" s="1" t="s">
        <v>541</v>
      </c>
      <c r="E186" s="3" t="s">
        <v>545</v>
      </c>
    </row>
    <row r="187" spans="1:5" ht="409.5" x14ac:dyDescent="0.4">
      <c r="A187" s="1" t="s">
        <v>3</v>
      </c>
      <c r="B187" s="1" t="s">
        <v>542</v>
      </c>
      <c r="C187" s="1" t="s">
        <v>529</v>
      </c>
      <c r="D187" s="1" t="s">
        <v>534</v>
      </c>
      <c r="E187" s="3" t="s">
        <v>546</v>
      </c>
    </row>
    <row r="188" spans="1:5" x14ac:dyDescent="0.4">
      <c r="A188" s="1" t="s">
        <v>3</v>
      </c>
      <c r="B188" s="1" t="s">
        <v>542</v>
      </c>
      <c r="C188" s="1" t="s">
        <v>108</v>
      </c>
      <c r="D188" s="1" t="s">
        <v>249</v>
      </c>
      <c r="E188" s="1" t="s">
        <v>204</v>
      </c>
    </row>
    <row r="189" spans="1:5" x14ac:dyDescent="0.4">
      <c r="A189" s="1" t="s">
        <v>3</v>
      </c>
      <c r="B189" s="1" t="s">
        <v>542</v>
      </c>
      <c r="C189" s="1" t="s">
        <v>112</v>
      </c>
      <c r="D189" s="1" t="s">
        <v>258</v>
      </c>
      <c r="E189" s="1" t="s">
        <v>204</v>
      </c>
    </row>
    <row r="190" spans="1:5" x14ac:dyDescent="0.4">
      <c r="A190" s="1" t="s">
        <v>3</v>
      </c>
      <c r="B190" s="1" t="s">
        <v>542</v>
      </c>
      <c r="C190" s="1" t="s">
        <v>213</v>
      </c>
      <c r="D190" s="1" t="s">
        <v>274</v>
      </c>
      <c r="E190" s="1" t="s">
        <v>204</v>
      </c>
    </row>
    <row r="191" spans="1:5" ht="150" x14ac:dyDescent="0.4">
      <c r="A191" s="1" t="s">
        <v>3</v>
      </c>
      <c r="B191" s="1" t="s">
        <v>549</v>
      </c>
      <c r="C191" s="1" t="s">
        <v>96</v>
      </c>
      <c r="D191" s="1" t="s">
        <v>1</v>
      </c>
      <c r="E191" s="3" t="s">
        <v>550</v>
      </c>
    </row>
    <row r="192" spans="1:5" ht="93.75" x14ac:dyDescent="0.4">
      <c r="A192" s="1" t="s">
        <v>3</v>
      </c>
      <c r="B192" s="1" t="s">
        <v>553</v>
      </c>
      <c r="C192" s="1" t="s">
        <v>360</v>
      </c>
      <c r="D192" s="1" t="s">
        <v>1</v>
      </c>
      <c r="E192" s="3" t="s">
        <v>554</v>
      </c>
    </row>
    <row r="193" spans="1:5" ht="409.5" x14ac:dyDescent="0.4">
      <c r="A193" s="1" t="s">
        <v>3</v>
      </c>
      <c r="B193" s="1" t="s">
        <v>558</v>
      </c>
      <c r="C193" s="1" t="s">
        <v>354</v>
      </c>
      <c r="D193" s="1" t="s">
        <v>555</v>
      </c>
      <c r="E193" s="3" t="s">
        <v>396</v>
      </c>
    </row>
    <row r="194" spans="1:5" ht="409.5" x14ac:dyDescent="0.4">
      <c r="A194" s="1" t="s">
        <v>3</v>
      </c>
      <c r="B194" s="1" t="s">
        <v>558</v>
      </c>
      <c r="C194" s="1" t="s">
        <v>352</v>
      </c>
      <c r="D194" s="1" t="s">
        <v>557</v>
      </c>
      <c r="E194" s="3" t="s">
        <v>559</v>
      </c>
    </row>
    <row r="195" spans="1:5" ht="409.5" x14ac:dyDescent="0.4">
      <c r="A195" s="1" t="s">
        <v>3</v>
      </c>
      <c r="B195" s="1" t="s">
        <v>558</v>
      </c>
      <c r="C195" s="1" t="s">
        <v>353</v>
      </c>
      <c r="D195" s="1" t="s">
        <v>552</v>
      </c>
      <c r="E195" s="3" t="s">
        <v>560</v>
      </c>
    </row>
    <row r="196" spans="1:5" x14ac:dyDescent="0.4">
      <c r="A196" s="1" t="s">
        <v>3</v>
      </c>
      <c r="B196" s="1" t="s">
        <v>558</v>
      </c>
      <c r="C196" s="1" t="s">
        <v>354</v>
      </c>
      <c r="D196" s="1" t="s">
        <v>444</v>
      </c>
      <c r="E196" s="1" t="s">
        <v>204</v>
      </c>
    </row>
    <row r="197" spans="1:5" x14ac:dyDescent="0.4">
      <c r="A197" s="1" t="s">
        <v>3</v>
      </c>
      <c r="B197" s="1" t="s">
        <v>558</v>
      </c>
      <c r="C197" s="1" t="s">
        <v>352</v>
      </c>
      <c r="D197" s="1" t="s">
        <v>445</v>
      </c>
      <c r="E197" s="1" t="s">
        <v>204</v>
      </c>
    </row>
    <row r="198" spans="1:5" x14ac:dyDescent="0.4">
      <c r="A198" s="1" t="s">
        <v>3</v>
      </c>
      <c r="B198" s="1" t="s">
        <v>558</v>
      </c>
      <c r="C198" s="1" t="s">
        <v>353</v>
      </c>
      <c r="D198" s="1" t="s">
        <v>441</v>
      </c>
      <c r="E198" s="1" t="s">
        <v>204</v>
      </c>
    </row>
    <row r="199" spans="1:5" ht="56.25" x14ac:dyDescent="0.4">
      <c r="A199" s="1" t="s">
        <v>3</v>
      </c>
      <c r="B199" s="1" t="s">
        <v>566</v>
      </c>
      <c r="C199" s="1" t="s">
        <v>561</v>
      </c>
      <c r="D199" s="1" t="s">
        <v>93</v>
      </c>
      <c r="E199" s="3" t="s">
        <v>94</v>
      </c>
    </row>
    <row r="200" spans="1:5" ht="56.25" x14ac:dyDescent="0.4">
      <c r="A200" s="1" t="s">
        <v>3</v>
      </c>
      <c r="B200" s="1" t="s">
        <v>566</v>
      </c>
      <c r="C200" s="1" t="s">
        <v>562</v>
      </c>
      <c r="D200" s="1" t="s">
        <v>93</v>
      </c>
      <c r="E200" s="3" t="s">
        <v>94</v>
      </c>
    </row>
    <row r="201" spans="1:5" ht="281.25" x14ac:dyDescent="0.4">
      <c r="A201" s="1" t="s">
        <v>3</v>
      </c>
      <c r="B201" s="1" t="s">
        <v>566</v>
      </c>
      <c r="C201" s="1" t="s">
        <v>563</v>
      </c>
      <c r="D201" s="1" t="s">
        <v>93</v>
      </c>
      <c r="E201" s="3" t="s">
        <v>408</v>
      </c>
    </row>
    <row r="202" spans="1:5" ht="281.25" x14ac:dyDescent="0.4">
      <c r="A202" s="1" t="s">
        <v>3</v>
      </c>
      <c r="B202" s="1" t="s">
        <v>566</v>
      </c>
      <c r="C202" s="1" t="s">
        <v>564</v>
      </c>
      <c r="D202" s="1" t="s">
        <v>93</v>
      </c>
      <c r="E202" s="3" t="s">
        <v>408</v>
      </c>
    </row>
    <row r="203" spans="1:5" x14ac:dyDescent="0.4">
      <c r="A203" s="1" t="s">
        <v>3</v>
      </c>
      <c r="B203" s="1" t="s">
        <v>566</v>
      </c>
      <c r="C203" s="1" t="s">
        <v>403</v>
      </c>
      <c r="D203" s="1" t="s">
        <v>93</v>
      </c>
      <c r="E203" s="1" t="s">
        <v>204</v>
      </c>
    </row>
    <row r="204" spans="1:5" x14ac:dyDescent="0.4">
      <c r="A204" s="1" t="s">
        <v>3</v>
      </c>
      <c r="B204" s="1" t="s">
        <v>566</v>
      </c>
      <c r="C204" s="1" t="s">
        <v>453</v>
      </c>
      <c r="D204" s="1" t="s">
        <v>93</v>
      </c>
      <c r="E204" s="1" t="s">
        <v>204</v>
      </c>
    </row>
    <row r="205" spans="1:5" x14ac:dyDescent="0.4">
      <c r="A205" s="1" t="s">
        <v>3</v>
      </c>
      <c r="B205" s="1" t="s">
        <v>566</v>
      </c>
      <c r="C205" s="1" t="s">
        <v>438</v>
      </c>
      <c r="D205" s="1" t="s">
        <v>93</v>
      </c>
      <c r="E205" s="1" t="s">
        <v>204</v>
      </c>
    </row>
    <row r="206" spans="1:5" x14ac:dyDescent="0.4">
      <c r="A206" s="1" t="s">
        <v>3</v>
      </c>
      <c r="B206" s="1" t="s">
        <v>566</v>
      </c>
      <c r="C206" s="1" t="s">
        <v>454</v>
      </c>
      <c r="D206" s="1" t="s">
        <v>93</v>
      </c>
      <c r="E206" s="1" t="s">
        <v>204</v>
      </c>
    </row>
    <row r="207" spans="1:5" ht="337.5" x14ac:dyDescent="0.4">
      <c r="A207" s="1" t="s">
        <v>3</v>
      </c>
      <c r="B207" s="1" t="s">
        <v>570</v>
      </c>
      <c r="C207" s="1" t="s">
        <v>100</v>
      </c>
      <c r="D207" s="1" t="s">
        <v>568</v>
      </c>
      <c r="E207" s="3" t="s">
        <v>571</v>
      </c>
    </row>
    <row r="208" spans="1:5" ht="318.75" x14ac:dyDescent="0.4">
      <c r="A208" s="1" t="s">
        <v>3</v>
      </c>
      <c r="B208" s="1" t="s">
        <v>570</v>
      </c>
      <c r="C208" s="1" t="s">
        <v>104</v>
      </c>
      <c r="D208" s="1" t="s">
        <v>569</v>
      </c>
      <c r="E208" s="3" t="s">
        <v>572</v>
      </c>
    </row>
    <row r="209" spans="1:5" x14ac:dyDescent="0.4">
      <c r="A209" s="1" t="s">
        <v>3</v>
      </c>
      <c r="B209" s="1" t="s">
        <v>570</v>
      </c>
      <c r="C209" s="1" t="s">
        <v>100</v>
      </c>
      <c r="D209" s="1" t="s">
        <v>133</v>
      </c>
      <c r="E209" s="1" t="s">
        <v>204</v>
      </c>
    </row>
    <row r="210" spans="1:5" x14ac:dyDescent="0.4">
      <c r="A210" s="1" t="s">
        <v>3</v>
      </c>
      <c r="B210" s="1" t="s">
        <v>570</v>
      </c>
      <c r="C210" s="1" t="s">
        <v>104</v>
      </c>
      <c r="D210" s="1" t="s">
        <v>457</v>
      </c>
      <c r="E210" s="1" t="s">
        <v>204</v>
      </c>
    </row>
    <row r="211" spans="1:5" ht="225" x14ac:dyDescent="0.4">
      <c r="A211" s="1" t="s">
        <v>3</v>
      </c>
      <c r="B211" s="1" t="s">
        <v>575</v>
      </c>
      <c r="C211" s="1" t="s">
        <v>212</v>
      </c>
      <c r="D211" s="1" t="s">
        <v>266</v>
      </c>
      <c r="E211" s="3" t="s">
        <v>576</v>
      </c>
    </row>
    <row r="212" spans="1:5" ht="243.75" x14ac:dyDescent="0.4">
      <c r="A212" s="1" t="s">
        <v>3</v>
      </c>
      <c r="B212" s="1" t="s">
        <v>582</v>
      </c>
      <c r="C212" s="1" t="s">
        <v>108</v>
      </c>
      <c r="D212" s="1" t="s">
        <v>578</v>
      </c>
      <c r="E212" s="3" t="s">
        <v>543</v>
      </c>
    </row>
    <row r="213" spans="1:5" ht="409.5" x14ac:dyDescent="0.4">
      <c r="A213" s="1" t="s">
        <v>3</v>
      </c>
      <c r="B213" s="1" t="s">
        <v>582</v>
      </c>
      <c r="C213" s="1" t="s">
        <v>211</v>
      </c>
      <c r="D213" s="1" t="s">
        <v>579</v>
      </c>
      <c r="E213" s="3" t="s">
        <v>583</v>
      </c>
    </row>
    <row r="214" spans="1:5" ht="409.5" x14ac:dyDescent="0.4">
      <c r="A214" s="1" t="s">
        <v>3</v>
      </c>
      <c r="B214" s="1" t="s">
        <v>582</v>
      </c>
      <c r="C214" s="1" t="s">
        <v>212</v>
      </c>
      <c r="D214" s="1" t="s">
        <v>580</v>
      </c>
      <c r="E214" s="3" t="s">
        <v>584</v>
      </c>
    </row>
    <row r="215" spans="1:5" ht="409.5" x14ac:dyDescent="0.4">
      <c r="A215" s="1" t="s">
        <v>3</v>
      </c>
      <c r="B215" s="1" t="s">
        <v>582</v>
      </c>
      <c r="C215" s="1" t="s">
        <v>213</v>
      </c>
      <c r="D215" s="1" t="s">
        <v>581</v>
      </c>
      <c r="E215" s="3" t="s">
        <v>585</v>
      </c>
    </row>
    <row r="216" spans="1:5" x14ac:dyDescent="0.4">
      <c r="A216" s="1" t="s">
        <v>3</v>
      </c>
      <c r="B216" s="1" t="s">
        <v>582</v>
      </c>
      <c r="C216" s="1" t="s">
        <v>108</v>
      </c>
      <c r="D216" s="1" t="s">
        <v>539</v>
      </c>
      <c r="E216" s="1" t="s">
        <v>204</v>
      </c>
    </row>
    <row r="217" spans="1:5" x14ac:dyDescent="0.4">
      <c r="A217" s="1" t="s">
        <v>3</v>
      </c>
      <c r="B217" s="1" t="s">
        <v>582</v>
      </c>
      <c r="C217" s="1" t="s">
        <v>211</v>
      </c>
      <c r="D217" s="1" t="s">
        <v>263</v>
      </c>
      <c r="E217" s="1" t="s">
        <v>204</v>
      </c>
    </row>
    <row r="218" spans="1:5" x14ac:dyDescent="0.4">
      <c r="A218" s="1" t="s">
        <v>3</v>
      </c>
      <c r="B218" s="1" t="s">
        <v>582</v>
      </c>
      <c r="C218" s="1" t="s">
        <v>212</v>
      </c>
      <c r="D218" s="1" t="s">
        <v>266</v>
      </c>
      <c r="E218" s="1" t="s">
        <v>204</v>
      </c>
    </row>
    <row r="219" spans="1:5" x14ac:dyDescent="0.4">
      <c r="A219" s="1" t="s">
        <v>3</v>
      </c>
      <c r="B219" s="1" t="s">
        <v>582</v>
      </c>
      <c r="C219" s="1" t="s">
        <v>213</v>
      </c>
      <c r="D219" s="1" t="s">
        <v>541</v>
      </c>
      <c r="E219" s="1" t="s">
        <v>204</v>
      </c>
    </row>
    <row r="220" spans="1:5" ht="393.75" x14ac:dyDescent="0.4">
      <c r="A220" s="1" t="s">
        <v>3</v>
      </c>
      <c r="B220" s="1" t="s">
        <v>587</v>
      </c>
      <c r="C220" s="1" t="s">
        <v>112</v>
      </c>
      <c r="D220" s="1" t="s">
        <v>586</v>
      </c>
      <c r="E220" s="3" t="s">
        <v>588</v>
      </c>
    </row>
    <row r="221" spans="1:5" ht="75" x14ac:dyDescent="0.4">
      <c r="A221" s="1" t="s">
        <v>3</v>
      </c>
      <c r="B221" s="1" t="s">
        <v>587</v>
      </c>
      <c r="C221" s="1" t="s">
        <v>213</v>
      </c>
      <c r="D221" s="1" t="s">
        <v>581</v>
      </c>
      <c r="E221" s="3" t="s">
        <v>589</v>
      </c>
    </row>
    <row r="222" spans="1:5" x14ac:dyDescent="0.4">
      <c r="A222" s="1" t="s">
        <v>3</v>
      </c>
      <c r="B222" s="1" t="s">
        <v>587</v>
      </c>
      <c r="C222" s="1" t="s">
        <v>112</v>
      </c>
      <c r="D222" s="1" t="s">
        <v>540</v>
      </c>
      <c r="E222" s="1" t="s">
        <v>204</v>
      </c>
    </row>
    <row r="223" spans="1:5" ht="93.75" x14ac:dyDescent="0.4">
      <c r="A223" s="1" t="s">
        <v>3</v>
      </c>
      <c r="B223" s="1" t="s">
        <v>592</v>
      </c>
      <c r="C223" s="1" t="s">
        <v>360</v>
      </c>
      <c r="D223" s="1" t="s">
        <v>1</v>
      </c>
      <c r="E223" s="3" t="s">
        <v>593</v>
      </c>
    </row>
    <row r="224" spans="1:5" ht="409.5" x14ac:dyDescent="0.4">
      <c r="A224" s="1" t="s">
        <v>3</v>
      </c>
      <c r="B224" s="1" t="s">
        <v>641</v>
      </c>
      <c r="C224" s="1" t="s">
        <v>9</v>
      </c>
      <c r="D224" s="1" t="s">
        <v>594</v>
      </c>
      <c r="E224" s="3" t="s">
        <v>642</v>
      </c>
    </row>
    <row r="225" spans="1:5" ht="337.5" x14ac:dyDescent="0.4">
      <c r="A225" s="1" t="s">
        <v>3</v>
      </c>
      <c r="B225" s="1" t="s">
        <v>641</v>
      </c>
      <c r="C225" s="1" t="s">
        <v>98</v>
      </c>
      <c r="D225" s="1" t="s">
        <v>595</v>
      </c>
      <c r="E225" s="3" t="s">
        <v>643</v>
      </c>
    </row>
    <row r="226" spans="1:5" ht="93.75" x14ac:dyDescent="0.4">
      <c r="A226" s="1" t="s">
        <v>3</v>
      </c>
      <c r="B226" s="1" t="s">
        <v>641</v>
      </c>
      <c r="C226" s="1" t="s">
        <v>99</v>
      </c>
      <c r="D226" s="1" t="s">
        <v>125</v>
      </c>
      <c r="E226" s="3" t="s">
        <v>644</v>
      </c>
    </row>
    <row r="227" spans="1:5" ht="409.5" x14ac:dyDescent="0.4">
      <c r="A227" s="1" t="s">
        <v>3</v>
      </c>
      <c r="B227" s="1" t="s">
        <v>641</v>
      </c>
      <c r="C227" s="1" t="s">
        <v>101</v>
      </c>
      <c r="D227" s="1" t="s">
        <v>596</v>
      </c>
      <c r="E227" s="3" t="s">
        <v>645</v>
      </c>
    </row>
    <row r="228" spans="1:5" ht="356.25" x14ac:dyDescent="0.4">
      <c r="A228" s="1" t="s">
        <v>3</v>
      </c>
      <c r="B228" s="1" t="s">
        <v>641</v>
      </c>
      <c r="C228" s="1" t="s">
        <v>102</v>
      </c>
      <c r="D228" s="1" t="s">
        <v>597</v>
      </c>
      <c r="E228" s="3" t="s">
        <v>646</v>
      </c>
    </row>
    <row r="229" spans="1:5" ht="409.5" x14ac:dyDescent="0.4">
      <c r="A229" s="1" t="s">
        <v>3</v>
      </c>
      <c r="B229" s="1" t="s">
        <v>641</v>
      </c>
      <c r="C229" s="1" t="s">
        <v>103</v>
      </c>
      <c r="D229" s="1" t="s">
        <v>598</v>
      </c>
      <c r="E229" s="3" t="s">
        <v>647</v>
      </c>
    </row>
    <row r="230" spans="1:5" ht="243.75" x14ac:dyDescent="0.4">
      <c r="A230" s="1" t="s">
        <v>3</v>
      </c>
      <c r="B230" s="1" t="s">
        <v>641</v>
      </c>
      <c r="C230" s="1" t="s">
        <v>456</v>
      </c>
      <c r="D230" s="1" t="s">
        <v>599</v>
      </c>
      <c r="E230" s="3" t="s">
        <v>464</v>
      </c>
    </row>
    <row r="231" spans="1:5" ht="393.75" x14ac:dyDescent="0.4">
      <c r="A231" s="1" t="s">
        <v>3</v>
      </c>
      <c r="B231" s="1" t="s">
        <v>641</v>
      </c>
      <c r="C231" s="1" t="s">
        <v>105</v>
      </c>
      <c r="D231" s="1" t="s">
        <v>600</v>
      </c>
      <c r="E231" s="3" t="s">
        <v>648</v>
      </c>
    </row>
    <row r="232" spans="1:5" ht="318.75" x14ac:dyDescent="0.4">
      <c r="A232" s="1" t="s">
        <v>3</v>
      </c>
      <c r="B232" s="1" t="s">
        <v>641</v>
      </c>
      <c r="C232" s="1" t="s">
        <v>106</v>
      </c>
      <c r="D232" s="1" t="s">
        <v>601</v>
      </c>
      <c r="E232" s="3" t="s">
        <v>649</v>
      </c>
    </row>
    <row r="233" spans="1:5" ht="318.75" x14ac:dyDescent="0.4">
      <c r="A233" s="1" t="s">
        <v>3</v>
      </c>
      <c r="B233" s="1" t="s">
        <v>641</v>
      </c>
      <c r="C233" s="1" t="s">
        <v>221</v>
      </c>
      <c r="D233" s="1" t="s">
        <v>602</v>
      </c>
      <c r="E233" s="3" t="s">
        <v>650</v>
      </c>
    </row>
    <row r="234" spans="1:5" ht="318.75" x14ac:dyDescent="0.4">
      <c r="A234" s="1" t="s">
        <v>3</v>
      </c>
      <c r="B234" s="1" t="s">
        <v>641</v>
      </c>
      <c r="C234" s="1" t="s">
        <v>222</v>
      </c>
      <c r="D234" s="1" t="s">
        <v>603</v>
      </c>
      <c r="E234" s="3" t="s">
        <v>572</v>
      </c>
    </row>
    <row r="235" spans="1:5" ht="262.5" x14ac:dyDescent="0.4">
      <c r="A235" s="1" t="s">
        <v>3</v>
      </c>
      <c r="B235" s="1" t="s">
        <v>641</v>
      </c>
      <c r="C235" s="1" t="s">
        <v>107</v>
      </c>
      <c r="D235" s="1" t="s">
        <v>604</v>
      </c>
      <c r="E235" s="3" t="s">
        <v>516</v>
      </c>
    </row>
    <row r="236" spans="1:5" ht="243.75" x14ac:dyDescent="0.4">
      <c r="A236" s="1" t="s">
        <v>3</v>
      </c>
      <c r="B236" s="1" t="s">
        <v>641</v>
      </c>
      <c r="C236" s="1" t="s">
        <v>108</v>
      </c>
      <c r="D236" s="1" t="s">
        <v>605</v>
      </c>
      <c r="E236" s="3" t="s">
        <v>543</v>
      </c>
    </row>
    <row r="237" spans="1:5" ht="318.75" x14ac:dyDescent="0.4">
      <c r="A237" s="1" t="s">
        <v>3</v>
      </c>
      <c r="B237" s="1" t="s">
        <v>641</v>
      </c>
      <c r="C237" s="1" t="s">
        <v>223</v>
      </c>
      <c r="D237" s="1" t="s">
        <v>606</v>
      </c>
      <c r="E237" s="3" t="s">
        <v>651</v>
      </c>
    </row>
    <row r="238" spans="1:5" ht="337.5" x14ac:dyDescent="0.4">
      <c r="A238" s="1" t="s">
        <v>3</v>
      </c>
      <c r="B238" s="1" t="s">
        <v>641</v>
      </c>
      <c r="C238" s="1" t="s">
        <v>109</v>
      </c>
      <c r="D238" s="1" t="s">
        <v>607</v>
      </c>
      <c r="E238" s="3" t="s">
        <v>652</v>
      </c>
    </row>
    <row r="239" spans="1:5" ht="318.75" x14ac:dyDescent="0.4">
      <c r="A239" s="1" t="s">
        <v>3</v>
      </c>
      <c r="B239" s="1" t="s">
        <v>641</v>
      </c>
      <c r="C239" s="1" t="s">
        <v>110</v>
      </c>
      <c r="D239" s="1" t="s">
        <v>608</v>
      </c>
      <c r="E239" s="3" t="s">
        <v>653</v>
      </c>
    </row>
    <row r="240" spans="1:5" ht="262.5" x14ac:dyDescent="0.4">
      <c r="A240" s="1" t="s">
        <v>3</v>
      </c>
      <c r="B240" s="1" t="s">
        <v>641</v>
      </c>
      <c r="C240" s="1" t="s">
        <v>225</v>
      </c>
      <c r="D240" s="1" t="s">
        <v>609</v>
      </c>
      <c r="E240" s="3" t="s">
        <v>654</v>
      </c>
    </row>
    <row r="241" spans="1:5" ht="318.75" x14ac:dyDescent="0.4">
      <c r="A241" s="1" t="s">
        <v>3</v>
      </c>
      <c r="B241" s="1" t="s">
        <v>641</v>
      </c>
      <c r="C241" s="1" t="s">
        <v>111</v>
      </c>
      <c r="D241" s="1" t="s">
        <v>610</v>
      </c>
      <c r="E241" s="3" t="s">
        <v>655</v>
      </c>
    </row>
    <row r="242" spans="1:5" ht="262.5" x14ac:dyDescent="0.4">
      <c r="A242" s="1" t="s">
        <v>3</v>
      </c>
      <c r="B242" s="1" t="s">
        <v>641</v>
      </c>
      <c r="C242" s="1" t="s">
        <v>492</v>
      </c>
      <c r="D242" s="1" t="s">
        <v>611</v>
      </c>
      <c r="E242" s="3" t="s">
        <v>499</v>
      </c>
    </row>
    <row r="243" spans="1:5" ht="393.75" x14ac:dyDescent="0.4">
      <c r="A243" s="1" t="s">
        <v>3</v>
      </c>
      <c r="B243" s="1" t="s">
        <v>641</v>
      </c>
      <c r="C243" s="1" t="s">
        <v>112</v>
      </c>
      <c r="D243" s="1" t="s">
        <v>612</v>
      </c>
      <c r="E243" s="3" t="s">
        <v>656</v>
      </c>
    </row>
    <row r="244" spans="1:5" ht="337.5" x14ac:dyDescent="0.4">
      <c r="A244" s="1" t="s">
        <v>3</v>
      </c>
      <c r="B244" s="1" t="s">
        <v>641</v>
      </c>
      <c r="C244" s="1" t="s">
        <v>228</v>
      </c>
      <c r="D244" s="1" t="s">
        <v>613</v>
      </c>
      <c r="E244" s="3" t="s">
        <v>657</v>
      </c>
    </row>
    <row r="245" spans="1:5" ht="168.75" x14ac:dyDescent="0.4">
      <c r="A245" s="1" t="s">
        <v>3</v>
      </c>
      <c r="B245" s="1" t="s">
        <v>641</v>
      </c>
      <c r="C245" s="1" t="s">
        <v>211</v>
      </c>
      <c r="D245" s="1" t="s">
        <v>586</v>
      </c>
      <c r="E245" s="3" t="s">
        <v>658</v>
      </c>
    </row>
    <row r="246" spans="1:5" ht="409.5" x14ac:dyDescent="0.4">
      <c r="A246" s="1" t="s">
        <v>3</v>
      </c>
      <c r="B246" s="1" t="s">
        <v>641</v>
      </c>
      <c r="C246" s="1" t="s">
        <v>212</v>
      </c>
      <c r="D246" s="1" t="s">
        <v>614</v>
      </c>
      <c r="E246" s="3" t="s">
        <v>659</v>
      </c>
    </row>
    <row r="247" spans="1:5" ht="262.5" x14ac:dyDescent="0.4">
      <c r="A247" s="1" t="s">
        <v>3</v>
      </c>
      <c r="B247" s="1" t="s">
        <v>641</v>
      </c>
      <c r="C247" s="1" t="s">
        <v>229</v>
      </c>
      <c r="D247" s="1" t="s">
        <v>615</v>
      </c>
      <c r="E247" s="3" t="s">
        <v>660</v>
      </c>
    </row>
    <row r="248" spans="1:5" ht="300" x14ac:dyDescent="0.4">
      <c r="A248" s="1" t="s">
        <v>3</v>
      </c>
      <c r="B248" s="1" t="s">
        <v>641</v>
      </c>
      <c r="C248" s="1" t="s">
        <v>230</v>
      </c>
      <c r="D248" s="1" t="s">
        <v>616</v>
      </c>
      <c r="E248" s="3" t="s">
        <v>661</v>
      </c>
    </row>
    <row r="249" spans="1:5" ht="168.75" x14ac:dyDescent="0.4">
      <c r="A249" s="1" t="s">
        <v>3</v>
      </c>
      <c r="B249" s="1" t="s">
        <v>641</v>
      </c>
      <c r="C249" s="1" t="s">
        <v>213</v>
      </c>
      <c r="D249" s="1" t="s">
        <v>579</v>
      </c>
      <c r="E249" s="3" t="s">
        <v>662</v>
      </c>
    </row>
    <row r="250" spans="1:5" ht="262.5" x14ac:dyDescent="0.4">
      <c r="A250" s="1" t="s">
        <v>3</v>
      </c>
      <c r="B250" s="1" t="s">
        <v>641</v>
      </c>
      <c r="C250" s="1" t="s">
        <v>231</v>
      </c>
      <c r="D250" s="1" t="s">
        <v>617</v>
      </c>
      <c r="E250" s="3" t="s">
        <v>663</v>
      </c>
    </row>
    <row r="251" spans="1:5" ht="318.75" x14ac:dyDescent="0.4">
      <c r="A251" s="1" t="s">
        <v>3</v>
      </c>
      <c r="B251" s="1" t="s">
        <v>641</v>
      </c>
      <c r="C251" s="1" t="s">
        <v>232</v>
      </c>
      <c r="D251" s="1" t="s">
        <v>618</v>
      </c>
      <c r="E251" s="3" t="s">
        <v>664</v>
      </c>
    </row>
    <row r="252" spans="1:5" ht="262.5" x14ac:dyDescent="0.4">
      <c r="A252" s="1" t="s">
        <v>3</v>
      </c>
      <c r="B252" s="1" t="s">
        <v>641</v>
      </c>
      <c r="C252" s="1" t="s">
        <v>233</v>
      </c>
      <c r="D252" s="1" t="s">
        <v>619</v>
      </c>
      <c r="E252" s="3" t="s">
        <v>665</v>
      </c>
    </row>
    <row r="253" spans="1:5" ht="300" x14ac:dyDescent="0.4">
      <c r="A253" s="1" t="s">
        <v>3</v>
      </c>
      <c r="B253" s="1" t="s">
        <v>641</v>
      </c>
      <c r="C253" s="1" t="s">
        <v>230</v>
      </c>
      <c r="D253" s="1" t="s">
        <v>620</v>
      </c>
      <c r="E253" s="3" t="s">
        <v>661</v>
      </c>
    </row>
    <row r="254" spans="1:5" ht="337.5" x14ac:dyDescent="0.4">
      <c r="A254" s="1" t="s">
        <v>3</v>
      </c>
      <c r="B254" s="1" t="s">
        <v>641</v>
      </c>
      <c r="C254" s="1" t="s">
        <v>238</v>
      </c>
      <c r="D254" s="1" t="s">
        <v>621</v>
      </c>
      <c r="E254" s="3" t="s">
        <v>666</v>
      </c>
    </row>
    <row r="255" spans="1:5" ht="318.75" x14ac:dyDescent="0.4">
      <c r="A255" s="1" t="s">
        <v>3</v>
      </c>
      <c r="B255" s="1" t="s">
        <v>641</v>
      </c>
      <c r="C255" s="1" t="s">
        <v>234</v>
      </c>
      <c r="D255" s="1" t="s">
        <v>622</v>
      </c>
      <c r="E255" s="3" t="s">
        <v>572</v>
      </c>
    </row>
    <row r="256" spans="1:5" ht="409.5" x14ac:dyDescent="0.4">
      <c r="A256" s="1" t="s">
        <v>3</v>
      </c>
      <c r="B256" s="1" t="s">
        <v>641</v>
      </c>
      <c r="C256" s="1" t="s">
        <v>235</v>
      </c>
      <c r="D256" s="1" t="s">
        <v>623</v>
      </c>
      <c r="E256" s="3" t="s">
        <v>667</v>
      </c>
    </row>
    <row r="257" spans="1:5" ht="356.25" x14ac:dyDescent="0.4">
      <c r="A257" s="1" t="s">
        <v>3</v>
      </c>
      <c r="B257" s="1" t="s">
        <v>641</v>
      </c>
      <c r="C257" s="1" t="s">
        <v>237</v>
      </c>
      <c r="D257" s="1" t="s">
        <v>624</v>
      </c>
      <c r="E257" s="3" t="s">
        <v>668</v>
      </c>
    </row>
    <row r="258" spans="1:5" ht="409.5" x14ac:dyDescent="0.4">
      <c r="A258" s="1" t="s">
        <v>3</v>
      </c>
      <c r="B258" s="1" t="s">
        <v>641</v>
      </c>
      <c r="C258" s="1" t="s">
        <v>239</v>
      </c>
      <c r="D258" s="1" t="s">
        <v>625</v>
      </c>
      <c r="E258" s="3" t="s">
        <v>669</v>
      </c>
    </row>
    <row r="259" spans="1:5" ht="409.5" x14ac:dyDescent="0.4">
      <c r="A259" s="1" t="s">
        <v>3</v>
      </c>
      <c r="B259" s="1" t="s">
        <v>641</v>
      </c>
      <c r="C259" s="1" t="s">
        <v>529</v>
      </c>
      <c r="D259" s="1" t="s">
        <v>627</v>
      </c>
      <c r="E259" s="3" t="s">
        <v>670</v>
      </c>
    </row>
    <row r="260" spans="1:5" ht="243.75" x14ac:dyDescent="0.4">
      <c r="A260" s="1" t="s">
        <v>3</v>
      </c>
      <c r="B260" s="1" t="s">
        <v>641</v>
      </c>
      <c r="C260" s="1" t="s">
        <v>236</v>
      </c>
      <c r="D260" s="1" t="s">
        <v>628</v>
      </c>
      <c r="E260" s="3" t="s">
        <v>671</v>
      </c>
    </row>
    <row r="261" spans="1:5" ht="409.5" x14ac:dyDescent="0.4">
      <c r="A261" s="1" t="s">
        <v>3</v>
      </c>
      <c r="B261" s="1" t="s">
        <v>641</v>
      </c>
      <c r="C261" s="1" t="s">
        <v>352</v>
      </c>
      <c r="D261" s="1" t="s">
        <v>631</v>
      </c>
      <c r="E261" s="3" t="s">
        <v>672</v>
      </c>
    </row>
    <row r="262" spans="1:5" ht="409.5" x14ac:dyDescent="0.4">
      <c r="A262" s="1" t="s">
        <v>3</v>
      </c>
      <c r="B262" s="1" t="s">
        <v>641</v>
      </c>
      <c r="C262" s="1" t="s">
        <v>354</v>
      </c>
      <c r="D262" s="1" t="s">
        <v>632</v>
      </c>
      <c r="E262" s="3" t="s">
        <v>396</v>
      </c>
    </row>
    <row r="263" spans="1:5" ht="409.5" x14ac:dyDescent="0.4">
      <c r="A263" s="1" t="s">
        <v>3</v>
      </c>
      <c r="B263" s="1" t="s">
        <v>641</v>
      </c>
      <c r="C263" s="1" t="s">
        <v>351</v>
      </c>
      <c r="D263" s="1" t="s">
        <v>634</v>
      </c>
      <c r="E263" s="3" t="s">
        <v>673</v>
      </c>
    </row>
    <row r="264" spans="1:5" ht="409.5" x14ac:dyDescent="0.4">
      <c r="A264" s="1" t="s">
        <v>3</v>
      </c>
      <c r="B264" s="1" t="s">
        <v>641</v>
      </c>
      <c r="C264" s="1" t="s">
        <v>353</v>
      </c>
      <c r="D264" s="1" t="s">
        <v>591</v>
      </c>
      <c r="E264" s="3" t="s">
        <v>674</v>
      </c>
    </row>
    <row r="265" spans="1:5" ht="318.75" x14ac:dyDescent="0.4">
      <c r="A265" s="1" t="s">
        <v>3</v>
      </c>
      <c r="B265" s="1" t="s">
        <v>641</v>
      </c>
      <c r="C265" s="1" t="s">
        <v>355</v>
      </c>
      <c r="D265" s="1" t="s">
        <v>636</v>
      </c>
      <c r="E265" s="3" t="s">
        <v>572</v>
      </c>
    </row>
    <row r="266" spans="1:5" ht="318.75" x14ac:dyDescent="0.4">
      <c r="A266" s="1" t="s">
        <v>3</v>
      </c>
      <c r="B266" s="1" t="s">
        <v>641</v>
      </c>
      <c r="C266" s="1" t="s">
        <v>356</v>
      </c>
      <c r="D266" s="1" t="s">
        <v>637</v>
      </c>
      <c r="E266" s="3" t="s">
        <v>675</v>
      </c>
    </row>
    <row r="267" spans="1:5" ht="318.75" x14ac:dyDescent="0.4">
      <c r="A267" s="1" t="s">
        <v>3</v>
      </c>
      <c r="B267" s="1" t="s">
        <v>641</v>
      </c>
      <c r="C267" s="1" t="s">
        <v>412</v>
      </c>
      <c r="D267" s="1" t="s">
        <v>638</v>
      </c>
      <c r="E267" s="3" t="s">
        <v>676</v>
      </c>
    </row>
    <row r="268" spans="1:5" ht="318.75" x14ac:dyDescent="0.4">
      <c r="A268" s="1" t="s">
        <v>3</v>
      </c>
      <c r="B268" s="1" t="s">
        <v>641</v>
      </c>
      <c r="C268" s="1" t="s">
        <v>413</v>
      </c>
      <c r="D268" s="1" t="s">
        <v>639</v>
      </c>
      <c r="E268" s="3" t="s">
        <v>677</v>
      </c>
    </row>
    <row r="269" spans="1:5" ht="337.5" x14ac:dyDescent="0.4">
      <c r="A269" s="1" t="s">
        <v>3</v>
      </c>
      <c r="B269" s="1" t="s">
        <v>641</v>
      </c>
      <c r="C269" s="1" t="s">
        <v>414</v>
      </c>
      <c r="D269" s="1" t="s">
        <v>640</v>
      </c>
      <c r="E269" s="3" t="s">
        <v>678</v>
      </c>
    </row>
    <row r="270" spans="1:5" x14ac:dyDescent="0.4">
      <c r="A270" s="1" t="s">
        <v>3</v>
      </c>
      <c r="B270" s="1" t="s">
        <v>641</v>
      </c>
      <c r="C270" s="1" t="s">
        <v>9</v>
      </c>
      <c r="D270" s="1" t="s">
        <v>415</v>
      </c>
      <c r="E270" s="1" t="s">
        <v>204</v>
      </c>
    </row>
    <row r="271" spans="1:5" x14ac:dyDescent="0.4">
      <c r="A271" s="1" t="s">
        <v>3</v>
      </c>
      <c r="B271" s="1" t="s">
        <v>641</v>
      </c>
      <c r="C271" s="1" t="s">
        <v>98</v>
      </c>
      <c r="D271" s="1" t="s">
        <v>120</v>
      </c>
      <c r="E271" s="1" t="s">
        <v>204</v>
      </c>
    </row>
    <row r="272" spans="1:5" x14ac:dyDescent="0.4">
      <c r="A272" s="1" t="s">
        <v>3</v>
      </c>
      <c r="B272" s="1" t="s">
        <v>641</v>
      </c>
      <c r="C272" s="1" t="s">
        <v>101</v>
      </c>
      <c r="D272" s="1" t="s">
        <v>129</v>
      </c>
      <c r="E272" s="1" t="s">
        <v>204</v>
      </c>
    </row>
    <row r="273" spans="1:5" x14ac:dyDescent="0.4">
      <c r="A273" s="1" t="s">
        <v>3</v>
      </c>
      <c r="B273" s="1" t="s">
        <v>641</v>
      </c>
      <c r="C273" s="1" t="s">
        <v>102</v>
      </c>
      <c r="D273" s="1" t="s">
        <v>137</v>
      </c>
      <c r="E273" s="1" t="s">
        <v>204</v>
      </c>
    </row>
    <row r="274" spans="1:5" x14ac:dyDescent="0.4">
      <c r="A274" s="1" t="s">
        <v>3</v>
      </c>
      <c r="B274" s="1" t="s">
        <v>641</v>
      </c>
      <c r="C274" s="1" t="s">
        <v>103</v>
      </c>
      <c r="D274" s="1" t="s">
        <v>146</v>
      </c>
      <c r="E274" s="1" t="s">
        <v>204</v>
      </c>
    </row>
    <row r="275" spans="1:5" x14ac:dyDescent="0.4">
      <c r="A275" s="1" t="s">
        <v>3</v>
      </c>
      <c r="B275" s="1" t="s">
        <v>641</v>
      </c>
      <c r="C275" s="1" t="s">
        <v>456</v>
      </c>
      <c r="D275" s="1" t="s">
        <v>461</v>
      </c>
      <c r="E275" s="1" t="s">
        <v>204</v>
      </c>
    </row>
    <row r="276" spans="1:5" x14ac:dyDescent="0.4">
      <c r="A276" s="1" t="s">
        <v>3</v>
      </c>
      <c r="B276" s="1" t="s">
        <v>641</v>
      </c>
      <c r="C276" s="1" t="s">
        <v>105</v>
      </c>
      <c r="D276" s="1" t="s">
        <v>150</v>
      </c>
      <c r="E276" s="1" t="s">
        <v>204</v>
      </c>
    </row>
    <row r="277" spans="1:5" x14ac:dyDescent="0.4">
      <c r="A277" s="1" t="s">
        <v>3</v>
      </c>
      <c r="B277" s="1" t="s">
        <v>641</v>
      </c>
      <c r="C277" s="1" t="s">
        <v>106</v>
      </c>
      <c r="D277" s="1" t="s">
        <v>157</v>
      </c>
      <c r="E277" s="1" t="s">
        <v>204</v>
      </c>
    </row>
    <row r="278" spans="1:5" x14ac:dyDescent="0.4">
      <c r="A278" s="1" t="s">
        <v>3</v>
      </c>
      <c r="B278" s="1" t="s">
        <v>641</v>
      </c>
      <c r="C278" s="1" t="s">
        <v>221</v>
      </c>
      <c r="D278" s="1" t="s">
        <v>245</v>
      </c>
      <c r="E278" s="1" t="s">
        <v>204</v>
      </c>
    </row>
    <row r="279" spans="1:5" x14ac:dyDescent="0.4">
      <c r="A279" s="1" t="s">
        <v>3</v>
      </c>
      <c r="B279" s="1" t="s">
        <v>641</v>
      </c>
      <c r="C279" s="1" t="s">
        <v>222</v>
      </c>
      <c r="D279" s="1" t="s">
        <v>248</v>
      </c>
      <c r="E279" s="1" t="s">
        <v>204</v>
      </c>
    </row>
    <row r="280" spans="1:5" x14ac:dyDescent="0.4">
      <c r="A280" s="1" t="s">
        <v>3</v>
      </c>
      <c r="B280" s="1" t="s">
        <v>641</v>
      </c>
      <c r="C280" s="1" t="s">
        <v>107</v>
      </c>
      <c r="D280" s="1" t="s">
        <v>514</v>
      </c>
      <c r="E280" s="1" t="s">
        <v>204</v>
      </c>
    </row>
    <row r="281" spans="1:5" x14ac:dyDescent="0.4">
      <c r="A281" s="1" t="s">
        <v>3</v>
      </c>
      <c r="B281" s="1" t="s">
        <v>641</v>
      </c>
      <c r="C281" s="1" t="s">
        <v>108</v>
      </c>
      <c r="D281" s="1" t="s">
        <v>578</v>
      </c>
      <c r="E281" s="1" t="s">
        <v>204</v>
      </c>
    </row>
    <row r="282" spans="1:5" x14ac:dyDescent="0.4">
      <c r="A282" s="1" t="s">
        <v>3</v>
      </c>
      <c r="B282" s="1" t="s">
        <v>641</v>
      </c>
      <c r="C282" s="1" t="s">
        <v>223</v>
      </c>
      <c r="D282" s="1" t="s">
        <v>253</v>
      </c>
      <c r="E282" s="1" t="s">
        <v>204</v>
      </c>
    </row>
    <row r="283" spans="1:5" x14ac:dyDescent="0.4">
      <c r="A283" s="1" t="s">
        <v>3</v>
      </c>
      <c r="B283" s="1" t="s">
        <v>641</v>
      </c>
      <c r="C283" s="1" t="s">
        <v>109</v>
      </c>
      <c r="D283" s="1" t="s">
        <v>170</v>
      </c>
      <c r="E283" s="1" t="s">
        <v>204</v>
      </c>
    </row>
    <row r="284" spans="1:5" x14ac:dyDescent="0.4">
      <c r="A284" s="1" t="s">
        <v>3</v>
      </c>
      <c r="B284" s="1" t="s">
        <v>641</v>
      </c>
      <c r="C284" s="1" t="s">
        <v>110</v>
      </c>
      <c r="D284" s="1" t="s">
        <v>174</v>
      </c>
      <c r="E284" s="1" t="s">
        <v>204</v>
      </c>
    </row>
    <row r="285" spans="1:5" x14ac:dyDescent="0.4">
      <c r="A285" s="1" t="s">
        <v>3</v>
      </c>
      <c r="B285" s="1" t="s">
        <v>641</v>
      </c>
      <c r="C285" s="1" t="s">
        <v>111</v>
      </c>
      <c r="D285" s="1" t="s">
        <v>178</v>
      </c>
      <c r="E285" s="1" t="s">
        <v>204</v>
      </c>
    </row>
    <row r="286" spans="1:5" x14ac:dyDescent="0.4">
      <c r="A286" s="1" t="s">
        <v>3</v>
      </c>
      <c r="B286" s="1" t="s">
        <v>641</v>
      </c>
      <c r="C286" s="1" t="s">
        <v>225</v>
      </c>
      <c r="D286" s="1" t="s">
        <v>257</v>
      </c>
      <c r="E286" s="1" t="s">
        <v>204</v>
      </c>
    </row>
    <row r="287" spans="1:5" x14ac:dyDescent="0.4">
      <c r="A287" s="1" t="s">
        <v>3</v>
      </c>
      <c r="B287" s="1" t="s">
        <v>641</v>
      </c>
      <c r="C287" s="1" t="s">
        <v>492</v>
      </c>
      <c r="D287" s="1" t="s">
        <v>259</v>
      </c>
      <c r="E287" s="1" t="s">
        <v>204</v>
      </c>
    </row>
    <row r="288" spans="1:5" x14ac:dyDescent="0.4">
      <c r="A288" s="1" t="s">
        <v>3</v>
      </c>
      <c r="B288" s="1" t="s">
        <v>641</v>
      </c>
      <c r="C288" s="1" t="s">
        <v>212</v>
      </c>
      <c r="D288" s="1" t="s">
        <v>580</v>
      </c>
      <c r="E288" s="1" t="s">
        <v>204</v>
      </c>
    </row>
    <row r="289" spans="1:5" x14ac:dyDescent="0.4">
      <c r="A289" s="1" t="s">
        <v>3</v>
      </c>
      <c r="B289" s="1" t="s">
        <v>641</v>
      </c>
      <c r="C289" s="1" t="s">
        <v>228</v>
      </c>
      <c r="D289" s="1" t="s">
        <v>270</v>
      </c>
      <c r="E289" s="1" t="s">
        <v>204</v>
      </c>
    </row>
    <row r="290" spans="1:5" x14ac:dyDescent="0.4">
      <c r="A290" s="1" t="s">
        <v>3</v>
      </c>
      <c r="B290" s="1" t="s">
        <v>641</v>
      </c>
      <c r="C290" s="1" t="s">
        <v>213</v>
      </c>
      <c r="D290" s="1" t="s">
        <v>581</v>
      </c>
      <c r="E290" s="1" t="s">
        <v>204</v>
      </c>
    </row>
    <row r="291" spans="1:5" x14ac:dyDescent="0.4">
      <c r="A291" s="1" t="s">
        <v>3</v>
      </c>
      <c r="B291" s="1" t="s">
        <v>641</v>
      </c>
      <c r="C291" s="1" t="s">
        <v>229</v>
      </c>
      <c r="D291" s="1" t="s">
        <v>278</v>
      </c>
      <c r="E291" s="1" t="s">
        <v>204</v>
      </c>
    </row>
    <row r="292" spans="1:5" x14ac:dyDescent="0.4">
      <c r="A292" s="1" t="s">
        <v>3</v>
      </c>
      <c r="B292" s="1" t="s">
        <v>641</v>
      </c>
      <c r="C292" s="1" t="s">
        <v>230</v>
      </c>
      <c r="D292" s="1" t="s">
        <v>282</v>
      </c>
      <c r="E292" s="1" t="s">
        <v>204</v>
      </c>
    </row>
    <row r="293" spans="1:5" x14ac:dyDescent="0.4">
      <c r="A293" s="1" t="s">
        <v>3</v>
      </c>
      <c r="B293" s="1" t="s">
        <v>641</v>
      </c>
      <c r="C293" s="1" t="s">
        <v>231</v>
      </c>
      <c r="D293" s="1" t="s">
        <v>286</v>
      </c>
      <c r="E293" s="1" t="s">
        <v>204</v>
      </c>
    </row>
    <row r="294" spans="1:5" x14ac:dyDescent="0.4">
      <c r="A294" s="1" t="s">
        <v>3</v>
      </c>
      <c r="B294" s="1" t="s">
        <v>641</v>
      </c>
      <c r="C294" s="1" t="s">
        <v>232</v>
      </c>
      <c r="D294" s="1" t="s">
        <v>290</v>
      </c>
      <c r="E294" s="1" t="s">
        <v>204</v>
      </c>
    </row>
    <row r="295" spans="1:5" x14ac:dyDescent="0.4">
      <c r="A295" s="1" t="s">
        <v>3</v>
      </c>
      <c r="B295" s="1" t="s">
        <v>641</v>
      </c>
      <c r="C295" s="1" t="s">
        <v>233</v>
      </c>
      <c r="D295" s="1" t="s">
        <v>294</v>
      </c>
      <c r="E295" s="1" t="s">
        <v>204</v>
      </c>
    </row>
    <row r="296" spans="1:5" x14ac:dyDescent="0.4">
      <c r="A296" s="1" t="s">
        <v>3</v>
      </c>
      <c r="B296" s="1" t="s">
        <v>641</v>
      </c>
      <c r="C296" s="1" t="s">
        <v>230</v>
      </c>
      <c r="D296" s="1" t="s">
        <v>295</v>
      </c>
      <c r="E296" s="1" t="s">
        <v>204</v>
      </c>
    </row>
    <row r="297" spans="1:5" x14ac:dyDescent="0.4">
      <c r="A297" s="1" t="s">
        <v>3</v>
      </c>
      <c r="B297" s="1" t="s">
        <v>641</v>
      </c>
      <c r="C297" s="1" t="s">
        <v>238</v>
      </c>
      <c r="D297" s="1" t="s">
        <v>416</v>
      </c>
      <c r="E297" s="1" t="s">
        <v>204</v>
      </c>
    </row>
    <row r="298" spans="1:5" x14ac:dyDescent="0.4">
      <c r="A298" s="1" t="s">
        <v>3</v>
      </c>
      <c r="B298" s="1" t="s">
        <v>641</v>
      </c>
      <c r="C298" s="1" t="s">
        <v>234</v>
      </c>
      <c r="D298" s="1" t="s">
        <v>306</v>
      </c>
      <c r="E298" s="1" t="s">
        <v>204</v>
      </c>
    </row>
    <row r="299" spans="1:5" x14ac:dyDescent="0.4">
      <c r="A299" s="1" t="s">
        <v>3</v>
      </c>
      <c r="B299" s="1" t="s">
        <v>641</v>
      </c>
      <c r="C299" s="1" t="s">
        <v>235</v>
      </c>
      <c r="D299" s="1" t="s">
        <v>318</v>
      </c>
      <c r="E299" s="1" t="s">
        <v>204</v>
      </c>
    </row>
    <row r="300" spans="1:5" x14ac:dyDescent="0.4">
      <c r="A300" s="1" t="s">
        <v>3</v>
      </c>
      <c r="B300" s="1" t="s">
        <v>641</v>
      </c>
      <c r="C300" s="1" t="s">
        <v>239</v>
      </c>
      <c r="D300" s="1" t="s">
        <v>530</v>
      </c>
      <c r="E300" s="1" t="s">
        <v>204</v>
      </c>
    </row>
    <row r="301" spans="1:5" x14ac:dyDescent="0.4">
      <c r="A301" s="1" t="s">
        <v>3</v>
      </c>
      <c r="B301" s="1" t="s">
        <v>641</v>
      </c>
      <c r="C301" s="1" t="s">
        <v>529</v>
      </c>
      <c r="D301" s="1" t="s">
        <v>534</v>
      </c>
      <c r="E301" s="1" t="s">
        <v>204</v>
      </c>
    </row>
    <row r="302" spans="1:5" x14ac:dyDescent="0.4">
      <c r="A302" s="1" t="s">
        <v>3</v>
      </c>
      <c r="B302" s="1" t="s">
        <v>641</v>
      </c>
      <c r="C302" s="1" t="s">
        <v>237</v>
      </c>
      <c r="D302" s="1" t="s">
        <v>322</v>
      </c>
      <c r="E302" s="1" t="s">
        <v>204</v>
      </c>
    </row>
    <row r="303" spans="1:5" x14ac:dyDescent="0.4">
      <c r="A303" s="1" t="s">
        <v>3</v>
      </c>
      <c r="B303" s="1" t="s">
        <v>641</v>
      </c>
      <c r="C303" s="1" t="s">
        <v>236</v>
      </c>
      <c r="D303" s="1" t="s">
        <v>323</v>
      </c>
      <c r="E303" s="1" t="s">
        <v>204</v>
      </c>
    </row>
    <row r="304" spans="1:5" x14ac:dyDescent="0.4">
      <c r="A304" s="1" t="s">
        <v>3</v>
      </c>
      <c r="B304" s="1" t="s">
        <v>641</v>
      </c>
      <c r="C304" s="1" t="s">
        <v>354</v>
      </c>
      <c r="D304" s="1" t="s">
        <v>555</v>
      </c>
      <c r="E304" s="1" t="s">
        <v>204</v>
      </c>
    </row>
    <row r="305" spans="1:5" x14ac:dyDescent="0.4">
      <c r="A305" s="1" t="s">
        <v>3</v>
      </c>
      <c r="B305" s="1" t="s">
        <v>641</v>
      </c>
      <c r="C305" s="1" t="s">
        <v>352</v>
      </c>
      <c r="D305" s="1" t="s">
        <v>557</v>
      </c>
      <c r="E305" s="1" t="s">
        <v>204</v>
      </c>
    </row>
    <row r="306" spans="1:5" x14ac:dyDescent="0.4">
      <c r="A306" s="1" t="s">
        <v>3</v>
      </c>
      <c r="B306" s="1" t="s">
        <v>641</v>
      </c>
      <c r="C306" s="1" t="s">
        <v>351</v>
      </c>
      <c r="D306" s="1" t="s">
        <v>446</v>
      </c>
      <c r="E306" s="1" t="s">
        <v>204</v>
      </c>
    </row>
    <row r="307" spans="1:5" x14ac:dyDescent="0.4">
      <c r="A307" s="1" t="s">
        <v>3</v>
      </c>
      <c r="B307" s="1" t="s">
        <v>641</v>
      </c>
      <c r="C307" s="1" t="s">
        <v>353</v>
      </c>
      <c r="D307" s="1" t="s">
        <v>552</v>
      </c>
      <c r="E307" s="1" t="s">
        <v>204</v>
      </c>
    </row>
    <row r="308" spans="1:5" x14ac:dyDescent="0.4">
      <c r="A308" s="1" t="s">
        <v>3</v>
      </c>
      <c r="B308" s="1" t="s">
        <v>641</v>
      </c>
      <c r="C308" s="1" t="s">
        <v>355</v>
      </c>
      <c r="D308" s="1" t="s">
        <v>389</v>
      </c>
      <c r="E308" s="1" t="s">
        <v>204</v>
      </c>
    </row>
    <row r="309" spans="1:5" x14ac:dyDescent="0.4">
      <c r="A309" s="1" t="s">
        <v>3</v>
      </c>
      <c r="B309" s="1" t="s">
        <v>641</v>
      </c>
      <c r="C309" s="1" t="s">
        <v>356</v>
      </c>
      <c r="D309" s="1" t="s">
        <v>393</v>
      </c>
      <c r="E309" s="1" t="s">
        <v>204</v>
      </c>
    </row>
    <row r="310" spans="1:5" x14ac:dyDescent="0.4">
      <c r="A310" s="1" t="s">
        <v>3</v>
      </c>
      <c r="B310" s="1" t="s">
        <v>641</v>
      </c>
      <c r="C310" s="1" t="s">
        <v>412</v>
      </c>
      <c r="D310" s="1" t="s">
        <v>423</v>
      </c>
      <c r="E310" s="1" t="s">
        <v>204</v>
      </c>
    </row>
    <row r="311" spans="1:5" x14ac:dyDescent="0.4">
      <c r="A311" s="1" t="s">
        <v>3</v>
      </c>
      <c r="B311" s="1" t="s">
        <v>641</v>
      </c>
      <c r="C311" s="1" t="s">
        <v>413</v>
      </c>
      <c r="D311" s="1" t="s">
        <v>426</v>
      </c>
      <c r="E311" s="1" t="s">
        <v>204</v>
      </c>
    </row>
    <row r="312" spans="1:5" x14ac:dyDescent="0.4">
      <c r="A312" s="1" t="s">
        <v>3</v>
      </c>
      <c r="B312" s="1" t="s">
        <v>641</v>
      </c>
      <c r="C312" s="1" t="s">
        <v>414</v>
      </c>
      <c r="D312" s="1" t="s">
        <v>447</v>
      </c>
      <c r="E312" s="1" t="s">
        <v>204</v>
      </c>
    </row>
    <row r="313" spans="1:5" ht="56.25" x14ac:dyDescent="0.4">
      <c r="A313" s="1" t="s">
        <v>3</v>
      </c>
      <c r="B313" s="1" t="s">
        <v>685</v>
      </c>
      <c r="C313" s="1" t="s">
        <v>679</v>
      </c>
      <c r="D313" s="1" t="s">
        <v>93</v>
      </c>
      <c r="E313" s="3" t="s">
        <v>94</v>
      </c>
    </row>
    <row r="314" spans="1:5" ht="56.25" x14ac:dyDescent="0.4">
      <c r="A314" s="1" t="s">
        <v>3</v>
      </c>
      <c r="B314" s="1" t="s">
        <v>685</v>
      </c>
      <c r="C314" s="1" t="s">
        <v>680</v>
      </c>
      <c r="D314" s="1" t="s">
        <v>93</v>
      </c>
      <c r="E314" s="3" t="s">
        <v>94</v>
      </c>
    </row>
    <row r="315" spans="1:5" ht="281.25" x14ac:dyDescent="0.4">
      <c r="A315" s="1" t="s">
        <v>3</v>
      </c>
      <c r="B315" s="1" t="s">
        <v>685</v>
      </c>
      <c r="C315" s="1" t="s">
        <v>681</v>
      </c>
      <c r="D315" s="1" t="s">
        <v>93</v>
      </c>
      <c r="E315" s="3" t="s">
        <v>686</v>
      </c>
    </row>
    <row r="316" spans="1:5" ht="281.25" x14ac:dyDescent="0.4">
      <c r="A316" s="1" t="s">
        <v>3</v>
      </c>
      <c r="B316" s="1" t="s">
        <v>685</v>
      </c>
      <c r="C316" s="1" t="s">
        <v>683</v>
      </c>
      <c r="D316" s="1" t="s">
        <v>93</v>
      </c>
      <c r="E316" s="3" t="s">
        <v>408</v>
      </c>
    </row>
    <row r="317" spans="1:5" ht="281.25" x14ac:dyDescent="0.4">
      <c r="A317" s="1" t="s">
        <v>3</v>
      </c>
      <c r="B317" s="1" t="s">
        <v>685</v>
      </c>
      <c r="C317" s="1" t="s">
        <v>684</v>
      </c>
      <c r="D317" s="1" t="s">
        <v>93</v>
      </c>
      <c r="E317" s="3" t="s">
        <v>408</v>
      </c>
    </row>
    <row r="318" spans="1:5" x14ac:dyDescent="0.4">
      <c r="A318" s="1" t="s">
        <v>3</v>
      </c>
      <c r="B318" s="1" t="s">
        <v>685</v>
      </c>
      <c r="C318" s="1" t="s">
        <v>439</v>
      </c>
      <c r="D318" s="1" t="s">
        <v>93</v>
      </c>
      <c r="E318" s="1" t="s">
        <v>204</v>
      </c>
    </row>
    <row r="319" spans="1:5" x14ac:dyDescent="0.4">
      <c r="A319" s="1" t="s">
        <v>3</v>
      </c>
      <c r="B319" s="1" t="s">
        <v>685</v>
      </c>
      <c r="C319" s="1" t="s">
        <v>561</v>
      </c>
      <c r="D319" s="1" t="s">
        <v>93</v>
      </c>
      <c r="E319" s="1" t="s">
        <v>204</v>
      </c>
    </row>
    <row r="320" spans="1:5" x14ac:dyDescent="0.4">
      <c r="A320" s="1" t="s">
        <v>3</v>
      </c>
      <c r="B320" s="1" t="s">
        <v>685</v>
      </c>
      <c r="C320" s="1" t="s">
        <v>562</v>
      </c>
      <c r="D320" s="1" t="s">
        <v>93</v>
      </c>
      <c r="E320" s="1" t="s">
        <v>204</v>
      </c>
    </row>
    <row r="321" spans="1:5" x14ac:dyDescent="0.4">
      <c r="A321" s="1" t="s">
        <v>3</v>
      </c>
      <c r="B321" s="1" t="s">
        <v>685</v>
      </c>
      <c r="C321" s="1" t="s">
        <v>563</v>
      </c>
      <c r="D321" s="1" t="s">
        <v>93</v>
      </c>
      <c r="E321" s="1" t="s">
        <v>204</v>
      </c>
    </row>
    <row r="322" spans="1:5" x14ac:dyDescent="0.4">
      <c r="A322" s="1" t="s">
        <v>3</v>
      </c>
      <c r="B322" s="1" t="s">
        <v>685</v>
      </c>
      <c r="C322" s="1" t="s">
        <v>564</v>
      </c>
      <c r="D322" s="1" t="s">
        <v>93</v>
      </c>
      <c r="E322" s="1" t="s">
        <v>204</v>
      </c>
    </row>
    <row r="323" spans="1:5" ht="409.5" x14ac:dyDescent="0.4">
      <c r="A323" s="1" t="s">
        <v>3</v>
      </c>
      <c r="B323" s="1" t="s">
        <v>687</v>
      </c>
      <c r="C323" s="1" t="s">
        <v>101</v>
      </c>
      <c r="D323" s="1" t="s">
        <v>596</v>
      </c>
      <c r="E323" s="3" t="s">
        <v>688</v>
      </c>
    </row>
    <row r="324" spans="1:5" ht="409.5" x14ac:dyDescent="0.4">
      <c r="A324" s="1" t="s">
        <v>3</v>
      </c>
      <c r="B324" s="1" t="s">
        <v>687</v>
      </c>
      <c r="C324" s="1" t="s">
        <v>103</v>
      </c>
      <c r="D324" s="1" t="s">
        <v>598</v>
      </c>
      <c r="E324" s="3" t="s">
        <v>325</v>
      </c>
    </row>
    <row r="325" spans="1:5" ht="409.5" x14ac:dyDescent="0.4">
      <c r="A325" s="1" t="s">
        <v>3</v>
      </c>
      <c r="B325" s="1" t="s">
        <v>687</v>
      </c>
      <c r="C325" s="1" t="s">
        <v>235</v>
      </c>
      <c r="D325" s="1" t="s">
        <v>623</v>
      </c>
      <c r="E325" s="3" t="s">
        <v>689</v>
      </c>
    </row>
    <row r="326" spans="1:5" ht="409.5" x14ac:dyDescent="0.4">
      <c r="A326" s="1" t="s">
        <v>3</v>
      </c>
      <c r="B326" s="1" t="s">
        <v>687</v>
      </c>
      <c r="C326" s="1" t="s">
        <v>529</v>
      </c>
      <c r="D326" s="1" t="s">
        <v>627</v>
      </c>
      <c r="E326" s="3" t="s">
        <v>546</v>
      </c>
    </row>
    <row r="327" spans="1:5" ht="409.5" x14ac:dyDescent="0.4">
      <c r="A327" s="1" t="s">
        <v>3</v>
      </c>
      <c r="B327" s="1" t="s">
        <v>714</v>
      </c>
      <c r="C327" s="1" t="s">
        <v>9</v>
      </c>
      <c r="D327" s="1" t="s">
        <v>415</v>
      </c>
      <c r="E327" s="3" t="s">
        <v>715</v>
      </c>
    </row>
    <row r="328" spans="1:5" ht="337.5" x14ac:dyDescent="0.4">
      <c r="A328" s="1" t="s">
        <v>3</v>
      </c>
      <c r="B328" s="1" t="s">
        <v>714</v>
      </c>
      <c r="C328" s="1" t="s">
        <v>98</v>
      </c>
      <c r="D328" s="1" t="s">
        <v>690</v>
      </c>
      <c r="E328" s="3" t="s">
        <v>643</v>
      </c>
    </row>
    <row r="329" spans="1:5" ht="356.25" x14ac:dyDescent="0.4">
      <c r="A329" s="1" t="s">
        <v>3</v>
      </c>
      <c r="B329" s="1" t="s">
        <v>714</v>
      </c>
      <c r="C329" s="1" t="s">
        <v>99</v>
      </c>
      <c r="D329" s="1" t="s">
        <v>691</v>
      </c>
      <c r="E329" s="3" t="s">
        <v>716</v>
      </c>
    </row>
    <row r="330" spans="1:5" ht="409.5" x14ac:dyDescent="0.4">
      <c r="A330" s="1" t="s">
        <v>3</v>
      </c>
      <c r="B330" s="1" t="s">
        <v>714</v>
      </c>
      <c r="C330" s="1" t="s">
        <v>101</v>
      </c>
      <c r="D330" s="1" t="s">
        <v>692</v>
      </c>
      <c r="E330" s="3" t="s">
        <v>645</v>
      </c>
    </row>
    <row r="331" spans="1:5" ht="356.25" x14ac:dyDescent="0.4">
      <c r="A331" s="1" t="s">
        <v>3</v>
      </c>
      <c r="B331" s="1" t="s">
        <v>714</v>
      </c>
      <c r="C331" s="1" t="s">
        <v>102</v>
      </c>
      <c r="D331" s="1" t="s">
        <v>693</v>
      </c>
      <c r="E331" s="3" t="s">
        <v>717</v>
      </c>
    </row>
    <row r="332" spans="1:5" ht="409.5" x14ac:dyDescent="0.4">
      <c r="A332" s="1" t="s">
        <v>3</v>
      </c>
      <c r="B332" s="1" t="s">
        <v>714</v>
      </c>
      <c r="C332" s="1" t="s">
        <v>103</v>
      </c>
      <c r="D332" s="1" t="s">
        <v>694</v>
      </c>
      <c r="E332" s="3" t="s">
        <v>718</v>
      </c>
    </row>
    <row r="333" spans="1:5" ht="243.75" x14ac:dyDescent="0.4">
      <c r="A333" s="1" t="s">
        <v>3</v>
      </c>
      <c r="B333" s="1" t="s">
        <v>714</v>
      </c>
      <c r="C333" s="1" t="s">
        <v>456</v>
      </c>
      <c r="D333" s="1" t="s">
        <v>695</v>
      </c>
      <c r="E333" s="3" t="s">
        <v>464</v>
      </c>
    </row>
    <row r="334" spans="1:5" ht="393.75" x14ac:dyDescent="0.4">
      <c r="A334" s="1" t="s">
        <v>3</v>
      </c>
      <c r="B334" s="1" t="s">
        <v>714</v>
      </c>
      <c r="C334" s="1" t="s">
        <v>105</v>
      </c>
      <c r="D334" s="1" t="s">
        <v>150</v>
      </c>
      <c r="E334" s="3" t="s">
        <v>648</v>
      </c>
    </row>
    <row r="335" spans="1:5" ht="318.75" x14ac:dyDescent="0.4">
      <c r="A335" s="1" t="s">
        <v>3</v>
      </c>
      <c r="B335" s="1" t="s">
        <v>714</v>
      </c>
      <c r="C335" s="1" t="s">
        <v>221</v>
      </c>
      <c r="D335" s="1" t="s">
        <v>696</v>
      </c>
      <c r="E335" s="3" t="s">
        <v>719</v>
      </c>
    </row>
    <row r="336" spans="1:5" ht="318.75" x14ac:dyDescent="0.4">
      <c r="A336" s="1" t="s">
        <v>3</v>
      </c>
      <c r="B336" s="1" t="s">
        <v>714</v>
      </c>
      <c r="C336" s="1" t="s">
        <v>222</v>
      </c>
      <c r="D336" s="1" t="s">
        <v>245</v>
      </c>
      <c r="E336" s="3" t="s">
        <v>572</v>
      </c>
    </row>
    <row r="337" spans="1:5" ht="262.5" x14ac:dyDescent="0.4">
      <c r="A337" s="1" t="s">
        <v>3</v>
      </c>
      <c r="B337" s="1" t="s">
        <v>714</v>
      </c>
      <c r="C337" s="1" t="s">
        <v>107</v>
      </c>
      <c r="D337" s="1" t="s">
        <v>697</v>
      </c>
      <c r="E337" s="3" t="s">
        <v>516</v>
      </c>
    </row>
    <row r="338" spans="1:5" ht="318.75" x14ac:dyDescent="0.4">
      <c r="A338" s="1" t="s">
        <v>3</v>
      </c>
      <c r="B338" s="1" t="s">
        <v>714</v>
      </c>
      <c r="C338" s="1" t="s">
        <v>223</v>
      </c>
      <c r="D338" s="1" t="s">
        <v>248</v>
      </c>
      <c r="E338" s="3" t="s">
        <v>720</v>
      </c>
    </row>
    <row r="339" spans="1:5" ht="262.5" x14ac:dyDescent="0.4">
      <c r="A339" s="1" t="s">
        <v>3</v>
      </c>
      <c r="B339" s="1" t="s">
        <v>714</v>
      </c>
      <c r="C339" s="1" t="s">
        <v>225</v>
      </c>
      <c r="D339" s="1" t="s">
        <v>698</v>
      </c>
      <c r="E339" s="3" t="s">
        <v>654</v>
      </c>
    </row>
    <row r="340" spans="1:5" ht="262.5" x14ac:dyDescent="0.4">
      <c r="A340" s="1" t="s">
        <v>3</v>
      </c>
      <c r="B340" s="1" t="s">
        <v>714</v>
      </c>
      <c r="C340" s="1" t="s">
        <v>492</v>
      </c>
      <c r="D340" s="1" t="s">
        <v>699</v>
      </c>
      <c r="E340" s="3" t="s">
        <v>499</v>
      </c>
    </row>
    <row r="341" spans="1:5" ht="337.5" x14ac:dyDescent="0.4">
      <c r="A341" s="1" t="s">
        <v>3</v>
      </c>
      <c r="B341" s="1" t="s">
        <v>714</v>
      </c>
      <c r="C341" s="1" t="s">
        <v>228</v>
      </c>
      <c r="D341" s="1" t="s">
        <v>700</v>
      </c>
      <c r="E341" s="3" t="s">
        <v>721</v>
      </c>
    </row>
    <row r="342" spans="1:5" ht="262.5" x14ac:dyDescent="0.4">
      <c r="A342" s="1" t="s">
        <v>3</v>
      </c>
      <c r="B342" s="1" t="s">
        <v>714</v>
      </c>
      <c r="C342" s="1" t="s">
        <v>229</v>
      </c>
      <c r="D342" s="1" t="s">
        <v>259</v>
      </c>
      <c r="E342" s="3" t="s">
        <v>660</v>
      </c>
    </row>
    <row r="343" spans="1:5" ht="300" x14ac:dyDescent="0.4">
      <c r="A343" s="1" t="s">
        <v>3</v>
      </c>
      <c r="B343" s="1" t="s">
        <v>714</v>
      </c>
      <c r="C343" s="1" t="s">
        <v>230</v>
      </c>
      <c r="D343" s="1" t="s">
        <v>701</v>
      </c>
      <c r="E343" s="3" t="s">
        <v>722</v>
      </c>
    </row>
    <row r="344" spans="1:5" ht="262.5" x14ac:dyDescent="0.4">
      <c r="A344" s="1" t="s">
        <v>3</v>
      </c>
      <c r="B344" s="1" t="s">
        <v>714</v>
      </c>
      <c r="C344" s="1" t="s">
        <v>231</v>
      </c>
      <c r="D344" s="1" t="s">
        <v>702</v>
      </c>
      <c r="E344" s="3" t="s">
        <v>663</v>
      </c>
    </row>
    <row r="345" spans="1:5" ht="318.75" x14ac:dyDescent="0.4">
      <c r="A345" s="1" t="s">
        <v>3</v>
      </c>
      <c r="B345" s="1" t="s">
        <v>714</v>
      </c>
      <c r="C345" s="1" t="s">
        <v>232</v>
      </c>
      <c r="D345" s="1" t="s">
        <v>703</v>
      </c>
      <c r="E345" s="3" t="s">
        <v>723</v>
      </c>
    </row>
    <row r="346" spans="1:5" ht="262.5" x14ac:dyDescent="0.4">
      <c r="A346" s="1" t="s">
        <v>3</v>
      </c>
      <c r="B346" s="1" t="s">
        <v>714</v>
      </c>
      <c r="C346" s="1" t="s">
        <v>233</v>
      </c>
      <c r="D346" s="1" t="s">
        <v>278</v>
      </c>
      <c r="E346" s="3" t="s">
        <v>665</v>
      </c>
    </row>
    <row r="347" spans="1:5" ht="300" x14ac:dyDescent="0.4">
      <c r="A347" s="1" t="s">
        <v>3</v>
      </c>
      <c r="B347" s="1" t="s">
        <v>714</v>
      </c>
      <c r="C347" s="1" t="s">
        <v>230</v>
      </c>
      <c r="D347" s="1" t="s">
        <v>282</v>
      </c>
      <c r="E347" s="3" t="s">
        <v>722</v>
      </c>
    </row>
    <row r="348" spans="1:5" ht="318.75" x14ac:dyDescent="0.4">
      <c r="A348" s="1" t="s">
        <v>3</v>
      </c>
      <c r="B348" s="1" t="s">
        <v>714</v>
      </c>
      <c r="C348" s="1" t="s">
        <v>234</v>
      </c>
      <c r="D348" s="1" t="s">
        <v>704</v>
      </c>
      <c r="E348" s="3" t="s">
        <v>572</v>
      </c>
    </row>
    <row r="349" spans="1:5" ht="409.5" x14ac:dyDescent="0.4">
      <c r="A349" s="1" t="s">
        <v>3</v>
      </c>
      <c r="B349" s="1" t="s">
        <v>714</v>
      </c>
      <c r="C349" s="1" t="s">
        <v>235</v>
      </c>
      <c r="D349" s="1" t="s">
        <v>705</v>
      </c>
      <c r="E349" s="3" t="s">
        <v>724</v>
      </c>
    </row>
    <row r="350" spans="1:5" ht="356.25" x14ac:dyDescent="0.4">
      <c r="A350" s="1" t="s">
        <v>3</v>
      </c>
      <c r="B350" s="1" t="s">
        <v>714</v>
      </c>
      <c r="C350" s="1" t="s">
        <v>237</v>
      </c>
      <c r="D350" s="1" t="s">
        <v>306</v>
      </c>
      <c r="E350" s="3" t="s">
        <v>725</v>
      </c>
    </row>
    <row r="351" spans="1:5" ht="409.5" x14ac:dyDescent="0.4">
      <c r="A351" s="1" t="s">
        <v>3</v>
      </c>
      <c r="B351" s="1" t="s">
        <v>714</v>
      </c>
      <c r="C351" s="1" t="s">
        <v>239</v>
      </c>
      <c r="D351" s="1" t="s">
        <v>627</v>
      </c>
      <c r="E351" s="3" t="s">
        <v>726</v>
      </c>
    </row>
    <row r="352" spans="1:5" ht="409.5" x14ac:dyDescent="0.4">
      <c r="A352" s="1" t="s">
        <v>3</v>
      </c>
      <c r="B352" s="1" t="s">
        <v>714</v>
      </c>
      <c r="C352" s="1" t="s">
        <v>529</v>
      </c>
      <c r="D352" s="1" t="s">
        <v>706</v>
      </c>
      <c r="E352" s="3" t="s">
        <v>727</v>
      </c>
    </row>
    <row r="353" spans="1:5" ht="243.75" x14ac:dyDescent="0.4">
      <c r="A353" s="1" t="s">
        <v>3</v>
      </c>
      <c r="B353" s="1" t="s">
        <v>714</v>
      </c>
      <c r="C353" s="1" t="s">
        <v>236</v>
      </c>
      <c r="D353" s="1" t="s">
        <v>318</v>
      </c>
      <c r="E353" s="3" t="s">
        <v>671</v>
      </c>
    </row>
    <row r="354" spans="1:5" ht="409.5" x14ac:dyDescent="0.4">
      <c r="A354" s="1" t="s">
        <v>3</v>
      </c>
      <c r="B354" s="1" t="s">
        <v>714</v>
      </c>
      <c r="C354" s="1" t="s">
        <v>354</v>
      </c>
      <c r="D354" s="1" t="s">
        <v>707</v>
      </c>
      <c r="E354" s="3" t="s">
        <v>396</v>
      </c>
    </row>
    <row r="355" spans="1:5" ht="318.75" x14ac:dyDescent="0.4">
      <c r="A355" s="1" t="s">
        <v>3</v>
      </c>
      <c r="B355" s="1" t="s">
        <v>714</v>
      </c>
      <c r="C355" s="1" t="s">
        <v>355</v>
      </c>
      <c r="D355" s="1" t="s">
        <v>708</v>
      </c>
      <c r="E355" s="3" t="s">
        <v>572</v>
      </c>
    </row>
    <row r="356" spans="1:5" ht="318.75" x14ac:dyDescent="0.4">
      <c r="A356" s="1" t="s">
        <v>3</v>
      </c>
      <c r="B356" s="1" t="s">
        <v>714</v>
      </c>
      <c r="C356" s="1" t="s">
        <v>356</v>
      </c>
      <c r="D356" s="1" t="s">
        <v>709</v>
      </c>
      <c r="E356" s="3" t="s">
        <v>675</v>
      </c>
    </row>
    <row r="357" spans="1:5" ht="318.75" x14ac:dyDescent="0.4">
      <c r="A357" s="1" t="s">
        <v>3</v>
      </c>
      <c r="B357" s="1" t="s">
        <v>714</v>
      </c>
      <c r="C357" s="1" t="s">
        <v>412</v>
      </c>
      <c r="D357" s="1" t="s">
        <v>710</v>
      </c>
      <c r="E357" s="3" t="s">
        <v>676</v>
      </c>
    </row>
    <row r="358" spans="1:5" ht="356.25" x14ac:dyDescent="0.4">
      <c r="A358" s="1" t="s">
        <v>3</v>
      </c>
      <c r="B358" s="1" t="s">
        <v>714</v>
      </c>
      <c r="C358" s="1" t="s">
        <v>413</v>
      </c>
      <c r="D358" s="1" t="s">
        <v>712</v>
      </c>
      <c r="E358" s="3" t="s">
        <v>728</v>
      </c>
    </row>
    <row r="359" spans="1:5" ht="337.5" x14ac:dyDescent="0.4">
      <c r="A359" s="1" t="s">
        <v>3</v>
      </c>
      <c r="B359" s="1" t="s">
        <v>714</v>
      </c>
      <c r="C359" s="1" t="s">
        <v>414</v>
      </c>
      <c r="D359" s="1" t="s">
        <v>713</v>
      </c>
      <c r="E359" s="3" t="s">
        <v>678</v>
      </c>
    </row>
    <row r="360" spans="1:5" x14ac:dyDescent="0.4">
      <c r="A360" s="1" t="s">
        <v>3</v>
      </c>
      <c r="B360" s="1" t="s">
        <v>714</v>
      </c>
      <c r="C360" s="1" t="s">
        <v>9</v>
      </c>
      <c r="D360" s="1" t="s">
        <v>594</v>
      </c>
      <c r="E360" s="1" t="s">
        <v>204</v>
      </c>
    </row>
    <row r="361" spans="1:5" x14ac:dyDescent="0.4">
      <c r="A361" s="1" t="s">
        <v>3</v>
      </c>
      <c r="B361" s="1" t="s">
        <v>714</v>
      </c>
      <c r="C361" s="1" t="s">
        <v>98</v>
      </c>
      <c r="D361" s="1" t="s">
        <v>595</v>
      </c>
      <c r="E361" s="1" t="s">
        <v>204</v>
      </c>
    </row>
    <row r="362" spans="1:5" x14ac:dyDescent="0.4">
      <c r="A362" s="1" t="s">
        <v>3</v>
      </c>
      <c r="B362" s="1" t="s">
        <v>714</v>
      </c>
      <c r="C362" s="1" t="s">
        <v>99</v>
      </c>
      <c r="D362" s="1" t="s">
        <v>125</v>
      </c>
      <c r="E362" s="1" t="s">
        <v>204</v>
      </c>
    </row>
    <row r="363" spans="1:5" x14ac:dyDescent="0.4">
      <c r="A363" s="1" t="s">
        <v>3</v>
      </c>
      <c r="B363" s="1" t="s">
        <v>714</v>
      </c>
      <c r="C363" s="1" t="s">
        <v>101</v>
      </c>
      <c r="D363" s="1" t="s">
        <v>596</v>
      </c>
      <c r="E363" s="1" t="s">
        <v>204</v>
      </c>
    </row>
    <row r="364" spans="1:5" x14ac:dyDescent="0.4">
      <c r="A364" s="1" t="s">
        <v>3</v>
      </c>
      <c r="B364" s="1" t="s">
        <v>714</v>
      </c>
      <c r="C364" s="1" t="s">
        <v>102</v>
      </c>
      <c r="D364" s="1" t="s">
        <v>597</v>
      </c>
      <c r="E364" s="1" t="s">
        <v>204</v>
      </c>
    </row>
    <row r="365" spans="1:5" x14ac:dyDescent="0.4">
      <c r="A365" s="1" t="s">
        <v>3</v>
      </c>
      <c r="B365" s="1" t="s">
        <v>714</v>
      </c>
      <c r="C365" s="1" t="s">
        <v>103</v>
      </c>
      <c r="D365" s="1" t="s">
        <v>598</v>
      </c>
      <c r="E365" s="1" t="s">
        <v>204</v>
      </c>
    </row>
    <row r="366" spans="1:5" x14ac:dyDescent="0.4">
      <c r="A366" s="1" t="s">
        <v>3</v>
      </c>
      <c r="B366" s="1" t="s">
        <v>714</v>
      </c>
      <c r="C366" s="1" t="s">
        <v>456</v>
      </c>
      <c r="D366" s="1" t="s">
        <v>599</v>
      </c>
      <c r="E366" s="1" t="s">
        <v>204</v>
      </c>
    </row>
    <row r="367" spans="1:5" x14ac:dyDescent="0.4">
      <c r="A367" s="1" t="s">
        <v>3</v>
      </c>
      <c r="B367" s="1" t="s">
        <v>714</v>
      </c>
      <c r="C367" s="1" t="s">
        <v>105</v>
      </c>
      <c r="D367" s="1" t="s">
        <v>600</v>
      </c>
      <c r="E367" s="1" t="s">
        <v>204</v>
      </c>
    </row>
    <row r="368" spans="1:5" x14ac:dyDescent="0.4">
      <c r="A368" s="1" t="s">
        <v>3</v>
      </c>
      <c r="B368" s="1" t="s">
        <v>714</v>
      </c>
      <c r="C368" s="1" t="s">
        <v>221</v>
      </c>
      <c r="D368" s="1" t="s">
        <v>602</v>
      </c>
      <c r="E368" s="1" t="s">
        <v>204</v>
      </c>
    </row>
    <row r="369" spans="1:5" x14ac:dyDescent="0.4">
      <c r="A369" s="1" t="s">
        <v>3</v>
      </c>
      <c r="B369" s="1" t="s">
        <v>714</v>
      </c>
      <c r="C369" s="1" t="s">
        <v>222</v>
      </c>
      <c r="D369" s="1" t="s">
        <v>603</v>
      </c>
      <c r="E369" s="1" t="s">
        <v>204</v>
      </c>
    </row>
    <row r="370" spans="1:5" x14ac:dyDescent="0.4">
      <c r="A370" s="1" t="s">
        <v>3</v>
      </c>
      <c r="B370" s="1" t="s">
        <v>714</v>
      </c>
      <c r="C370" s="1" t="s">
        <v>107</v>
      </c>
      <c r="D370" s="1" t="s">
        <v>604</v>
      </c>
      <c r="E370" s="1" t="s">
        <v>204</v>
      </c>
    </row>
    <row r="371" spans="1:5" x14ac:dyDescent="0.4">
      <c r="A371" s="1" t="s">
        <v>3</v>
      </c>
      <c r="B371" s="1" t="s">
        <v>714</v>
      </c>
      <c r="C371" s="1" t="s">
        <v>223</v>
      </c>
      <c r="D371" s="1" t="s">
        <v>606</v>
      </c>
      <c r="E371" s="1" t="s">
        <v>204</v>
      </c>
    </row>
    <row r="372" spans="1:5" x14ac:dyDescent="0.4">
      <c r="A372" s="1" t="s">
        <v>3</v>
      </c>
      <c r="B372" s="1" t="s">
        <v>714</v>
      </c>
      <c r="C372" s="1" t="s">
        <v>225</v>
      </c>
      <c r="D372" s="1" t="s">
        <v>609</v>
      </c>
      <c r="E372" s="1" t="s">
        <v>204</v>
      </c>
    </row>
    <row r="373" spans="1:5" x14ac:dyDescent="0.4">
      <c r="A373" s="1" t="s">
        <v>3</v>
      </c>
      <c r="B373" s="1" t="s">
        <v>714</v>
      </c>
      <c r="C373" s="1" t="s">
        <v>492</v>
      </c>
      <c r="D373" s="1" t="s">
        <v>611</v>
      </c>
      <c r="E373" s="1" t="s">
        <v>204</v>
      </c>
    </row>
    <row r="374" spans="1:5" x14ac:dyDescent="0.4">
      <c r="A374" s="1" t="s">
        <v>3</v>
      </c>
      <c r="B374" s="1" t="s">
        <v>714</v>
      </c>
      <c r="C374" s="1" t="s">
        <v>228</v>
      </c>
      <c r="D374" s="1" t="s">
        <v>613</v>
      </c>
      <c r="E374" s="1" t="s">
        <v>204</v>
      </c>
    </row>
    <row r="375" spans="1:5" x14ac:dyDescent="0.4">
      <c r="A375" s="1" t="s">
        <v>3</v>
      </c>
      <c r="B375" s="1" t="s">
        <v>714</v>
      </c>
      <c r="C375" s="1" t="s">
        <v>229</v>
      </c>
      <c r="D375" s="1" t="s">
        <v>615</v>
      </c>
      <c r="E375" s="1" t="s">
        <v>204</v>
      </c>
    </row>
    <row r="376" spans="1:5" x14ac:dyDescent="0.4">
      <c r="A376" s="1" t="s">
        <v>3</v>
      </c>
      <c r="B376" s="1" t="s">
        <v>714</v>
      </c>
      <c r="C376" s="1" t="s">
        <v>230</v>
      </c>
      <c r="D376" s="1" t="s">
        <v>616</v>
      </c>
      <c r="E376" s="1" t="s">
        <v>204</v>
      </c>
    </row>
    <row r="377" spans="1:5" x14ac:dyDescent="0.4">
      <c r="A377" s="1" t="s">
        <v>3</v>
      </c>
      <c r="B377" s="1" t="s">
        <v>714</v>
      </c>
      <c r="C377" s="1" t="s">
        <v>231</v>
      </c>
      <c r="D377" s="1" t="s">
        <v>617</v>
      </c>
      <c r="E377" s="1" t="s">
        <v>204</v>
      </c>
    </row>
    <row r="378" spans="1:5" x14ac:dyDescent="0.4">
      <c r="A378" s="1" t="s">
        <v>3</v>
      </c>
      <c r="B378" s="1" t="s">
        <v>714</v>
      </c>
      <c r="C378" s="1" t="s">
        <v>232</v>
      </c>
      <c r="D378" s="1" t="s">
        <v>618</v>
      </c>
      <c r="E378" s="1" t="s">
        <v>204</v>
      </c>
    </row>
    <row r="379" spans="1:5" x14ac:dyDescent="0.4">
      <c r="A379" s="1" t="s">
        <v>3</v>
      </c>
      <c r="B379" s="1" t="s">
        <v>714</v>
      </c>
      <c r="C379" s="1" t="s">
        <v>233</v>
      </c>
      <c r="D379" s="1" t="s">
        <v>619</v>
      </c>
      <c r="E379" s="1" t="s">
        <v>204</v>
      </c>
    </row>
    <row r="380" spans="1:5" x14ac:dyDescent="0.4">
      <c r="A380" s="1" t="s">
        <v>3</v>
      </c>
      <c r="B380" s="1" t="s">
        <v>714</v>
      </c>
      <c r="C380" s="1" t="s">
        <v>230</v>
      </c>
      <c r="D380" s="1" t="s">
        <v>620</v>
      </c>
      <c r="E380" s="1" t="s">
        <v>204</v>
      </c>
    </row>
    <row r="381" spans="1:5" x14ac:dyDescent="0.4">
      <c r="A381" s="1" t="s">
        <v>3</v>
      </c>
      <c r="B381" s="1" t="s">
        <v>714</v>
      </c>
      <c r="C381" s="1" t="s">
        <v>234</v>
      </c>
      <c r="D381" s="1" t="s">
        <v>622</v>
      </c>
      <c r="E381" s="1" t="s">
        <v>204</v>
      </c>
    </row>
    <row r="382" spans="1:5" x14ac:dyDescent="0.4">
      <c r="A382" s="1" t="s">
        <v>3</v>
      </c>
      <c r="B382" s="1" t="s">
        <v>714</v>
      </c>
      <c r="C382" s="1" t="s">
        <v>235</v>
      </c>
      <c r="D382" s="1" t="s">
        <v>623</v>
      </c>
      <c r="E382" s="1" t="s">
        <v>204</v>
      </c>
    </row>
    <row r="383" spans="1:5" x14ac:dyDescent="0.4">
      <c r="A383" s="1" t="s">
        <v>3</v>
      </c>
      <c r="B383" s="1" t="s">
        <v>714</v>
      </c>
      <c r="C383" s="1" t="s">
        <v>237</v>
      </c>
      <c r="D383" s="1" t="s">
        <v>624</v>
      </c>
      <c r="E383" s="1" t="s">
        <v>204</v>
      </c>
    </row>
    <row r="384" spans="1:5" x14ac:dyDescent="0.4">
      <c r="A384" s="1" t="s">
        <v>3</v>
      </c>
      <c r="B384" s="1" t="s">
        <v>714</v>
      </c>
      <c r="C384" s="1" t="s">
        <v>239</v>
      </c>
      <c r="D384" s="1" t="s">
        <v>625</v>
      </c>
      <c r="E384" s="1" t="s">
        <v>204</v>
      </c>
    </row>
    <row r="385" spans="1:5" x14ac:dyDescent="0.4">
      <c r="A385" s="1" t="s">
        <v>3</v>
      </c>
      <c r="B385" s="1" t="s">
        <v>714</v>
      </c>
      <c r="C385" s="1" t="s">
        <v>236</v>
      </c>
      <c r="D385" s="1" t="s">
        <v>628</v>
      </c>
      <c r="E385" s="1" t="s">
        <v>204</v>
      </c>
    </row>
    <row r="386" spans="1:5" x14ac:dyDescent="0.4">
      <c r="A386" s="1" t="s">
        <v>3</v>
      </c>
      <c r="B386" s="1" t="s">
        <v>714</v>
      </c>
      <c r="C386" s="1" t="s">
        <v>354</v>
      </c>
      <c r="D386" s="1" t="s">
        <v>632</v>
      </c>
      <c r="E386" s="1" t="s">
        <v>204</v>
      </c>
    </row>
    <row r="387" spans="1:5" x14ac:dyDescent="0.4">
      <c r="A387" s="1" t="s">
        <v>3</v>
      </c>
      <c r="B387" s="1" t="s">
        <v>714</v>
      </c>
      <c r="C387" s="1" t="s">
        <v>355</v>
      </c>
      <c r="D387" s="1" t="s">
        <v>636</v>
      </c>
      <c r="E387" s="1" t="s">
        <v>204</v>
      </c>
    </row>
    <row r="388" spans="1:5" x14ac:dyDescent="0.4">
      <c r="A388" s="1" t="s">
        <v>3</v>
      </c>
      <c r="B388" s="1" t="s">
        <v>714</v>
      </c>
      <c r="C388" s="1" t="s">
        <v>356</v>
      </c>
      <c r="D388" s="1" t="s">
        <v>637</v>
      </c>
      <c r="E388" s="1" t="s">
        <v>204</v>
      </c>
    </row>
    <row r="389" spans="1:5" x14ac:dyDescent="0.4">
      <c r="A389" s="1" t="s">
        <v>3</v>
      </c>
      <c r="B389" s="1" t="s">
        <v>714</v>
      </c>
      <c r="C389" s="1" t="s">
        <v>412</v>
      </c>
      <c r="D389" s="1" t="s">
        <v>638</v>
      </c>
      <c r="E389" s="1" t="s">
        <v>204</v>
      </c>
    </row>
    <row r="390" spans="1:5" x14ac:dyDescent="0.4">
      <c r="A390" s="1" t="s">
        <v>3</v>
      </c>
      <c r="B390" s="1" t="s">
        <v>714</v>
      </c>
      <c r="C390" s="1" t="s">
        <v>413</v>
      </c>
      <c r="D390" s="1" t="s">
        <v>639</v>
      </c>
      <c r="E390" s="1" t="s">
        <v>204</v>
      </c>
    </row>
    <row r="391" spans="1:5" x14ac:dyDescent="0.4">
      <c r="A391" s="1" t="s">
        <v>3</v>
      </c>
      <c r="B391" s="1" t="s">
        <v>714</v>
      </c>
      <c r="C391" s="1" t="s">
        <v>414</v>
      </c>
      <c r="D391" s="1" t="s">
        <v>640</v>
      </c>
      <c r="E391" s="1" t="s">
        <v>204</v>
      </c>
    </row>
    <row r="392" spans="1:5" ht="281.25" x14ac:dyDescent="0.4">
      <c r="A392" s="1" t="s">
        <v>3</v>
      </c>
      <c r="B392" s="1" t="s">
        <v>714</v>
      </c>
      <c r="C392" s="1" t="s">
        <v>729</v>
      </c>
      <c r="D392" s="1" t="s">
        <v>93</v>
      </c>
      <c r="E392" s="3" t="s">
        <v>686</v>
      </c>
    </row>
    <row r="393" spans="1:5" ht="56.25" x14ac:dyDescent="0.4">
      <c r="A393" s="1" t="s">
        <v>3</v>
      </c>
      <c r="B393" s="1" t="s">
        <v>714</v>
      </c>
      <c r="C393" s="1" t="s">
        <v>439</v>
      </c>
      <c r="D393" s="1" t="s">
        <v>93</v>
      </c>
      <c r="E393" s="3" t="s">
        <v>94</v>
      </c>
    </row>
    <row r="394" spans="1:5" x14ac:dyDescent="0.4">
      <c r="A394" s="1" t="s">
        <v>3</v>
      </c>
      <c r="B394" s="1" t="s">
        <v>714</v>
      </c>
      <c r="C394" s="1" t="s">
        <v>679</v>
      </c>
      <c r="D394" s="1" t="s">
        <v>93</v>
      </c>
      <c r="E394" s="1" t="s">
        <v>204</v>
      </c>
    </row>
    <row r="395" spans="1:5" x14ac:dyDescent="0.4">
      <c r="A395" s="1" t="s">
        <v>3</v>
      </c>
      <c r="B395" s="1" t="s">
        <v>714</v>
      </c>
      <c r="C395" s="1" t="s">
        <v>681</v>
      </c>
      <c r="D395" s="1" t="s">
        <v>93</v>
      </c>
      <c r="E395" s="1" t="s">
        <v>204</v>
      </c>
    </row>
    <row r="396" spans="1:5" ht="409.5" x14ac:dyDescent="0.4">
      <c r="A396" s="1" t="s">
        <v>3</v>
      </c>
      <c r="B396" s="1" t="s">
        <v>738</v>
      </c>
      <c r="C396" s="1" t="s">
        <v>101</v>
      </c>
      <c r="D396" s="1" t="s">
        <v>692</v>
      </c>
      <c r="E396" s="3" t="s">
        <v>688</v>
      </c>
    </row>
    <row r="397" spans="1:5" ht="409.5" x14ac:dyDescent="0.4">
      <c r="A397" s="1" t="s">
        <v>3</v>
      </c>
      <c r="B397" s="1" t="s">
        <v>738</v>
      </c>
      <c r="C397" s="1" t="s">
        <v>103</v>
      </c>
      <c r="D397" s="1" t="s">
        <v>694</v>
      </c>
      <c r="E397" s="3" t="s">
        <v>739</v>
      </c>
    </row>
    <row r="398" spans="1:5" ht="262.5" x14ac:dyDescent="0.4">
      <c r="A398" s="1" t="s">
        <v>3</v>
      </c>
      <c r="B398" s="1" t="s">
        <v>738</v>
      </c>
      <c r="C398" s="1" t="s">
        <v>225</v>
      </c>
      <c r="D398" s="1" t="s">
        <v>730</v>
      </c>
      <c r="E398" s="3" t="s">
        <v>654</v>
      </c>
    </row>
    <row r="399" spans="1:5" ht="262.5" x14ac:dyDescent="0.4">
      <c r="A399" s="1" t="s">
        <v>3</v>
      </c>
      <c r="B399" s="1" t="s">
        <v>738</v>
      </c>
      <c r="C399" s="1" t="s">
        <v>492</v>
      </c>
      <c r="D399" s="1" t="s">
        <v>731</v>
      </c>
      <c r="E399" s="3" t="s">
        <v>499</v>
      </c>
    </row>
    <row r="400" spans="1:5" ht="262.5" x14ac:dyDescent="0.4">
      <c r="A400" s="1" t="s">
        <v>3</v>
      </c>
      <c r="B400" s="1" t="s">
        <v>738</v>
      </c>
      <c r="C400" s="1" t="s">
        <v>229</v>
      </c>
      <c r="D400" s="1" t="s">
        <v>732</v>
      </c>
      <c r="E400" s="3" t="s">
        <v>660</v>
      </c>
    </row>
    <row r="401" spans="1:5" ht="300" x14ac:dyDescent="0.4">
      <c r="A401" s="1" t="s">
        <v>3</v>
      </c>
      <c r="B401" s="1" t="s">
        <v>738</v>
      </c>
      <c r="C401" s="1" t="s">
        <v>230</v>
      </c>
      <c r="D401" s="1" t="s">
        <v>733</v>
      </c>
      <c r="E401" s="3" t="s">
        <v>740</v>
      </c>
    </row>
    <row r="402" spans="1:5" ht="262.5" x14ac:dyDescent="0.4">
      <c r="A402" s="1" t="s">
        <v>3</v>
      </c>
      <c r="B402" s="1" t="s">
        <v>738</v>
      </c>
      <c r="C402" s="1" t="s">
        <v>231</v>
      </c>
      <c r="D402" s="1" t="s">
        <v>734</v>
      </c>
      <c r="E402" s="3" t="s">
        <v>663</v>
      </c>
    </row>
    <row r="403" spans="1:5" ht="318.75" x14ac:dyDescent="0.4">
      <c r="A403" s="1" t="s">
        <v>3</v>
      </c>
      <c r="B403" s="1" t="s">
        <v>738</v>
      </c>
      <c r="C403" s="1" t="s">
        <v>232</v>
      </c>
      <c r="D403" s="1" t="s">
        <v>735</v>
      </c>
      <c r="E403" s="3" t="s">
        <v>741</v>
      </c>
    </row>
    <row r="404" spans="1:5" ht="262.5" x14ac:dyDescent="0.4">
      <c r="A404" s="1" t="s">
        <v>3</v>
      </c>
      <c r="B404" s="1" t="s">
        <v>738</v>
      </c>
      <c r="C404" s="1" t="s">
        <v>233</v>
      </c>
      <c r="D404" s="1" t="s">
        <v>736</v>
      </c>
      <c r="E404" s="3" t="s">
        <v>665</v>
      </c>
    </row>
    <row r="405" spans="1:5" ht="300" x14ac:dyDescent="0.4">
      <c r="A405" s="1" t="s">
        <v>3</v>
      </c>
      <c r="B405" s="1" t="s">
        <v>738</v>
      </c>
      <c r="C405" s="1" t="s">
        <v>230</v>
      </c>
      <c r="D405" s="1" t="s">
        <v>737</v>
      </c>
      <c r="E405" s="3" t="s">
        <v>740</v>
      </c>
    </row>
    <row r="406" spans="1:5" ht="409.5" x14ac:dyDescent="0.4">
      <c r="A406" s="1" t="s">
        <v>3</v>
      </c>
      <c r="B406" s="1" t="s">
        <v>738</v>
      </c>
      <c r="C406" s="1" t="s">
        <v>235</v>
      </c>
      <c r="D406" s="1" t="s">
        <v>705</v>
      </c>
      <c r="E406" s="3" t="s">
        <v>689</v>
      </c>
    </row>
    <row r="407" spans="1:5" ht="131.25" x14ac:dyDescent="0.4">
      <c r="A407" s="1" t="s">
        <v>3</v>
      </c>
      <c r="B407" s="1" t="s">
        <v>738</v>
      </c>
      <c r="C407" s="1" t="s">
        <v>239</v>
      </c>
      <c r="D407" s="1" t="s">
        <v>627</v>
      </c>
      <c r="E407" s="3" t="s">
        <v>742</v>
      </c>
    </row>
    <row r="408" spans="1:5" ht="409.5" x14ac:dyDescent="0.4">
      <c r="A408" s="1" t="s">
        <v>3</v>
      </c>
      <c r="B408" s="1" t="s">
        <v>738</v>
      </c>
      <c r="C408" s="1" t="s">
        <v>529</v>
      </c>
      <c r="D408" s="1" t="s">
        <v>706</v>
      </c>
      <c r="E408" s="3" t="s">
        <v>743</v>
      </c>
    </row>
    <row r="409" spans="1:5" ht="75" x14ac:dyDescent="0.4">
      <c r="A409" s="1" t="s">
        <v>3</v>
      </c>
      <c r="B409" s="1" t="s">
        <v>738</v>
      </c>
      <c r="C409" s="1" t="s">
        <v>412</v>
      </c>
      <c r="D409" s="1" t="s">
        <v>710</v>
      </c>
      <c r="E409" s="3" t="s">
        <v>744</v>
      </c>
    </row>
    <row r="410" spans="1:5" ht="75" x14ac:dyDescent="0.4">
      <c r="A410" s="1" t="s">
        <v>3</v>
      </c>
      <c r="B410" s="1" t="s">
        <v>738</v>
      </c>
      <c r="C410" s="1" t="s">
        <v>413</v>
      </c>
      <c r="D410" s="1" t="s">
        <v>712</v>
      </c>
      <c r="E410" s="3" t="s">
        <v>745</v>
      </c>
    </row>
    <row r="411" spans="1:5" x14ac:dyDescent="0.4">
      <c r="A411" s="1" t="s">
        <v>3</v>
      </c>
      <c r="B411" s="1" t="s">
        <v>738</v>
      </c>
      <c r="C411" s="1" t="s">
        <v>225</v>
      </c>
      <c r="D411" s="1" t="s">
        <v>698</v>
      </c>
      <c r="E411" s="1" t="s">
        <v>204</v>
      </c>
    </row>
    <row r="412" spans="1:5" x14ac:dyDescent="0.4">
      <c r="A412" s="1" t="s">
        <v>3</v>
      </c>
      <c r="B412" s="1" t="s">
        <v>738</v>
      </c>
      <c r="C412" s="1" t="s">
        <v>492</v>
      </c>
      <c r="D412" s="1" t="s">
        <v>699</v>
      </c>
      <c r="E412" s="1" t="s">
        <v>204</v>
      </c>
    </row>
    <row r="413" spans="1:5" x14ac:dyDescent="0.4">
      <c r="A413" s="1" t="s">
        <v>3</v>
      </c>
      <c r="B413" s="1" t="s">
        <v>738</v>
      </c>
      <c r="C413" s="1" t="s">
        <v>229</v>
      </c>
      <c r="D413" s="1" t="s">
        <v>259</v>
      </c>
      <c r="E413" s="1" t="s">
        <v>204</v>
      </c>
    </row>
    <row r="414" spans="1:5" x14ac:dyDescent="0.4">
      <c r="A414" s="1" t="s">
        <v>3</v>
      </c>
      <c r="B414" s="1" t="s">
        <v>738</v>
      </c>
      <c r="C414" s="1" t="s">
        <v>230</v>
      </c>
      <c r="D414" s="1" t="s">
        <v>701</v>
      </c>
      <c r="E414" s="1" t="s">
        <v>204</v>
      </c>
    </row>
    <row r="415" spans="1:5" x14ac:dyDescent="0.4">
      <c r="A415" s="1" t="s">
        <v>3</v>
      </c>
      <c r="B415" s="1" t="s">
        <v>738</v>
      </c>
      <c r="C415" s="1" t="s">
        <v>231</v>
      </c>
      <c r="D415" s="1" t="s">
        <v>702</v>
      </c>
      <c r="E415" s="1" t="s">
        <v>204</v>
      </c>
    </row>
    <row r="416" spans="1:5" x14ac:dyDescent="0.4">
      <c r="A416" s="1" t="s">
        <v>3</v>
      </c>
      <c r="B416" s="1" t="s">
        <v>738</v>
      </c>
      <c r="C416" s="1" t="s">
        <v>232</v>
      </c>
      <c r="D416" s="1" t="s">
        <v>703</v>
      </c>
      <c r="E416" s="1" t="s">
        <v>204</v>
      </c>
    </row>
    <row r="417" spans="1:5" x14ac:dyDescent="0.4">
      <c r="A417" s="1" t="s">
        <v>3</v>
      </c>
      <c r="B417" s="1" t="s">
        <v>738</v>
      </c>
      <c r="C417" s="1" t="s">
        <v>233</v>
      </c>
      <c r="D417" s="1" t="s">
        <v>278</v>
      </c>
      <c r="E417" s="1" t="s">
        <v>204</v>
      </c>
    </row>
    <row r="418" spans="1:5" x14ac:dyDescent="0.4">
      <c r="A418" s="1" t="s">
        <v>3</v>
      </c>
      <c r="B418" s="1" t="s">
        <v>738</v>
      </c>
      <c r="C418" s="1" t="s">
        <v>230</v>
      </c>
      <c r="D418" s="1" t="s">
        <v>282</v>
      </c>
      <c r="E418" s="1" t="s">
        <v>204</v>
      </c>
    </row>
    <row r="419" spans="1:5" ht="337.5" x14ac:dyDescent="0.4">
      <c r="A419" s="1" t="s">
        <v>3</v>
      </c>
      <c r="B419" s="1" t="s">
        <v>772</v>
      </c>
      <c r="C419" s="1" t="s">
        <v>98</v>
      </c>
      <c r="D419" s="1" t="s">
        <v>747</v>
      </c>
      <c r="E419" s="3" t="s">
        <v>773</v>
      </c>
    </row>
    <row r="420" spans="1:5" ht="409.5" x14ac:dyDescent="0.4">
      <c r="A420" s="1" t="s">
        <v>3</v>
      </c>
      <c r="B420" s="1" t="s">
        <v>772</v>
      </c>
      <c r="C420" s="1" t="s">
        <v>101</v>
      </c>
      <c r="D420" s="1" t="s">
        <v>129</v>
      </c>
      <c r="E420" s="3" t="s">
        <v>774</v>
      </c>
    </row>
    <row r="421" spans="1:5" ht="356.25" x14ac:dyDescent="0.4">
      <c r="A421" s="1" t="s">
        <v>3</v>
      </c>
      <c r="B421" s="1" t="s">
        <v>772</v>
      </c>
      <c r="C421" s="1" t="s">
        <v>102</v>
      </c>
      <c r="D421" s="1" t="s">
        <v>749</v>
      </c>
      <c r="E421" s="3" t="s">
        <v>775</v>
      </c>
    </row>
    <row r="422" spans="1:5" ht="409.5" x14ac:dyDescent="0.4">
      <c r="A422" s="1" t="s">
        <v>3</v>
      </c>
      <c r="B422" s="1" t="s">
        <v>772</v>
      </c>
      <c r="C422" s="1" t="s">
        <v>103</v>
      </c>
      <c r="D422" s="1" t="s">
        <v>750</v>
      </c>
      <c r="E422" s="3" t="s">
        <v>776</v>
      </c>
    </row>
    <row r="423" spans="1:5" ht="243.75" x14ac:dyDescent="0.4">
      <c r="A423" s="1" t="s">
        <v>3</v>
      </c>
      <c r="B423" s="1" t="s">
        <v>772</v>
      </c>
      <c r="C423" s="1" t="s">
        <v>456</v>
      </c>
      <c r="D423" s="1" t="s">
        <v>461</v>
      </c>
      <c r="E423" s="3" t="s">
        <v>464</v>
      </c>
    </row>
    <row r="424" spans="1:5" ht="393.75" x14ac:dyDescent="0.4">
      <c r="A424" s="1" t="s">
        <v>3</v>
      </c>
      <c r="B424" s="1" t="s">
        <v>772</v>
      </c>
      <c r="C424" s="1" t="s">
        <v>105</v>
      </c>
      <c r="D424" s="1" t="s">
        <v>752</v>
      </c>
      <c r="E424" s="3" t="s">
        <v>777</v>
      </c>
    </row>
    <row r="425" spans="1:5" ht="318.75" x14ac:dyDescent="0.4">
      <c r="A425" s="1" t="s">
        <v>3</v>
      </c>
      <c r="B425" s="1" t="s">
        <v>772</v>
      </c>
      <c r="C425" s="1" t="s">
        <v>221</v>
      </c>
      <c r="D425" s="1" t="s">
        <v>754</v>
      </c>
      <c r="E425" s="3" t="s">
        <v>778</v>
      </c>
    </row>
    <row r="426" spans="1:5" ht="318.75" x14ac:dyDescent="0.4">
      <c r="A426" s="1" t="s">
        <v>3</v>
      </c>
      <c r="B426" s="1" t="s">
        <v>772</v>
      </c>
      <c r="C426" s="1" t="s">
        <v>222</v>
      </c>
      <c r="D426" s="1" t="s">
        <v>755</v>
      </c>
      <c r="E426" s="3" t="s">
        <v>572</v>
      </c>
    </row>
    <row r="427" spans="1:5" ht="262.5" x14ac:dyDescent="0.4">
      <c r="A427" s="1" t="s">
        <v>3</v>
      </c>
      <c r="B427" s="1" t="s">
        <v>772</v>
      </c>
      <c r="C427" s="1" t="s">
        <v>107</v>
      </c>
      <c r="D427" s="1" t="s">
        <v>756</v>
      </c>
      <c r="E427" s="3" t="s">
        <v>516</v>
      </c>
    </row>
    <row r="428" spans="1:5" ht="318.75" x14ac:dyDescent="0.4">
      <c r="A428" s="1" t="s">
        <v>3</v>
      </c>
      <c r="B428" s="1" t="s">
        <v>772</v>
      </c>
      <c r="C428" s="1" t="s">
        <v>223</v>
      </c>
      <c r="D428" s="1" t="s">
        <v>757</v>
      </c>
      <c r="E428" s="3" t="s">
        <v>779</v>
      </c>
    </row>
    <row r="429" spans="1:5" ht="337.5" x14ac:dyDescent="0.4">
      <c r="A429" s="1" t="s">
        <v>3</v>
      </c>
      <c r="B429" s="1" t="s">
        <v>772</v>
      </c>
      <c r="C429" s="1" t="s">
        <v>228</v>
      </c>
      <c r="D429" s="1" t="s">
        <v>758</v>
      </c>
      <c r="E429" s="3" t="s">
        <v>780</v>
      </c>
    </row>
    <row r="430" spans="1:5" ht="300" x14ac:dyDescent="0.4">
      <c r="A430" s="1" t="s">
        <v>3</v>
      </c>
      <c r="B430" s="1" t="s">
        <v>772</v>
      </c>
      <c r="C430" s="1" t="s">
        <v>230</v>
      </c>
      <c r="D430" s="1" t="s">
        <v>759</v>
      </c>
      <c r="E430" s="3" t="s">
        <v>781</v>
      </c>
    </row>
    <row r="431" spans="1:5" ht="318.75" x14ac:dyDescent="0.4">
      <c r="A431" s="1" t="s">
        <v>3</v>
      </c>
      <c r="B431" s="1" t="s">
        <v>772</v>
      </c>
      <c r="C431" s="1" t="s">
        <v>232</v>
      </c>
      <c r="D431" s="1" t="s">
        <v>760</v>
      </c>
      <c r="E431" s="3" t="s">
        <v>782</v>
      </c>
    </row>
    <row r="432" spans="1:5" ht="300" x14ac:dyDescent="0.4">
      <c r="A432" s="1" t="s">
        <v>3</v>
      </c>
      <c r="B432" s="1" t="s">
        <v>772</v>
      </c>
      <c r="C432" s="1" t="s">
        <v>230</v>
      </c>
      <c r="D432" s="1" t="s">
        <v>761</v>
      </c>
      <c r="E432" s="3" t="s">
        <v>781</v>
      </c>
    </row>
    <row r="433" spans="1:5" ht="318.75" x14ac:dyDescent="0.4">
      <c r="A433" s="1" t="s">
        <v>3</v>
      </c>
      <c r="B433" s="1" t="s">
        <v>772</v>
      </c>
      <c r="C433" s="1" t="s">
        <v>234</v>
      </c>
      <c r="D433" s="1" t="s">
        <v>762</v>
      </c>
      <c r="E433" s="3" t="s">
        <v>572</v>
      </c>
    </row>
    <row r="434" spans="1:5" ht="409.5" x14ac:dyDescent="0.4">
      <c r="A434" s="1" t="s">
        <v>3</v>
      </c>
      <c r="B434" s="1" t="s">
        <v>772</v>
      </c>
      <c r="C434" s="1" t="s">
        <v>235</v>
      </c>
      <c r="D434" s="1" t="s">
        <v>763</v>
      </c>
      <c r="E434" s="3" t="s">
        <v>783</v>
      </c>
    </row>
    <row r="435" spans="1:5" ht="356.25" x14ac:dyDescent="0.4">
      <c r="A435" s="1" t="s">
        <v>3</v>
      </c>
      <c r="B435" s="1" t="s">
        <v>772</v>
      </c>
      <c r="C435" s="1" t="s">
        <v>237</v>
      </c>
      <c r="D435" s="1" t="s">
        <v>764</v>
      </c>
      <c r="E435" s="3" t="s">
        <v>784</v>
      </c>
    </row>
    <row r="436" spans="1:5" ht="409.5" x14ac:dyDescent="0.4">
      <c r="A436" s="1" t="s">
        <v>3</v>
      </c>
      <c r="B436" s="1" t="s">
        <v>772</v>
      </c>
      <c r="C436" s="1" t="s">
        <v>239</v>
      </c>
      <c r="D436" s="1" t="s">
        <v>766</v>
      </c>
      <c r="E436" s="3" t="s">
        <v>785</v>
      </c>
    </row>
    <row r="437" spans="1:5" ht="409.5" x14ac:dyDescent="0.4">
      <c r="A437" s="1" t="s">
        <v>3</v>
      </c>
      <c r="B437" s="1" t="s">
        <v>772</v>
      </c>
      <c r="C437" s="1" t="s">
        <v>529</v>
      </c>
      <c r="D437" s="1" t="s">
        <v>625</v>
      </c>
      <c r="E437" s="3" t="s">
        <v>786</v>
      </c>
    </row>
    <row r="438" spans="1:5" ht="243.75" x14ac:dyDescent="0.4">
      <c r="A438" s="1" t="s">
        <v>3</v>
      </c>
      <c r="B438" s="1" t="s">
        <v>772</v>
      </c>
      <c r="C438" s="1" t="s">
        <v>236</v>
      </c>
      <c r="D438" s="1" t="s">
        <v>768</v>
      </c>
      <c r="E438" s="3" t="s">
        <v>671</v>
      </c>
    </row>
    <row r="439" spans="1:5" ht="318.75" x14ac:dyDescent="0.4">
      <c r="A439" s="1" t="s">
        <v>3</v>
      </c>
      <c r="B439" s="1" t="s">
        <v>772</v>
      </c>
      <c r="C439" s="1" t="s">
        <v>355</v>
      </c>
      <c r="D439" s="1" t="s">
        <v>769</v>
      </c>
      <c r="E439" s="3" t="s">
        <v>572</v>
      </c>
    </row>
    <row r="440" spans="1:5" ht="318.75" x14ac:dyDescent="0.4">
      <c r="A440" s="1" t="s">
        <v>3</v>
      </c>
      <c r="B440" s="1" t="s">
        <v>772</v>
      </c>
      <c r="C440" s="1" t="s">
        <v>356</v>
      </c>
      <c r="D440" s="1" t="s">
        <v>770</v>
      </c>
      <c r="E440" s="3" t="s">
        <v>787</v>
      </c>
    </row>
    <row r="441" spans="1:5" ht="75" x14ac:dyDescent="0.4">
      <c r="A441" s="1" t="s">
        <v>3</v>
      </c>
      <c r="B441" s="1" t="s">
        <v>772</v>
      </c>
      <c r="C441" s="1" t="s">
        <v>412</v>
      </c>
      <c r="D441" s="1" t="s">
        <v>710</v>
      </c>
      <c r="E441" s="3" t="s">
        <v>788</v>
      </c>
    </row>
    <row r="442" spans="1:5" ht="75" x14ac:dyDescent="0.4">
      <c r="A442" s="1" t="s">
        <v>3</v>
      </c>
      <c r="B442" s="1" t="s">
        <v>772</v>
      </c>
      <c r="C442" s="1" t="s">
        <v>413</v>
      </c>
      <c r="D442" s="1" t="s">
        <v>712</v>
      </c>
      <c r="E442" s="3" t="s">
        <v>788</v>
      </c>
    </row>
    <row r="443" spans="1:5" ht="337.5" x14ac:dyDescent="0.4">
      <c r="A443" s="1" t="s">
        <v>3</v>
      </c>
      <c r="B443" s="1" t="s">
        <v>772</v>
      </c>
      <c r="C443" s="1" t="s">
        <v>414</v>
      </c>
      <c r="D443" s="1" t="s">
        <v>771</v>
      </c>
      <c r="E443" s="3" t="s">
        <v>789</v>
      </c>
    </row>
    <row r="444" spans="1:5" x14ac:dyDescent="0.4">
      <c r="A444" s="1" t="s">
        <v>3</v>
      </c>
      <c r="B444" s="1" t="s">
        <v>772</v>
      </c>
      <c r="C444" s="1" t="s">
        <v>98</v>
      </c>
      <c r="D444" s="1" t="s">
        <v>690</v>
      </c>
      <c r="E444" s="1" t="s">
        <v>204</v>
      </c>
    </row>
    <row r="445" spans="1:5" x14ac:dyDescent="0.4">
      <c r="A445" s="1" t="s">
        <v>3</v>
      </c>
      <c r="B445" s="1" t="s">
        <v>772</v>
      </c>
      <c r="C445" s="1" t="s">
        <v>101</v>
      </c>
      <c r="D445" s="1" t="s">
        <v>692</v>
      </c>
      <c r="E445" s="1" t="s">
        <v>204</v>
      </c>
    </row>
    <row r="446" spans="1:5" x14ac:dyDescent="0.4">
      <c r="A446" s="1" t="s">
        <v>3</v>
      </c>
      <c r="B446" s="1" t="s">
        <v>772</v>
      </c>
      <c r="C446" s="1" t="s">
        <v>102</v>
      </c>
      <c r="D446" s="1" t="s">
        <v>693</v>
      </c>
      <c r="E446" s="1" t="s">
        <v>204</v>
      </c>
    </row>
    <row r="447" spans="1:5" x14ac:dyDescent="0.4">
      <c r="A447" s="1" t="s">
        <v>3</v>
      </c>
      <c r="B447" s="1" t="s">
        <v>772</v>
      </c>
      <c r="C447" s="1" t="s">
        <v>103</v>
      </c>
      <c r="D447" s="1" t="s">
        <v>694</v>
      </c>
      <c r="E447" s="1" t="s">
        <v>204</v>
      </c>
    </row>
    <row r="448" spans="1:5" x14ac:dyDescent="0.4">
      <c r="A448" s="1" t="s">
        <v>3</v>
      </c>
      <c r="B448" s="1" t="s">
        <v>772</v>
      </c>
      <c r="C448" s="1" t="s">
        <v>456</v>
      </c>
      <c r="D448" s="1" t="s">
        <v>695</v>
      </c>
      <c r="E448" s="1" t="s">
        <v>204</v>
      </c>
    </row>
    <row r="449" spans="1:5" x14ac:dyDescent="0.4">
      <c r="A449" s="1" t="s">
        <v>3</v>
      </c>
      <c r="B449" s="1" t="s">
        <v>772</v>
      </c>
      <c r="C449" s="1" t="s">
        <v>105</v>
      </c>
      <c r="D449" s="1" t="s">
        <v>150</v>
      </c>
      <c r="E449" s="1" t="s">
        <v>204</v>
      </c>
    </row>
    <row r="450" spans="1:5" x14ac:dyDescent="0.4">
      <c r="A450" s="1" t="s">
        <v>3</v>
      </c>
      <c r="B450" s="1" t="s">
        <v>772</v>
      </c>
      <c r="C450" s="1" t="s">
        <v>221</v>
      </c>
      <c r="D450" s="1" t="s">
        <v>696</v>
      </c>
      <c r="E450" s="1" t="s">
        <v>204</v>
      </c>
    </row>
    <row r="451" spans="1:5" x14ac:dyDescent="0.4">
      <c r="A451" s="1" t="s">
        <v>3</v>
      </c>
      <c r="B451" s="1" t="s">
        <v>772</v>
      </c>
      <c r="C451" s="1" t="s">
        <v>222</v>
      </c>
      <c r="D451" s="1" t="s">
        <v>245</v>
      </c>
      <c r="E451" s="1" t="s">
        <v>204</v>
      </c>
    </row>
    <row r="452" spans="1:5" x14ac:dyDescent="0.4">
      <c r="A452" s="1" t="s">
        <v>3</v>
      </c>
      <c r="B452" s="1" t="s">
        <v>772</v>
      </c>
      <c r="C452" s="1" t="s">
        <v>107</v>
      </c>
      <c r="D452" s="1" t="s">
        <v>697</v>
      </c>
      <c r="E452" s="1" t="s">
        <v>204</v>
      </c>
    </row>
    <row r="453" spans="1:5" x14ac:dyDescent="0.4">
      <c r="A453" s="1" t="s">
        <v>3</v>
      </c>
      <c r="B453" s="1" t="s">
        <v>772</v>
      </c>
      <c r="C453" s="1" t="s">
        <v>223</v>
      </c>
      <c r="D453" s="1" t="s">
        <v>248</v>
      </c>
      <c r="E453" s="1" t="s">
        <v>204</v>
      </c>
    </row>
    <row r="454" spans="1:5" x14ac:dyDescent="0.4">
      <c r="A454" s="1" t="s">
        <v>3</v>
      </c>
      <c r="B454" s="1" t="s">
        <v>772</v>
      </c>
      <c r="C454" s="1" t="s">
        <v>228</v>
      </c>
      <c r="D454" s="1" t="s">
        <v>700</v>
      </c>
      <c r="E454" s="1" t="s">
        <v>204</v>
      </c>
    </row>
    <row r="455" spans="1:5" x14ac:dyDescent="0.4">
      <c r="A455" s="1" t="s">
        <v>3</v>
      </c>
      <c r="B455" s="1" t="s">
        <v>772</v>
      </c>
      <c r="C455" s="1" t="s">
        <v>230</v>
      </c>
      <c r="D455" s="1" t="s">
        <v>733</v>
      </c>
      <c r="E455" s="1" t="s">
        <v>204</v>
      </c>
    </row>
    <row r="456" spans="1:5" x14ac:dyDescent="0.4">
      <c r="A456" s="1" t="s">
        <v>3</v>
      </c>
      <c r="B456" s="1" t="s">
        <v>772</v>
      </c>
      <c r="C456" s="1" t="s">
        <v>232</v>
      </c>
      <c r="D456" s="1" t="s">
        <v>735</v>
      </c>
      <c r="E456" s="1" t="s">
        <v>204</v>
      </c>
    </row>
    <row r="457" spans="1:5" x14ac:dyDescent="0.4">
      <c r="A457" s="1" t="s">
        <v>3</v>
      </c>
      <c r="B457" s="1" t="s">
        <v>772</v>
      </c>
      <c r="C457" s="1" t="s">
        <v>230</v>
      </c>
      <c r="D457" s="1" t="s">
        <v>737</v>
      </c>
      <c r="E457" s="1" t="s">
        <v>204</v>
      </c>
    </row>
    <row r="458" spans="1:5" x14ac:dyDescent="0.4">
      <c r="A458" s="1" t="s">
        <v>3</v>
      </c>
      <c r="B458" s="1" t="s">
        <v>772</v>
      </c>
      <c r="C458" s="1" t="s">
        <v>234</v>
      </c>
      <c r="D458" s="1" t="s">
        <v>704</v>
      </c>
      <c r="E458" s="1" t="s">
        <v>204</v>
      </c>
    </row>
    <row r="459" spans="1:5" x14ac:dyDescent="0.4">
      <c r="A459" s="1" t="s">
        <v>3</v>
      </c>
      <c r="B459" s="1" t="s">
        <v>772</v>
      </c>
      <c r="C459" s="1" t="s">
        <v>235</v>
      </c>
      <c r="D459" s="1" t="s">
        <v>705</v>
      </c>
      <c r="E459" s="1" t="s">
        <v>204</v>
      </c>
    </row>
    <row r="460" spans="1:5" x14ac:dyDescent="0.4">
      <c r="A460" s="1" t="s">
        <v>3</v>
      </c>
      <c r="B460" s="1" t="s">
        <v>772</v>
      </c>
      <c r="C460" s="1" t="s">
        <v>237</v>
      </c>
      <c r="D460" s="1" t="s">
        <v>306</v>
      </c>
      <c r="E460" s="1" t="s">
        <v>204</v>
      </c>
    </row>
    <row r="461" spans="1:5" x14ac:dyDescent="0.4">
      <c r="A461" s="1" t="s">
        <v>3</v>
      </c>
      <c r="B461" s="1" t="s">
        <v>772</v>
      </c>
      <c r="C461" s="1" t="s">
        <v>239</v>
      </c>
      <c r="D461" s="1" t="s">
        <v>627</v>
      </c>
      <c r="E461" s="1" t="s">
        <v>204</v>
      </c>
    </row>
    <row r="462" spans="1:5" x14ac:dyDescent="0.4">
      <c r="A462" s="1" t="s">
        <v>3</v>
      </c>
      <c r="B462" s="1" t="s">
        <v>772</v>
      </c>
      <c r="C462" s="1" t="s">
        <v>529</v>
      </c>
      <c r="D462" s="1" t="s">
        <v>706</v>
      </c>
      <c r="E462" s="1" t="s">
        <v>204</v>
      </c>
    </row>
    <row r="463" spans="1:5" x14ac:dyDescent="0.4">
      <c r="A463" s="1" t="s">
        <v>3</v>
      </c>
      <c r="B463" s="1" t="s">
        <v>772</v>
      </c>
      <c r="C463" s="1" t="s">
        <v>236</v>
      </c>
      <c r="D463" s="1" t="s">
        <v>318</v>
      </c>
      <c r="E463" s="1" t="s">
        <v>204</v>
      </c>
    </row>
    <row r="464" spans="1:5" x14ac:dyDescent="0.4">
      <c r="A464" s="1" t="s">
        <v>3</v>
      </c>
      <c r="B464" s="1" t="s">
        <v>772</v>
      </c>
      <c r="C464" s="1" t="s">
        <v>355</v>
      </c>
      <c r="D464" s="1" t="s">
        <v>708</v>
      </c>
      <c r="E464" s="1" t="s">
        <v>204</v>
      </c>
    </row>
    <row r="465" spans="1:5" x14ac:dyDescent="0.4">
      <c r="A465" s="1" t="s">
        <v>3</v>
      </c>
      <c r="B465" s="1" t="s">
        <v>772</v>
      </c>
      <c r="C465" s="1" t="s">
        <v>356</v>
      </c>
      <c r="D465" s="1" t="s">
        <v>709</v>
      </c>
      <c r="E465" s="1" t="s">
        <v>204</v>
      </c>
    </row>
    <row r="466" spans="1:5" x14ac:dyDescent="0.4">
      <c r="A466" s="1" t="s">
        <v>3</v>
      </c>
      <c r="B466" s="1" t="s">
        <v>772</v>
      </c>
      <c r="C466" s="1" t="s">
        <v>414</v>
      </c>
      <c r="D466" s="1" t="s">
        <v>713</v>
      </c>
      <c r="E466" s="1" t="s">
        <v>204</v>
      </c>
    </row>
    <row r="467" spans="1:5" ht="409.5" x14ac:dyDescent="0.4">
      <c r="A467" s="1" t="s">
        <v>3</v>
      </c>
      <c r="B467" s="1" t="s">
        <v>791</v>
      </c>
      <c r="C467" s="1" t="s">
        <v>9</v>
      </c>
      <c r="D467" s="1" t="s">
        <v>790</v>
      </c>
      <c r="E467" s="3" t="s">
        <v>792</v>
      </c>
    </row>
    <row r="468" spans="1:5" ht="337.5" x14ac:dyDescent="0.4">
      <c r="A468" s="1" t="s">
        <v>3</v>
      </c>
      <c r="B468" s="1" t="s">
        <v>791</v>
      </c>
      <c r="C468" s="1" t="s">
        <v>98</v>
      </c>
      <c r="D468" s="1" t="s">
        <v>747</v>
      </c>
      <c r="E468" s="3" t="s">
        <v>773</v>
      </c>
    </row>
    <row r="469" spans="1:5" ht="356.25" x14ac:dyDescent="0.4">
      <c r="A469" s="1" t="s">
        <v>3</v>
      </c>
      <c r="B469" s="1" t="s">
        <v>791</v>
      </c>
      <c r="C469" s="1" t="s">
        <v>99</v>
      </c>
      <c r="D469" s="1" t="s">
        <v>691</v>
      </c>
      <c r="E469" s="3" t="s">
        <v>716</v>
      </c>
    </row>
    <row r="470" spans="1:5" ht="409.5" x14ac:dyDescent="0.4">
      <c r="A470" s="1" t="s">
        <v>3</v>
      </c>
      <c r="B470" s="1" t="s">
        <v>791</v>
      </c>
      <c r="C470" s="1" t="s">
        <v>101</v>
      </c>
      <c r="D470" s="1" t="s">
        <v>129</v>
      </c>
      <c r="E470" s="3" t="s">
        <v>774</v>
      </c>
    </row>
    <row r="471" spans="1:5" ht="337.5" x14ac:dyDescent="0.4">
      <c r="A471" s="1" t="s">
        <v>3</v>
      </c>
      <c r="B471" s="1" t="s">
        <v>791</v>
      </c>
      <c r="C471" s="1" t="s">
        <v>100</v>
      </c>
      <c r="D471" s="1" t="s">
        <v>568</v>
      </c>
      <c r="E471" s="3" t="s">
        <v>571</v>
      </c>
    </row>
    <row r="472" spans="1:5" ht="356.25" x14ac:dyDescent="0.4">
      <c r="A472" s="1" t="s">
        <v>3</v>
      </c>
      <c r="B472" s="1" t="s">
        <v>791</v>
      </c>
      <c r="C472" s="1" t="s">
        <v>102</v>
      </c>
      <c r="D472" s="1" t="s">
        <v>749</v>
      </c>
      <c r="E472" s="3" t="s">
        <v>775</v>
      </c>
    </row>
    <row r="473" spans="1:5" ht="318.75" x14ac:dyDescent="0.4">
      <c r="A473" s="1" t="s">
        <v>3</v>
      </c>
      <c r="B473" s="1" t="s">
        <v>791</v>
      </c>
      <c r="C473" s="1" t="s">
        <v>104</v>
      </c>
      <c r="D473" s="1" t="s">
        <v>569</v>
      </c>
      <c r="E473" s="3" t="s">
        <v>572</v>
      </c>
    </row>
    <row r="474" spans="1:5" ht="409.5" x14ac:dyDescent="0.4">
      <c r="A474" s="1" t="s">
        <v>3</v>
      </c>
      <c r="B474" s="1" t="s">
        <v>791</v>
      </c>
      <c r="C474" s="1" t="s">
        <v>103</v>
      </c>
      <c r="D474" s="1" t="s">
        <v>750</v>
      </c>
      <c r="E474" s="3" t="s">
        <v>776</v>
      </c>
    </row>
    <row r="475" spans="1:5" ht="243.75" x14ac:dyDescent="0.4">
      <c r="A475" s="1" t="s">
        <v>3</v>
      </c>
      <c r="B475" s="1" t="s">
        <v>791</v>
      </c>
      <c r="C475" s="1" t="s">
        <v>456</v>
      </c>
      <c r="D475" s="1" t="s">
        <v>461</v>
      </c>
      <c r="E475" s="3" t="s">
        <v>464</v>
      </c>
    </row>
    <row r="476" spans="1:5" ht="393.75" x14ac:dyDescent="0.4">
      <c r="A476" s="1" t="s">
        <v>3</v>
      </c>
      <c r="B476" s="1" t="s">
        <v>791</v>
      </c>
      <c r="C476" s="1" t="s">
        <v>105</v>
      </c>
      <c r="D476" s="1" t="s">
        <v>752</v>
      </c>
      <c r="E476" s="3" t="s">
        <v>777</v>
      </c>
    </row>
    <row r="477" spans="1:5" ht="318.75" x14ac:dyDescent="0.4">
      <c r="A477" s="1" t="s">
        <v>3</v>
      </c>
      <c r="B477" s="1" t="s">
        <v>791</v>
      </c>
      <c r="C477" s="1" t="s">
        <v>106</v>
      </c>
      <c r="D477" s="1" t="s">
        <v>601</v>
      </c>
      <c r="E477" s="3" t="s">
        <v>649</v>
      </c>
    </row>
    <row r="478" spans="1:5" ht="318.75" x14ac:dyDescent="0.4">
      <c r="A478" s="1" t="s">
        <v>3</v>
      </c>
      <c r="B478" s="1" t="s">
        <v>791</v>
      </c>
      <c r="C478" s="1" t="s">
        <v>221</v>
      </c>
      <c r="D478" s="1" t="s">
        <v>754</v>
      </c>
      <c r="E478" s="3" t="s">
        <v>778</v>
      </c>
    </row>
    <row r="479" spans="1:5" ht="318.75" x14ac:dyDescent="0.4">
      <c r="A479" s="1" t="s">
        <v>3</v>
      </c>
      <c r="B479" s="1" t="s">
        <v>791</v>
      </c>
      <c r="C479" s="1" t="s">
        <v>222</v>
      </c>
      <c r="D479" s="1" t="s">
        <v>755</v>
      </c>
      <c r="E479" s="3" t="s">
        <v>572</v>
      </c>
    </row>
    <row r="480" spans="1:5" ht="262.5" x14ac:dyDescent="0.4">
      <c r="A480" s="1" t="s">
        <v>3</v>
      </c>
      <c r="B480" s="1" t="s">
        <v>791</v>
      </c>
      <c r="C480" s="1" t="s">
        <v>107</v>
      </c>
      <c r="D480" s="1" t="s">
        <v>756</v>
      </c>
      <c r="E480" s="3" t="s">
        <v>516</v>
      </c>
    </row>
    <row r="481" spans="1:5" ht="243.75" x14ac:dyDescent="0.4">
      <c r="A481" s="1" t="s">
        <v>3</v>
      </c>
      <c r="B481" s="1" t="s">
        <v>791</v>
      </c>
      <c r="C481" s="1" t="s">
        <v>108</v>
      </c>
      <c r="D481" s="1" t="s">
        <v>605</v>
      </c>
      <c r="E481" s="3" t="s">
        <v>543</v>
      </c>
    </row>
    <row r="482" spans="1:5" ht="318.75" x14ac:dyDescent="0.4">
      <c r="A482" s="1" t="s">
        <v>3</v>
      </c>
      <c r="B482" s="1" t="s">
        <v>791</v>
      </c>
      <c r="C482" s="1" t="s">
        <v>223</v>
      </c>
      <c r="D482" s="1" t="s">
        <v>757</v>
      </c>
      <c r="E482" s="3" t="s">
        <v>779</v>
      </c>
    </row>
    <row r="483" spans="1:5" ht="337.5" x14ac:dyDescent="0.4">
      <c r="A483" s="1" t="s">
        <v>3</v>
      </c>
      <c r="B483" s="1" t="s">
        <v>791</v>
      </c>
      <c r="C483" s="1" t="s">
        <v>109</v>
      </c>
      <c r="D483" s="1" t="s">
        <v>607</v>
      </c>
      <c r="E483" s="3" t="s">
        <v>652</v>
      </c>
    </row>
    <row r="484" spans="1:5" ht="318.75" x14ac:dyDescent="0.4">
      <c r="A484" s="1" t="s">
        <v>3</v>
      </c>
      <c r="B484" s="1" t="s">
        <v>791</v>
      </c>
      <c r="C484" s="1" t="s">
        <v>110</v>
      </c>
      <c r="D484" s="1" t="s">
        <v>608</v>
      </c>
      <c r="E484" s="3" t="s">
        <v>653</v>
      </c>
    </row>
    <row r="485" spans="1:5" ht="262.5" x14ac:dyDescent="0.4">
      <c r="A485" s="1" t="s">
        <v>3</v>
      </c>
      <c r="B485" s="1" t="s">
        <v>791</v>
      </c>
      <c r="C485" s="1" t="s">
        <v>225</v>
      </c>
      <c r="D485" s="1" t="s">
        <v>730</v>
      </c>
      <c r="E485" s="3" t="s">
        <v>654</v>
      </c>
    </row>
    <row r="486" spans="1:5" ht="318.75" x14ac:dyDescent="0.4">
      <c r="A486" s="1" t="s">
        <v>3</v>
      </c>
      <c r="B486" s="1" t="s">
        <v>791</v>
      </c>
      <c r="C486" s="1" t="s">
        <v>111</v>
      </c>
      <c r="D486" s="1" t="s">
        <v>610</v>
      </c>
      <c r="E486" s="3" t="s">
        <v>655</v>
      </c>
    </row>
    <row r="487" spans="1:5" ht="262.5" x14ac:dyDescent="0.4">
      <c r="A487" s="1" t="s">
        <v>3</v>
      </c>
      <c r="B487" s="1" t="s">
        <v>791</v>
      </c>
      <c r="C487" s="1" t="s">
        <v>492</v>
      </c>
      <c r="D487" s="1" t="s">
        <v>731</v>
      </c>
      <c r="E487" s="3" t="s">
        <v>499</v>
      </c>
    </row>
    <row r="488" spans="1:5" ht="393.75" x14ac:dyDescent="0.4">
      <c r="A488" s="1" t="s">
        <v>3</v>
      </c>
      <c r="B488" s="1" t="s">
        <v>791</v>
      </c>
      <c r="C488" s="1" t="s">
        <v>112</v>
      </c>
      <c r="D488" s="1" t="s">
        <v>612</v>
      </c>
      <c r="E488" s="3" t="s">
        <v>656</v>
      </c>
    </row>
    <row r="489" spans="1:5" ht="337.5" x14ac:dyDescent="0.4">
      <c r="A489" s="1" t="s">
        <v>3</v>
      </c>
      <c r="B489" s="1" t="s">
        <v>791</v>
      </c>
      <c r="C489" s="1" t="s">
        <v>228</v>
      </c>
      <c r="D489" s="1" t="s">
        <v>758</v>
      </c>
      <c r="E489" s="3" t="s">
        <v>780</v>
      </c>
    </row>
    <row r="490" spans="1:5" ht="409.5" x14ac:dyDescent="0.4">
      <c r="A490" s="1" t="s">
        <v>3</v>
      </c>
      <c r="B490" s="1" t="s">
        <v>791</v>
      </c>
      <c r="C490" s="1" t="s">
        <v>211</v>
      </c>
      <c r="D490" s="1" t="s">
        <v>586</v>
      </c>
      <c r="E490" s="3" t="s">
        <v>793</v>
      </c>
    </row>
    <row r="491" spans="1:5" ht="409.5" x14ac:dyDescent="0.4">
      <c r="A491" s="1" t="s">
        <v>3</v>
      </c>
      <c r="B491" s="1" t="s">
        <v>791</v>
      </c>
      <c r="C491" s="1" t="s">
        <v>212</v>
      </c>
      <c r="D491" s="1" t="s">
        <v>614</v>
      </c>
      <c r="E491" s="3" t="s">
        <v>659</v>
      </c>
    </row>
    <row r="492" spans="1:5" ht="262.5" x14ac:dyDescent="0.4">
      <c r="A492" s="1" t="s">
        <v>3</v>
      </c>
      <c r="B492" s="1" t="s">
        <v>791</v>
      </c>
      <c r="C492" s="1" t="s">
        <v>229</v>
      </c>
      <c r="D492" s="1" t="s">
        <v>732</v>
      </c>
      <c r="E492" s="3" t="s">
        <v>660</v>
      </c>
    </row>
    <row r="493" spans="1:5" ht="300" x14ac:dyDescent="0.4">
      <c r="A493" s="1" t="s">
        <v>3</v>
      </c>
      <c r="B493" s="1" t="s">
        <v>791</v>
      </c>
      <c r="C493" s="1" t="s">
        <v>230</v>
      </c>
      <c r="D493" s="1" t="s">
        <v>759</v>
      </c>
      <c r="E493" s="3" t="s">
        <v>781</v>
      </c>
    </row>
    <row r="494" spans="1:5" ht="393.75" x14ac:dyDescent="0.4">
      <c r="A494" s="1" t="s">
        <v>3</v>
      </c>
      <c r="B494" s="1" t="s">
        <v>791</v>
      </c>
      <c r="C494" s="1" t="s">
        <v>213</v>
      </c>
      <c r="D494" s="1" t="s">
        <v>579</v>
      </c>
      <c r="E494" s="3" t="s">
        <v>794</v>
      </c>
    </row>
    <row r="495" spans="1:5" ht="262.5" x14ac:dyDescent="0.4">
      <c r="A495" s="1" t="s">
        <v>3</v>
      </c>
      <c r="B495" s="1" t="s">
        <v>791</v>
      </c>
      <c r="C495" s="1" t="s">
        <v>231</v>
      </c>
      <c r="D495" s="1" t="s">
        <v>734</v>
      </c>
      <c r="E495" s="3" t="s">
        <v>663</v>
      </c>
    </row>
    <row r="496" spans="1:5" ht="318.75" x14ac:dyDescent="0.4">
      <c r="A496" s="1" t="s">
        <v>3</v>
      </c>
      <c r="B496" s="1" t="s">
        <v>791</v>
      </c>
      <c r="C496" s="1" t="s">
        <v>232</v>
      </c>
      <c r="D496" s="1" t="s">
        <v>760</v>
      </c>
      <c r="E496" s="3" t="s">
        <v>782</v>
      </c>
    </row>
    <row r="497" spans="1:5" ht="262.5" x14ac:dyDescent="0.4">
      <c r="A497" s="1" t="s">
        <v>3</v>
      </c>
      <c r="B497" s="1" t="s">
        <v>791</v>
      </c>
      <c r="C497" s="1" t="s">
        <v>233</v>
      </c>
      <c r="D497" s="1" t="s">
        <v>736</v>
      </c>
      <c r="E497" s="3" t="s">
        <v>665</v>
      </c>
    </row>
    <row r="498" spans="1:5" ht="300" x14ac:dyDescent="0.4">
      <c r="A498" s="1" t="s">
        <v>3</v>
      </c>
      <c r="B498" s="1" t="s">
        <v>791</v>
      </c>
      <c r="C498" s="1" t="s">
        <v>230</v>
      </c>
      <c r="D498" s="1" t="s">
        <v>761</v>
      </c>
      <c r="E498" s="3" t="s">
        <v>781</v>
      </c>
    </row>
    <row r="499" spans="1:5" ht="337.5" x14ac:dyDescent="0.4">
      <c r="A499" s="1" t="s">
        <v>3</v>
      </c>
      <c r="B499" s="1" t="s">
        <v>791</v>
      </c>
      <c r="C499" s="1" t="s">
        <v>238</v>
      </c>
      <c r="D499" s="1" t="s">
        <v>621</v>
      </c>
      <c r="E499" s="3" t="s">
        <v>666</v>
      </c>
    </row>
    <row r="500" spans="1:5" ht="318.75" x14ac:dyDescent="0.4">
      <c r="A500" s="1" t="s">
        <v>3</v>
      </c>
      <c r="B500" s="1" t="s">
        <v>791</v>
      </c>
      <c r="C500" s="1" t="s">
        <v>234</v>
      </c>
      <c r="D500" s="1" t="s">
        <v>762</v>
      </c>
      <c r="E500" s="3" t="s">
        <v>572</v>
      </c>
    </row>
    <row r="501" spans="1:5" ht="409.5" x14ac:dyDescent="0.4">
      <c r="A501" s="1" t="s">
        <v>3</v>
      </c>
      <c r="B501" s="1" t="s">
        <v>791</v>
      </c>
      <c r="C501" s="1" t="s">
        <v>235</v>
      </c>
      <c r="D501" s="1" t="s">
        <v>763</v>
      </c>
      <c r="E501" s="3" t="s">
        <v>783</v>
      </c>
    </row>
    <row r="502" spans="1:5" ht="356.25" x14ac:dyDescent="0.4">
      <c r="A502" s="1" t="s">
        <v>3</v>
      </c>
      <c r="B502" s="1" t="s">
        <v>791</v>
      </c>
      <c r="C502" s="1" t="s">
        <v>237</v>
      </c>
      <c r="D502" s="1" t="s">
        <v>764</v>
      </c>
      <c r="E502" s="3" t="s">
        <v>784</v>
      </c>
    </row>
    <row r="503" spans="1:5" ht="409.5" x14ac:dyDescent="0.4">
      <c r="A503" s="1" t="s">
        <v>3</v>
      </c>
      <c r="B503" s="1" t="s">
        <v>791</v>
      </c>
      <c r="C503" s="1" t="s">
        <v>239</v>
      </c>
      <c r="D503" s="1" t="s">
        <v>766</v>
      </c>
      <c r="E503" s="3" t="s">
        <v>785</v>
      </c>
    </row>
    <row r="504" spans="1:5" ht="409.5" x14ac:dyDescent="0.4">
      <c r="A504" s="1" t="s">
        <v>3</v>
      </c>
      <c r="B504" s="1" t="s">
        <v>791</v>
      </c>
      <c r="C504" s="1" t="s">
        <v>529</v>
      </c>
      <c r="D504" s="1" t="s">
        <v>625</v>
      </c>
      <c r="E504" s="3" t="s">
        <v>786</v>
      </c>
    </row>
    <row r="505" spans="1:5" ht="243.75" x14ac:dyDescent="0.4">
      <c r="A505" s="1" t="s">
        <v>3</v>
      </c>
      <c r="B505" s="1" t="s">
        <v>791</v>
      </c>
      <c r="C505" s="1" t="s">
        <v>236</v>
      </c>
      <c r="D505" s="1" t="s">
        <v>768</v>
      </c>
      <c r="E505" s="3" t="s">
        <v>671</v>
      </c>
    </row>
    <row r="506" spans="1:5" ht="409.5" x14ac:dyDescent="0.4">
      <c r="A506" s="1" t="s">
        <v>3</v>
      </c>
      <c r="B506" s="1" t="s">
        <v>791</v>
      </c>
      <c r="C506" s="1" t="s">
        <v>352</v>
      </c>
      <c r="D506" s="1" t="s">
        <v>631</v>
      </c>
      <c r="E506" s="3" t="s">
        <v>672</v>
      </c>
    </row>
    <row r="507" spans="1:5" ht="409.5" x14ac:dyDescent="0.4">
      <c r="A507" s="1" t="s">
        <v>3</v>
      </c>
      <c r="B507" s="1" t="s">
        <v>791</v>
      </c>
      <c r="C507" s="1" t="s">
        <v>354</v>
      </c>
      <c r="D507" s="1" t="s">
        <v>707</v>
      </c>
      <c r="E507" s="3" t="s">
        <v>396</v>
      </c>
    </row>
    <row r="508" spans="1:5" ht="409.5" x14ac:dyDescent="0.4">
      <c r="A508" s="1" t="s">
        <v>3</v>
      </c>
      <c r="B508" s="1" t="s">
        <v>791</v>
      </c>
      <c r="C508" s="1" t="s">
        <v>351</v>
      </c>
      <c r="D508" s="1" t="s">
        <v>634</v>
      </c>
      <c r="E508" s="3" t="s">
        <v>673</v>
      </c>
    </row>
    <row r="509" spans="1:5" ht="409.5" x14ac:dyDescent="0.4">
      <c r="A509" s="1" t="s">
        <v>3</v>
      </c>
      <c r="B509" s="1" t="s">
        <v>791</v>
      </c>
      <c r="C509" s="1" t="s">
        <v>353</v>
      </c>
      <c r="D509" s="1" t="s">
        <v>591</v>
      </c>
      <c r="E509" s="3" t="s">
        <v>674</v>
      </c>
    </row>
    <row r="510" spans="1:5" ht="318.75" x14ac:dyDescent="0.4">
      <c r="A510" s="1" t="s">
        <v>3</v>
      </c>
      <c r="B510" s="1" t="s">
        <v>791</v>
      </c>
      <c r="C510" s="1" t="s">
        <v>355</v>
      </c>
      <c r="D510" s="1" t="s">
        <v>769</v>
      </c>
      <c r="E510" s="3" t="s">
        <v>572</v>
      </c>
    </row>
    <row r="511" spans="1:5" ht="318.75" x14ac:dyDescent="0.4">
      <c r="A511" s="1" t="s">
        <v>3</v>
      </c>
      <c r="B511" s="1" t="s">
        <v>791</v>
      </c>
      <c r="C511" s="1" t="s">
        <v>356</v>
      </c>
      <c r="D511" s="1" t="s">
        <v>770</v>
      </c>
      <c r="E511" s="3" t="s">
        <v>787</v>
      </c>
    </row>
    <row r="512" spans="1:5" ht="281.25" x14ac:dyDescent="0.4">
      <c r="A512" s="1" t="s">
        <v>3</v>
      </c>
      <c r="B512" s="1" t="s">
        <v>791</v>
      </c>
      <c r="C512" s="1" t="s">
        <v>412</v>
      </c>
      <c r="D512" s="1" t="s">
        <v>710</v>
      </c>
      <c r="E512" s="3" t="s">
        <v>795</v>
      </c>
    </row>
    <row r="513" spans="1:5" ht="318.75" x14ac:dyDescent="0.4">
      <c r="A513" s="1" t="s">
        <v>3</v>
      </c>
      <c r="B513" s="1" t="s">
        <v>791</v>
      </c>
      <c r="C513" s="1" t="s">
        <v>413</v>
      </c>
      <c r="D513" s="1" t="s">
        <v>712</v>
      </c>
      <c r="E513" s="3" t="s">
        <v>677</v>
      </c>
    </row>
    <row r="514" spans="1:5" ht="300" x14ac:dyDescent="0.4">
      <c r="A514" s="1" t="s">
        <v>3</v>
      </c>
      <c r="B514" s="1" t="s">
        <v>791</v>
      </c>
      <c r="C514" s="1" t="s">
        <v>414</v>
      </c>
      <c r="D514" s="1" t="s">
        <v>771</v>
      </c>
      <c r="E514" s="3" t="s">
        <v>796</v>
      </c>
    </row>
    <row r="515" spans="1:5" ht="56.25" x14ac:dyDescent="0.4">
      <c r="A515" s="1" t="s">
        <v>3</v>
      </c>
      <c r="B515" s="1" t="s">
        <v>798</v>
      </c>
      <c r="C515" s="1" t="s">
        <v>797</v>
      </c>
      <c r="D515" s="1" t="s">
        <v>93</v>
      </c>
      <c r="E515" s="3" t="s">
        <v>94</v>
      </c>
    </row>
    <row r="516" spans="1:5" x14ac:dyDescent="0.4">
      <c r="A516" s="1" t="s">
        <v>3</v>
      </c>
      <c r="B516" s="1" t="s">
        <v>798</v>
      </c>
      <c r="C516" s="1" t="s">
        <v>439</v>
      </c>
      <c r="D516" s="1" t="s">
        <v>93</v>
      </c>
      <c r="E516" s="1" t="s">
        <v>204</v>
      </c>
    </row>
    <row r="517" spans="1:5" ht="409.5" x14ac:dyDescent="0.4">
      <c r="A517" s="1" t="s">
        <v>3</v>
      </c>
      <c r="B517" s="1" t="s">
        <v>799</v>
      </c>
      <c r="C517" s="1" t="s">
        <v>101</v>
      </c>
      <c r="D517" s="1" t="s">
        <v>129</v>
      </c>
      <c r="E517" s="3" t="s">
        <v>688</v>
      </c>
    </row>
    <row r="518" spans="1:5" ht="409.5" x14ac:dyDescent="0.4">
      <c r="A518" s="1" t="s">
        <v>3</v>
      </c>
      <c r="B518" s="1" t="s">
        <v>799</v>
      </c>
      <c r="C518" s="1" t="s">
        <v>103</v>
      </c>
      <c r="D518" s="1" t="s">
        <v>750</v>
      </c>
      <c r="E518" s="3" t="s">
        <v>325</v>
      </c>
    </row>
    <row r="519" spans="1:5" ht="409.5" x14ac:dyDescent="0.4">
      <c r="A519" s="1" t="s">
        <v>3</v>
      </c>
      <c r="B519" s="1" t="s">
        <v>799</v>
      </c>
      <c r="C519" s="1" t="s">
        <v>235</v>
      </c>
      <c r="D519" s="1" t="s">
        <v>763</v>
      </c>
      <c r="E519" s="3" t="s">
        <v>689</v>
      </c>
    </row>
    <row r="520" spans="1:5" ht="409.5" x14ac:dyDescent="0.4">
      <c r="A520" s="1" t="s">
        <v>3</v>
      </c>
      <c r="B520" s="1" t="s">
        <v>799</v>
      </c>
      <c r="C520" s="1" t="s">
        <v>529</v>
      </c>
      <c r="D520" s="1" t="s">
        <v>625</v>
      </c>
      <c r="E520" s="3" t="s">
        <v>546</v>
      </c>
    </row>
    <row r="521" spans="1:5" ht="75" x14ac:dyDescent="0.4">
      <c r="A521" s="1" t="s">
        <v>3</v>
      </c>
      <c r="B521" s="1" t="s">
        <v>799</v>
      </c>
      <c r="C521" s="1" t="s">
        <v>412</v>
      </c>
      <c r="D521" s="1" t="s">
        <v>710</v>
      </c>
      <c r="E521" s="3" t="s">
        <v>788</v>
      </c>
    </row>
    <row r="522" spans="1:5" ht="75" x14ac:dyDescent="0.4">
      <c r="A522" s="1" t="s">
        <v>3</v>
      </c>
      <c r="B522" s="1" t="s">
        <v>799</v>
      </c>
      <c r="C522" s="1" t="s">
        <v>413</v>
      </c>
      <c r="D522" s="1" t="s">
        <v>712</v>
      </c>
      <c r="E522" s="3" t="s">
        <v>788</v>
      </c>
    </row>
    <row r="523" spans="1:5" ht="409.5" x14ac:dyDescent="0.4">
      <c r="A523" s="1" t="s">
        <v>3</v>
      </c>
      <c r="B523" s="1" t="s">
        <v>804</v>
      </c>
      <c r="C523" s="1" t="s">
        <v>9</v>
      </c>
      <c r="D523" s="1" t="s">
        <v>800</v>
      </c>
      <c r="E523" s="3" t="s">
        <v>805</v>
      </c>
    </row>
    <row r="524" spans="1:5" ht="409.5" x14ac:dyDescent="0.4">
      <c r="A524" s="1" t="s">
        <v>3</v>
      </c>
      <c r="B524" s="1" t="s">
        <v>804</v>
      </c>
      <c r="C524" s="1" t="s">
        <v>101</v>
      </c>
      <c r="D524" s="1" t="s">
        <v>129</v>
      </c>
      <c r="E524" s="3" t="s">
        <v>806</v>
      </c>
    </row>
    <row r="525" spans="1:5" ht="409.5" x14ac:dyDescent="0.4">
      <c r="A525" s="1" t="s">
        <v>3</v>
      </c>
      <c r="B525" s="1" t="s">
        <v>804</v>
      </c>
      <c r="C525" s="1" t="s">
        <v>103</v>
      </c>
      <c r="D525" s="1" t="s">
        <v>750</v>
      </c>
      <c r="E525" s="3" t="s">
        <v>518</v>
      </c>
    </row>
    <row r="526" spans="1:5" ht="409.5" x14ac:dyDescent="0.4">
      <c r="A526" s="1" t="s">
        <v>3</v>
      </c>
      <c r="B526" s="1" t="s">
        <v>804</v>
      </c>
      <c r="C526" s="1" t="s">
        <v>235</v>
      </c>
      <c r="D526" s="1" t="s">
        <v>763</v>
      </c>
      <c r="E526" s="3" t="s">
        <v>689</v>
      </c>
    </row>
    <row r="527" spans="1:5" ht="409.5" x14ac:dyDescent="0.4">
      <c r="A527" s="1" t="s">
        <v>3</v>
      </c>
      <c r="B527" s="1" t="s">
        <v>804</v>
      </c>
      <c r="C527" s="1" t="s">
        <v>529</v>
      </c>
      <c r="D527" s="1" t="s">
        <v>625</v>
      </c>
      <c r="E527" s="3" t="s">
        <v>546</v>
      </c>
    </row>
    <row r="528" spans="1:5" ht="75" x14ac:dyDescent="0.4">
      <c r="A528" s="1" t="s">
        <v>3</v>
      </c>
      <c r="B528" s="1" t="s">
        <v>804</v>
      </c>
      <c r="C528" s="1" t="s">
        <v>412</v>
      </c>
      <c r="D528" s="1" t="s">
        <v>710</v>
      </c>
      <c r="E528" s="3" t="s">
        <v>788</v>
      </c>
    </row>
    <row r="529" spans="1:5" ht="75" x14ac:dyDescent="0.4">
      <c r="A529" s="1" t="s">
        <v>3</v>
      </c>
      <c r="B529" s="1" t="s">
        <v>804</v>
      </c>
      <c r="C529" s="1" t="s">
        <v>413</v>
      </c>
      <c r="D529" s="1" t="s">
        <v>712</v>
      </c>
      <c r="E529" s="3" t="s">
        <v>788</v>
      </c>
    </row>
    <row r="530" spans="1:5" x14ac:dyDescent="0.4">
      <c r="A530" s="1" t="s">
        <v>3</v>
      </c>
      <c r="B530" s="1" t="s">
        <v>804</v>
      </c>
      <c r="C530" s="1" t="s">
        <v>9</v>
      </c>
      <c r="D530" s="1" t="s">
        <v>790</v>
      </c>
      <c r="E530" s="1" t="s">
        <v>204</v>
      </c>
    </row>
    <row r="531" spans="1:5" ht="56.25" x14ac:dyDescent="0.4">
      <c r="A531" s="1" t="s">
        <v>3</v>
      </c>
      <c r="B531" s="1" t="s">
        <v>804</v>
      </c>
      <c r="C531" s="1" t="s">
        <v>807</v>
      </c>
      <c r="D531" s="1" t="s">
        <v>93</v>
      </c>
      <c r="E531" s="3" t="s">
        <v>94</v>
      </c>
    </row>
    <row r="532" spans="1:5" x14ac:dyDescent="0.4">
      <c r="A532" s="1" t="s">
        <v>3</v>
      </c>
      <c r="B532" s="1" t="s">
        <v>804</v>
      </c>
      <c r="C532" s="1" t="s">
        <v>797</v>
      </c>
      <c r="D532" s="1" t="s">
        <v>93</v>
      </c>
      <c r="E532" s="1" t="s">
        <v>204</v>
      </c>
    </row>
    <row r="533" spans="1:5" ht="409.5" x14ac:dyDescent="0.4">
      <c r="A533" s="1" t="s">
        <v>3</v>
      </c>
      <c r="B533" s="1" t="s">
        <v>808</v>
      </c>
      <c r="C533" s="1" t="s">
        <v>235</v>
      </c>
      <c r="D533" s="1" t="s">
        <v>763</v>
      </c>
      <c r="E533" s="3" t="s">
        <v>689</v>
      </c>
    </row>
    <row r="534" spans="1:5" ht="409.5" x14ac:dyDescent="0.4">
      <c r="A534" s="1" t="s">
        <v>3</v>
      </c>
      <c r="B534" s="1" t="s">
        <v>808</v>
      </c>
      <c r="C534" s="1" t="s">
        <v>529</v>
      </c>
      <c r="D534" s="1" t="s">
        <v>625</v>
      </c>
      <c r="E534" s="3" t="s">
        <v>546</v>
      </c>
    </row>
    <row r="535" spans="1:5" ht="75" x14ac:dyDescent="0.4">
      <c r="A535" s="1" t="s">
        <v>3</v>
      </c>
      <c r="B535" s="1" t="s">
        <v>808</v>
      </c>
      <c r="C535" s="1" t="s">
        <v>412</v>
      </c>
      <c r="D535" s="1" t="s">
        <v>710</v>
      </c>
      <c r="E535" s="3" t="s">
        <v>788</v>
      </c>
    </row>
    <row r="536" spans="1:5" ht="75" x14ac:dyDescent="0.4">
      <c r="A536" s="1" t="s">
        <v>3</v>
      </c>
      <c r="B536" s="1" t="s">
        <v>808</v>
      </c>
      <c r="C536" s="1" t="s">
        <v>413</v>
      </c>
      <c r="D536" s="1" t="s">
        <v>712</v>
      </c>
      <c r="E536" s="3" t="s">
        <v>788</v>
      </c>
    </row>
    <row r="537" spans="1:5" ht="409.5" x14ac:dyDescent="0.4">
      <c r="A537" s="1" t="s">
        <v>3</v>
      </c>
      <c r="B537" s="1" t="s">
        <v>809</v>
      </c>
      <c r="C537" s="1" t="s">
        <v>235</v>
      </c>
      <c r="D537" s="1" t="s">
        <v>763</v>
      </c>
      <c r="E537" s="3" t="s">
        <v>689</v>
      </c>
    </row>
    <row r="538" spans="1:5" ht="409.5" x14ac:dyDescent="0.4">
      <c r="A538" s="1" t="s">
        <v>3</v>
      </c>
      <c r="B538" s="1" t="s">
        <v>809</v>
      </c>
      <c r="C538" s="1" t="s">
        <v>529</v>
      </c>
      <c r="D538" s="1" t="s">
        <v>625</v>
      </c>
      <c r="E538" s="3" t="s">
        <v>546</v>
      </c>
    </row>
    <row r="539" spans="1:5" ht="75" x14ac:dyDescent="0.4">
      <c r="A539" s="1" t="s">
        <v>3</v>
      </c>
      <c r="B539" s="1" t="s">
        <v>809</v>
      </c>
      <c r="C539" s="1" t="s">
        <v>412</v>
      </c>
      <c r="D539" s="1" t="s">
        <v>710</v>
      </c>
      <c r="E539" s="3" t="s">
        <v>788</v>
      </c>
    </row>
    <row r="540" spans="1:5" ht="75" x14ac:dyDescent="0.4">
      <c r="A540" s="1" t="s">
        <v>3</v>
      </c>
      <c r="B540" s="1" t="s">
        <v>809</v>
      </c>
      <c r="C540" s="1" t="s">
        <v>413</v>
      </c>
      <c r="D540" s="1" t="s">
        <v>712</v>
      </c>
      <c r="E540" s="3" t="s">
        <v>788</v>
      </c>
    </row>
    <row r="541" spans="1:5" ht="187.5" x14ac:dyDescent="0.4">
      <c r="A541" s="1" t="s">
        <v>3</v>
      </c>
      <c r="B541" s="1" t="s">
        <v>813</v>
      </c>
      <c r="C541" s="1" t="s">
        <v>112</v>
      </c>
      <c r="D541" s="1" t="s">
        <v>612</v>
      </c>
      <c r="E541" s="3" t="s">
        <v>814</v>
      </c>
    </row>
    <row r="542" spans="1:5" ht="56.25" x14ac:dyDescent="0.4">
      <c r="A542" s="1" t="s">
        <v>3</v>
      </c>
      <c r="B542" s="1" t="s">
        <v>813</v>
      </c>
      <c r="C542" s="1" t="s">
        <v>815</v>
      </c>
      <c r="D542" s="1" t="s">
        <v>93</v>
      </c>
      <c r="E542" s="3" t="s">
        <v>94</v>
      </c>
    </row>
    <row r="543" spans="1:5" ht="75" x14ac:dyDescent="0.4">
      <c r="A543" s="1" t="s">
        <v>3</v>
      </c>
      <c r="B543" s="1" t="s">
        <v>816</v>
      </c>
      <c r="C543" s="1" t="s">
        <v>412</v>
      </c>
      <c r="D543" s="1" t="s">
        <v>710</v>
      </c>
      <c r="E543" s="3" t="s">
        <v>817</v>
      </c>
    </row>
    <row r="544" spans="1:5" ht="75" x14ac:dyDescent="0.4">
      <c r="A544" s="1" t="s">
        <v>3</v>
      </c>
      <c r="B544" s="1" t="s">
        <v>818</v>
      </c>
      <c r="C544" s="1" t="s">
        <v>211</v>
      </c>
      <c r="D544" s="1" t="s">
        <v>586</v>
      </c>
      <c r="E544" s="3" t="s">
        <v>465</v>
      </c>
    </row>
    <row r="545" spans="1:5" ht="112.5" x14ac:dyDescent="0.4">
      <c r="A545" s="1" t="s">
        <v>3</v>
      </c>
      <c r="B545" s="1" t="s">
        <v>818</v>
      </c>
      <c r="C545" s="1" t="s">
        <v>351</v>
      </c>
      <c r="D545" s="1" t="s">
        <v>634</v>
      </c>
      <c r="E545" s="3" t="s">
        <v>819</v>
      </c>
    </row>
    <row r="546" spans="1:5" ht="112.5" x14ac:dyDescent="0.4">
      <c r="A546" s="1" t="s">
        <v>3</v>
      </c>
      <c r="B546" s="1" t="s">
        <v>827</v>
      </c>
      <c r="C546" s="1" t="s">
        <v>820</v>
      </c>
      <c r="D546" s="1" t="s">
        <v>768</v>
      </c>
      <c r="E546" s="3" t="s">
        <v>828</v>
      </c>
    </row>
    <row r="547" spans="1:5" ht="75" x14ac:dyDescent="0.4">
      <c r="A547" s="1" t="s">
        <v>3</v>
      </c>
      <c r="B547" s="1" t="s">
        <v>829</v>
      </c>
      <c r="C547" s="1" t="s">
        <v>820</v>
      </c>
      <c r="D547" s="1" t="s">
        <v>768</v>
      </c>
      <c r="E547" s="3" t="s">
        <v>830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133F-FB25-4DE9-BB4C-FDF44CBC2CFF}">
  <dimension ref="A1:I7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90</v>
      </c>
      <c r="B1" s="2" t="s">
        <v>49</v>
      </c>
      <c r="C1" s="2" t="s">
        <v>50</v>
      </c>
      <c r="D1" s="2" t="s">
        <v>67</v>
      </c>
      <c r="E1" s="2" t="s">
        <v>64</v>
      </c>
      <c r="F1" s="2" t="s">
        <v>62</v>
      </c>
      <c r="G1" s="2" t="s">
        <v>63</v>
      </c>
      <c r="H1" s="2" t="s">
        <v>91</v>
      </c>
      <c r="I1" s="2" t="s">
        <v>69</v>
      </c>
    </row>
    <row r="2" spans="1:9" x14ac:dyDescent="0.4">
      <c r="A2" s="2" t="s">
        <v>680</v>
      </c>
      <c r="B2" s="2" t="s">
        <v>115</v>
      </c>
      <c r="C2" s="2" t="s">
        <v>179</v>
      </c>
      <c r="D2" s="2" t="s">
        <v>186</v>
      </c>
      <c r="E2" s="2" t="s">
        <v>1</v>
      </c>
      <c r="F2" s="2" t="s">
        <v>1</v>
      </c>
      <c r="G2" s="2" t="s">
        <v>1</v>
      </c>
      <c r="H2" s="2" t="s">
        <v>46</v>
      </c>
      <c r="I2" s="2" t="s">
        <v>362</v>
      </c>
    </row>
    <row r="3" spans="1:9" x14ac:dyDescent="0.4">
      <c r="A3" s="2" t="s">
        <v>683</v>
      </c>
      <c r="B3" s="2" t="s">
        <v>151</v>
      </c>
      <c r="C3" s="2" t="s">
        <v>371</v>
      </c>
      <c r="D3" s="2" t="s">
        <v>377</v>
      </c>
      <c r="E3" s="2" t="s">
        <v>1</v>
      </c>
      <c r="F3" s="2" t="s">
        <v>374</v>
      </c>
      <c r="G3" s="2" t="s">
        <v>375</v>
      </c>
      <c r="H3" s="2" t="s">
        <v>85</v>
      </c>
      <c r="I3" s="2" t="s">
        <v>362</v>
      </c>
    </row>
    <row r="4" spans="1:9" x14ac:dyDescent="0.4">
      <c r="A4" s="2" t="s">
        <v>684</v>
      </c>
      <c r="B4" s="2" t="s">
        <v>151</v>
      </c>
      <c r="C4" s="2" t="s">
        <v>371</v>
      </c>
      <c r="D4" s="2" t="s">
        <v>377</v>
      </c>
      <c r="E4" s="2" t="s">
        <v>1</v>
      </c>
      <c r="F4" s="2" t="s">
        <v>374</v>
      </c>
      <c r="G4" s="2" t="s">
        <v>375</v>
      </c>
      <c r="H4" s="2" t="s">
        <v>565</v>
      </c>
      <c r="I4" s="2" t="s">
        <v>384</v>
      </c>
    </row>
    <row r="5" spans="1:9" x14ac:dyDescent="0.4">
      <c r="A5" s="2" t="s">
        <v>729</v>
      </c>
      <c r="B5" s="2" t="s">
        <v>115</v>
      </c>
      <c r="C5" s="2" t="s">
        <v>307</v>
      </c>
      <c r="D5" s="2" t="s">
        <v>313</v>
      </c>
      <c r="E5" s="2" t="s">
        <v>1</v>
      </c>
      <c r="F5" s="2" t="s">
        <v>682</v>
      </c>
      <c r="G5" s="2" t="s">
        <v>626</v>
      </c>
      <c r="H5" s="2" t="s">
        <v>711</v>
      </c>
      <c r="I5" s="2" t="s">
        <v>362</v>
      </c>
    </row>
    <row r="6" spans="1:9" x14ac:dyDescent="0.4">
      <c r="A6" s="2" t="s">
        <v>807</v>
      </c>
      <c r="B6" s="2" t="s">
        <v>75</v>
      </c>
      <c r="C6" s="2" t="s">
        <v>76</v>
      </c>
      <c r="D6" s="2" t="s">
        <v>86</v>
      </c>
      <c r="E6" s="2" t="s">
        <v>1</v>
      </c>
      <c r="F6" s="2" t="s">
        <v>1</v>
      </c>
      <c r="G6" s="2" t="s">
        <v>1</v>
      </c>
      <c r="H6" s="2" t="s">
        <v>46</v>
      </c>
      <c r="I6" s="2" t="s">
        <v>362</v>
      </c>
    </row>
    <row r="7" spans="1:9" x14ac:dyDescent="0.4">
      <c r="A7" s="2" t="s">
        <v>815</v>
      </c>
      <c r="B7" s="2" t="s">
        <v>115</v>
      </c>
      <c r="C7" s="2" t="s">
        <v>179</v>
      </c>
      <c r="D7" s="2" t="s">
        <v>812</v>
      </c>
      <c r="E7" s="2" t="s">
        <v>1</v>
      </c>
      <c r="F7" s="2" t="s">
        <v>1</v>
      </c>
      <c r="G7" s="2" t="s">
        <v>1</v>
      </c>
      <c r="H7" s="2" t="s">
        <v>46</v>
      </c>
      <c r="I7" s="2" t="s">
        <v>362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FB33-4067-491B-8F07-87E2CFDC982F}">
  <dimension ref="A1:AC49"/>
  <sheetViews>
    <sheetView workbookViewId="0"/>
  </sheetViews>
  <sheetFormatPr defaultRowHeight="18.75" x14ac:dyDescent="0.4"/>
  <cols>
    <col min="1" max="16384" width="9" style="2"/>
  </cols>
  <sheetData>
    <row r="1" spans="1:29" x14ac:dyDescent="0.4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547</v>
      </c>
      <c r="AA1" s="2" t="s">
        <v>548</v>
      </c>
      <c r="AB1" s="2" t="s">
        <v>73</v>
      </c>
      <c r="AC1" s="2" t="s">
        <v>74</v>
      </c>
    </row>
    <row r="2" spans="1:29" x14ac:dyDescent="0.4">
      <c r="A2" s="2" t="s">
        <v>9</v>
      </c>
      <c r="B2" s="2" t="s">
        <v>75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K2" s="2" t="s">
        <v>83</v>
      </c>
      <c r="L2" s="2" t="s">
        <v>800</v>
      </c>
      <c r="M2" s="2" t="s">
        <v>1</v>
      </c>
      <c r="N2" s="2" t="s">
        <v>801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800</v>
      </c>
      <c r="T2" s="2" t="s">
        <v>86</v>
      </c>
      <c r="U2" s="2" t="s">
        <v>1</v>
      </c>
      <c r="V2" s="2" t="s">
        <v>362</v>
      </c>
      <c r="W2" s="2" t="s">
        <v>1</v>
      </c>
      <c r="X2" s="2" t="s">
        <v>87</v>
      </c>
      <c r="Z2" s="2" t="s">
        <v>87</v>
      </c>
      <c r="AA2" s="2" t="s">
        <v>1</v>
      </c>
      <c r="AB2" s="2" t="s">
        <v>1</v>
      </c>
      <c r="AC2" s="2" t="s">
        <v>114</v>
      </c>
    </row>
    <row r="3" spans="1:29" x14ac:dyDescent="0.4">
      <c r="A3" s="2" t="s">
        <v>98</v>
      </c>
      <c r="B3" s="2" t="s">
        <v>115</v>
      </c>
      <c r="C3" s="2" t="s">
        <v>116</v>
      </c>
      <c r="D3" s="2" t="s">
        <v>117</v>
      </c>
      <c r="E3" s="2" t="s">
        <v>46</v>
      </c>
      <c r="F3" s="2" t="s">
        <v>118</v>
      </c>
      <c r="G3" s="2" t="s">
        <v>80</v>
      </c>
      <c r="H3" s="2" t="s">
        <v>119</v>
      </c>
      <c r="I3" s="2" t="s">
        <v>82</v>
      </c>
      <c r="K3" s="2" t="s">
        <v>87</v>
      </c>
      <c r="L3" s="2" t="s">
        <v>1</v>
      </c>
      <c r="M3" s="2" t="s">
        <v>1</v>
      </c>
      <c r="N3" s="2" t="s">
        <v>746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747</v>
      </c>
      <c r="T3" s="2" t="s">
        <v>1</v>
      </c>
      <c r="U3" s="2" t="s">
        <v>1</v>
      </c>
      <c r="V3" s="2" t="s">
        <v>362</v>
      </c>
      <c r="W3" s="2" t="s">
        <v>1</v>
      </c>
      <c r="X3" s="2" t="s">
        <v>87</v>
      </c>
      <c r="Z3" s="2" t="s">
        <v>87</v>
      </c>
      <c r="AA3" s="2" t="s">
        <v>1</v>
      </c>
      <c r="AB3" s="2" t="s">
        <v>1</v>
      </c>
      <c r="AC3" s="2" t="s">
        <v>46</v>
      </c>
    </row>
    <row r="4" spans="1:29" x14ac:dyDescent="0.4">
      <c r="A4" s="2" t="s">
        <v>99</v>
      </c>
      <c r="B4" s="2" t="s">
        <v>115</v>
      </c>
      <c r="C4" s="2" t="s">
        <v>116</v>
      </c>
      <c r="D4" s="2" t="s">
        <v>121</v>
      </c>
      <c r="E4" s="2" t="s">
        <v>46</v>
      </c>
      <c r="F4" s="2" t="s">
        <v>122</v>
      </c>
      <c r="G4" s="2" t="s">
        <v>80</v>
      </c>
      <c r="H4" s="2" t="s">
        <v>123</v>
      </c>
      <c r="I4" s="2" t="s">
        <v>82</v>
      </c>
      <c r="K4" s="2" t="s">
        <v>87</v>
      </c>
      <c r="L4" s="2" t="s">
        <v>1</v>
      </c>
      <c r="M4" s="2" t="s">
        <v>1</v>
      </c>
      <c r="N4" s="2" t="s">
        <v>567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691</v>
      </c>
      <c r="T4" s="2" t="s">
        <v>1</v>
      </c>
      <c r="U4" s="2" t="s">
        <v>1</v>
      </c>
      <c r="V4" s="2" t="s">
        <v>362</v>
      </c>
      <c r="W4" s="2" t="s">
        <v>1</v>
      </c>
      <c r="X4" s="2" t="s">
        <v>87</v>
      </c>
      <c r="Z4" s="2" t="s">
        <v>87</v>
      </c>
      <c r="AA4" s="2" t="s">
        <v>1</v>
      </c>
      <c r="AB4" s="2" t="s">
        <v>1</v>
      </c>
      <c r="AC4" s="2" t="s">
        <v>46</v>
      </c>
    </row>
    <row r="5" spans="1:29" x14ac:dyDescent="0.4">
      <c r="A5" s="2" t="s">
        <v>101</v>
      </c>
      <c r="B5" s="2" t="s">
        <v>115</v>
      </c>
      <c r="C5" s="2" t="s">
        <v>116</v>
      </c>
      <c r="D5" s="2" t="s">
        <v>126</v>
      </c>
      <c r="E5" s="2" t="s">
        <v>46</v>
      </c>
      <c r="F5" s="2" t="s">
        <v>127</v>
      </c>
      <c r="G5" s="2" t="s">
        <v>80</v>
      </c>
      <c r="H5" s="2" t="s">
        <v>128</v>
      </c>
      <c r="I5" s="2" t="s">
        <v>82</v>
      </c>
      <c r="J5" s="2" t="s">
        <v>802</v>
      </c>
      <c r="K5" s="2" t="s">
        <v>87</v>
      </c>
      <c r="L5" s="2" t="s">
        <v>1</v>
      </c>
      <c r="M5" s="2" t="s">
        <v>1</v>
      </c>
      <c r="N5" s="2" t="s">
        <v>85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129</v>
      </c>
      <c r="T5" s="2" t="s">
        <v>1</v>
      </c>
      <c r="U5" s="2" t="s">
        <v>1</v>
      </c>
      <c r="V5" s="2" t="s">
        <v>362</v>
      </c>
      <c r="W5" s="2" t="s">
        <v>1</v>
      </c>
      <c r="X5" s="2" t="s">
        <v>87</v>
      </c>
      <c r="Z5" s="2" t="s">
        <v>87</v>
      </c>
      <c r="AA5" s="2" t="s">
        <v>1</v>
      </c>
      <c r="AB5" s="2" t="s">
        <v>1</v>
      </c>
      <c r="AC5" s="2" t="s">
        <v>46</v>
      </c>
    </row>
    <row r="6" spans="1:29" x14ac:dyDescent="0.4">
      <c r="A6" s="2" t="s">
        <v>100</v>
      </c>
      <c r="B6" s="2" t="s">
        <v>115</v>
      </c>
      <c r="C6" s="2" t="s">
        <v>116</v>
      </c>
      <c r="D6" s="2" t="s">
        <v>130</v>
      </c>
      <c r="E6" s="2" t="s">
        <v>46</v>
      </c>
      <c r="F6" s="2" t="s">
        <v>131</v>
      </c>
      <c r="G6" s="2" t="s">
        <v>80</v>
      </c>
      <c r="H6" s="2" t="s">
        <v>132</v>
      </c>
      <c r="I6" s="2" t="s">
        <v>82</v>
      </c>
      <c r="K6" s="2" t="s">
        <v>87</v>
      </c>
      <c r="L6" s="2" t="s">
        <v>1</v>
      </c>
      <c r="M6" s="2" t="s">
        <v>1</v>
      </c>
      <c r="N6" s="2" t="s">
        <v>567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568</v>
      </c>
      <c r="T6" s="2" t="s">
        <v>1</v>
      </c>
      <c r="U6" s="2" t="s">
        <v>1</v>
      </c>
      <c r="V6" s="2" t="s">
        <v>362</v>
      </c>
      <c r="W6" s="2" t="s">
        <v>1</v>
      </c>
      <c r="X6" s="2" t="s">
        <v>87</v>
      </c>
      <c r="Z6" s="2" t="s">
        <v>87</v>
      </c>
      <c r="AA6" s="2" t="s">
        <v>1</v>
      </c>
      <c r="AB6" s="2" t="s">
        <v>1</v>
      </c>
      <c r="AC6" s="2" t="s">
        <v>46</v>
      </c>
    </row>
    <row r="7" spans="1:29" x14ac:dyDescent="0.4">
      <c r="A7" s="2" t="s">
        <v>102</v>
      </c>
      <c r="B7" s="2" t="s">
        <v>115</v>
      </c>
      <c r="C7" s="2" t="s">
        <v>116</v>
      </c>
      <c r="D7" s="2" t="s">
        <v>134</v>
      </c>
      <c r="E7" s="2" t="s">
        <v>46</v>
      </c>
      <c r="F7" s="2" t="s">
        <v>135</v>
      </c>
      <c r="G7" s="2" t="s">
        <v>80</v>
      </c>
      <c r="H7" s="2" t="s">
        <v>136</v>
      </c>
      <c r="I7" s="2" t="s">
        <v>82</v>
      </c>
      <c r="K7" s="2" t="s">
        <v>87</v>
      </c>
      <c r="L7" s="2" t="s">
        <v>1</v>
      </c>
      <c r="M7" s="2" t="s">
        <v>1</v>
      </c>
      <c r="N7" s="2" t="s">
        <v>748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749</v>
      </c>
      <c r="T7" s="2" t="s">
        <v>1</v>
      </c>
      <c r="U7" s="2" t="s">
        <v>1</v>
      </c>
      <c r="V7" s="2" t="s">
        <v>362</v>
      </c>
      <c r="W7" s="2" t="s">
        <v>1</v>
      </c>
      <c r="X7" s="2" t="s">
        <v>87</v>
      </c>
      <c r="Z7" s="2" t="s">
        <v>87</v>
      </c>
      <c r="AA7" s="2" t="s">
        <v>1</v>
      </c>
      <c r="AB7" s="2" t="s">
        <v>1</v>
      </c>
      <c r="AC7" s="2" t="s">
        <v>46</v>
      </c>
    </row>
    <row r="8" spans="1:29" x14ac:dyDescent="0.4">
      <c r="A8" s="2" t="s">
        <v>104</v>
      </c>
      <c r="B8" s="2" t="s">
        <v>115</v>
      </c>
      <c r="C8" s="2" t="s">
        <v>116</v>
      </c>
      <c r="D8" s="2" t="s">
        <v>138</v>
      </c>
      <c r="E8" s="2" t="s">
        <v>46</v>
      </c>
      <c r="F8" s="2" t="s">
        <v>139</v>
      </c>
      <c r="G8" s="2" t="s">
        <v>140</v>
      </c>
      <c r="H8" s="2" t="s">
        <v>556</v>
      </c>
      <c r="I8" s="2" t="s">
        <v>141</v>
      </c>
      <c r="K8" s="2" t="s">
        <v>87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569</v>
      </c>
      <c r="T8" s="2" t="s">
        <v>1</v>
      </c>
      <c r="U8" s="2" t="s">
        <v>1</v>
      </c>
      <c r="V8" s="2" t="s">
        <v>362</v>
      </c>
      <c r="W8" s="2" t="s">
        <v>1</v>
      </c>
      <c r="X8" s="2" t="s">
        <v>87</v>
      </c>
      <c r="Z8" s="2" t="s">
        <v>87</v>
      </c>
      <c r="AA8" s="2" t="s">
        <v>1</v>
      </c>
      <c r="AB8" s="2" t="s">
        <v>1</v>
      </c>
      <c r="AC8" s="2" t="s">
        <v>1</v>
      </c>
    </row>
    <row r="9" spans="1:29" x14ac:dyDescent="0.4">
      <c r="A9" s="2" t="s">
        <v>103</v>
      </c>
      <c r="B9" s="2" t="s">
        <v>115</v>
      </c>
      <c r="C9" s="2" t="s">
        <v>116</v>
      </c>
      <c r="D9" s="2" t="s">
        <v>143</v>
      </c>
      <c r="E9" s="2" t="s">
        <v>46</v>
      </c>
      <c r="F9" s="2" t="s">
        <v>144</v>
      </c>
      <c r="G9" s="2" t="s">
        <v>80</v>
      </c>
      <c r="H9" s="2" t="s">
        <v>145</v>
      </c>
      <c r="I9" s="2" t="s">
        <v>82</v>
      </c>
      <c r="J9" s="2" t="s">
        <v>803</v>
      </c>
      <c r="K9" s="2" t="s">
        <v>87</v>
      </c>
      <c r="L9" s="2" t="s">
        <v>1</v>
      </c>
      <c r="M9" s="2" t="s">
        <v>1</v>
      </c>
      <c r="N9" s="2" t="s">
        <v>748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750</v>
      </c>
      <c r="T9" s="2" t="s">
        <v>1</v>
      </c>
      <c r="U9" s="2" t="s">
        <v>1</v>
      </c>
      <c r="V9" s="2" t="s">
        <v>362</v>
      </c>
      <c r="W9" s="2" t="s">
        <v>1</v>
      </c>
      <c r="X9" s="2" t="s">
        <v>87</v>
      </c>
      <c r="Z9" s="2" t="s">
        <v>87</v>
      </c>
      <c r="AA9" s="2" t="s">
        <v>1</v>
      </c>
      <c r="AB9" s="2" t="s">
        <v>1</v>
      </c>
      <c r="AC9" s="2" t="s">
        <v>46</v>
      </c>
    </row>
    <row r="10" spans="1:29" x14ac:dyDescent="0.4">
      <c r="A10" s="2" t="s">
        <v>456</v>
      </c>
      <c r="B10" s="2" t="s">
        <v>115</v>
      </c>
      <c r="C10" s="2" t="s">
        <v>116</v>
      </c>
      <c r="D10" s="2" t="s">
        <v>458</v>
      </c>
      <c r="E10" s="2" t="s">
        <v>46</v>
      </c>
      <c r="F10" s="2" t="s">
        <v>459</v>
      </c>
      <c r="G10" s="2" t="s">
        <v>164</v>
      </c>
      <c r="H10" s="2" t="s">
        <v>460</v>
      </c>
      <c r="I10" s="2" t="s">
        <v>2</v>
      </c>
      <c r="K10" s="2" t="s">
        <v>87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461</v>
      </c>
      <c r="T10" s="2" t="s">
        <v>1</v>
      </c>
      <c r="U10" s="2" t="s">
        <v>1</v>
      </c>
      <c r="V10" s="2" t="s">
        <v>362</v>
      </c>
      <c r="W10" s="2" t="s">
        <v>1</v>
      </c>
      <c r="X10" s="2" t="s">
        <v>87</v>
      </c>
      <c r="Z10" s="2" t="s">
        <v>87</v>
      </c>
      <c r="AA10" s="2" t="s">
        <v>1</v>
      </c>
      <c r="AB10" s="2" t="s">
        <v>1</v>
      </c>
      <c r="AC10" s="2" t="s">
        <v>1</v>
      </c>
    </row>
    <row r="11" spans="1:29" x14ac:dyDescent="0.4">
      <c r="A11" s="2" t="s">
        <v>105</v>
      </c>
      <c r="B11" s="2" t="s">
        <v>115</v>
      </c>
      <c r="C11" s="2" t="s">
        <v>116</v>
      </c>
      <c r="D11" s="2" t="s">
        <v>147</v>
      </c>
      <c r="E11" s="2" t="s">
        <v>46</v>
      </c>
      <c r="F11" s="2" t="s">
        <v>148</v>
      </c>
      <c r="G11" s="2" t="s">
        <v>80</v>
      </c>
      <c r="H11" s="2" t="s">
        <v>149</v>
      </c>
      <c r="I11" s="2" t="s">
        <v>82</v>
      </c>
      <c r="K11" s="2" t="s">
        <v>87</v>
      </c>
      <c r="L11" s="2" t="s">
        <v>1</v>
      </c>
      <c r="M11" s="2" t="s">
        <v>1</v>
      </c>
      <c r="N11" s="2" t="s">
        <v>751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752</v>
      </c>
      <c r="T11" s="2" t="s">
        <v>1</v>
      </c>
      <c r="U11" s="2" t="s">
        <v>1</v>
      </c>
      <c r="V11" s="2" t="s">
        <v>362</v>
      </c>
      <c r="W11" s="2" t="s">
        <v>1</v>
      </c>
      <c r="X11" s="2" t="s">
        <v>87</v>
      </c>
      <c r="Z11" s="2" t="s">
        <v>87</v>
      </c>
      <c r="AA11" s="2" t="s">
        <v>1</v>
      </c>
      <c r="AB11" s="2" t="s">
        <v>1</v>
      </c>
      <c r="AC11" s="2" t="s">
        <v>46</v>
      </c>
    </row>
    <row r="12" spans="1:29" x14ac:dyDescent="0.4">
      <c r="A12" s="2" t="s">
        <v>106</v>
      </c>
      <c r="B12" s="2" t="s">
        <v>151</v>
      </c>
      <c r="C12" s="2" t="s">
        <v>152</v>
      </c>
      <c r="D12" s="2" t="s">
        <v>153</v>
      </c>
      <c r="E12" s="2" t="s">
        <v>154</v>
      </c>
      <c r="F12" s="2" t="s">
        <v>155</v>
      </c>
      <c r="G12" s="2" t="s">
        <v>80</v>
      </c>
      <c r="H12" s="2" t="s">
        <v>156</v>
      </c>
      <c r="I12" s="2" t="s">
        <v>82</v>
      </c>
      <c r="K12" s="2" t="s">
        <v>87</v>
      </c>
      <c r="L12" s="2" t="s">
        <v>1</v>
      </c>
      <c r="M12" s="2" t="s">
        <v>1</v>
      </c>
      <c r="N12" s="2" t="s">
        <v>567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601</v>
      </c>
      <c r="T12" s="2" t="s">
        <v>1</v>
      </c>
      <c r="U12" s="2" t="s">
        <v>1</v>
      </c>
      <c r="V12" s="2" t="s">
        <v>362</v>
      </c>
      <c r="W12" s="2" t="s">
        <v>1</v>
      </c>
      <c r="X12" s="2" t="s">
        <v>87</v>
      </c>
      <c r="Z12" s="2" t="s">
        <v>87</v>
      </c>
      <c r="AA12" s="2" t="s">
        <v>1</v>
      </c>
      <c r="AB12" s="2" t="s">
        <v>1</v>
      </c>
      <c r="AC12" s="2" t="s">
        <v>46</v>
      </c>
    </row>
    <row r="13" spans="1:29" x14ac:dyDescent="0.4">
      <c r="A13" s="2" t="s">
        <v>221</v>
      </c>
      <c r="B13" s="2" t="s">
        <v>115</v>
      </c>
      <c r="C13" s="2" t="s">
        <v>240</v>
      </c>
      <c r="D13" s="2" t="s">
        <v>241</v>
      </c>
      <c r="E13" s="2" t="s">
        <v>242</v>
      </c>
      <c r="F13" s="2" t="s">
        <v>243</v>
      </c>
      <c r="G13" s="2" t="s">
        <v>80</v>
      </c>
      <c r="H13" s="2" t="s">
        <v>244</v>
      </c>
      <c r="I13" s="2" t="s">
        <v>82</v>
      </c>
      <c r="K13" s="2" t="s">
        <v>87</v>
      </c>
      <c r="L13" s="2" t="s">
        <v>1</v>
      </c>
      <c r="M13" s="2" t="s">
        <v>1</v>
      </c>
      <c r="N13" s="2" t="s">
        <v>753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754</v>
      </c>
      <c r="T13" s="2" t="s">
        <v>1</v>
      </c>
      <c r="U13" s="2" t="s">
        <v>1</v>
      </c>
      <c r="V13" s="2" t="s">
        <v>362</v>
      </c>
      <c r="W13" s="2" t="s">
        <v>1</v>
      </c>
      <c r="X13" s="2" t="s">
        <v>87</v>
      </c>
      <c r="Z13" s="2" t="s">
        <v>87</v>
      </c>
      <c r="AA13" s="2" t="s">
        <v>1</v>
      </c>
      <c r="AB13" s="2" t="s">
        <v>1</v>
      </c>
      <c r="AC13" s="2" t="s">
        <v>46</v>
      </c>
    </row>
    <row r="14" spans="1:29" x14ac:dyDescent="0.4">
      <c r="A14" s="2" t="s">
        <v>222</v>
      </c>
      <c r="B14" s="2" t="s">
        <v>115</v>
      </c>
      <c r="C14" s="2" t="s">
        <v>240</v>
      </c>
      <c r="D14" s="2" t="s">
        <v>246</v>
      </c>
      <c r="E14" s="2" t="s">
        <v>242</v>
      </c>
      <c r="F14" s="2" t="s">
        <v>247</v>
      </c>
      <c r="G14" s="2" t="s">
        <v>140</v>
      </c>
      <c r="H14" s="2" t="s">
        <v>556</v>
      </c>
      <c r="I14" s="2" t="s">
        <v>141</v>
      </c>
      <c r="K14" s="2" t="s">
        <v>87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755</v>
      </c>
      <c r="T14" s="2" t="s">
        <v>1</v>
      </c>
      <c r="U14" s="2" t="s">
        <v>1</v>
      </c>
      <c r="V14" s="2" t="s">
        <v>362</v>
      </c>
      <c r="W14" s="2" t="s">
        <v>1</v>
      </c>
      <c r="X14" s="2" t="s">
        <v>87</v>
      </c>
      <c r="Z14" s="2" t="s">
        <v>87</v>
      </c>
      <c r="AA14" s="2" t="s">
        <v>1</v>
      </c>
      <c r="AB14" s="2" t="s">
        <v>1</v>
      </c>
      <c r="AC14" s="2" t="s">
        <v>1</v>
      </c>
    </row>
    <row r="15" spans="1:29" x14ac:dyDescent="0.4">
      <c r="A15" s="2" t="s">
        <v>107</v>
      </c>
      <c r="B15" s="2" t="s">
        <v>151</v>
      </c>
      <c r="C15" s="2" t="s">
        <v>158</v>
      </c>
      <c r="D15" s="2" t="s">
        <v>159</v>
      </c>
      <c r="E15" s="2" t="s">
        <v>160</v>
      </c>
      <c r="F15" s="2" t="s">
        <v>161</v>
      </c>
      <c r="G15" s="2" t="s">
        <v>80</v>
      </c>
      <c r="H15" s="2" t="s">
        <v>162</v>
      </c>
      <c r="I15" s="2" t="s">
        <v>82</v>
      </c>
      <c r="K15" s="2" t="s">
        <v>87</v>
      </c>
      <c r="L15" s="2" t="s">
        <v>1</v>
      </c>
      <c r="M15" s="2" t="s">
        <v>46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756</v>
      </c>
      <c r="T15" s="2" t="s">
        <v>1</v>
      </c>
      <c r="U15" s="2" t="s">
        <v>1</v>
      </c>
      <c r="V15" s="2" t="s">
        <v>362</v>
      </c>
      <c r="W15" s="2" t="s">
        <v>1</v>
      </c>
      <c r="X15" s="2" t="s">
        <v>87</v>
      </c>
      <c r="Z15" s="2" t="s">
        <v>87</v>
      </c>
      <c r="AA15" s="2" t="s">
        <v>1</v>
      </c>
      <c r="AB15" s="2" t="s">
        <v>1</v>
      </c>
      <c r="AC15" s="2" t="s">
        <v>1</v>
      </c>
    </row>
    <row r="16" spans="1:29" x14ac:dyDescent="0.4">
      <c r="A16" s="2" t="s">
        <v>108</v>
      </c>
      <c r="B16" s="2" t="s">
        <v>1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164</v>
      </c>
      <c r="H16" s="2" t="s">
        <v>165</v>
      </c>
      <c r="I16" s="2" t="s">
        <v>2</v>
      </c>
      <c r="K16" s="2" t="s">
        <v>87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605</v>
      </c>
      <c r="T16" s="2" t="s">
        <v>1</v>
      </c>
      <c r="U16" s="2" t="s">
        <v>1</v>
      </c>
      <c r="V16" s="2" t="s">
        <v>362</v>
      </c>
      <c r="W16" s="2" t="s">
        <v>1</v>
      </c>
      <c r="X16" s="2" t="s">
        <v>83</v>
      </c>
      <c r="Z16" s="2" t="s">
        <v>83</v>
      </c>
      <c r="AA16" s="2" t="s">
        <v>1</v>
      </c>
      <c r="AB16" s="2" t="s">
        <v>1</v>
      </c>
      <c r="AC16" s="2" t="s">
        <v>1</v>
      </c>
    </row>
    <row r="17" spans="1:29" x14ac:dyDescent="0.4">
      <c r="A17" s="2" t="s">
        <v>223</v>
      </c>
      <c r="B17" s="2" t="s">
        <v>115</v>
      </c>
      <c r="C17" s="2" t="s">
        <v>240</v>
      </c>
      <c r="D17" s="2" t="s">
        <v>250</v>
      </c>
      <c r="E17" s="2" t="s">
        <v>242</v>
      </c>
      <c r="F17" s="2" t="s">
        <v>251</v>
      </c>
      <c r="G17" s="2" t="s">
        <v>80</v>
      </c>
      <c r="H17" s="2" t="s">
        <v>252</v>
      </c>
      <c r="I17" s="2" t="s">
        <v>82</v>
      </c>
      <c r="K17" s="2" t="s">
        <v>87</v>
      </c>
      <c r="L17" s="2" t="s">
        <v>1</v>
      </c>
      <c r="M17" s="2" t="s">
        <v>1</v>
      </c>
      <c r="N17" s="2" t="s">
        <v>753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757</v>
      </c>
      <c r="T17" s="2" t="s">
        <v>1</v>
      </c>
      <c r="U17" s="2" t="s">
        <v>1</v>
      </c>
      <c r="V17" s="2" t="s">
        <v>362</v>
      </c>
      <c r="W17" s="2" t="s">
        <v>1</v>
      </c>
      <c r="X17" s="2" t="s">
        <v>87</v>
      </c>
      <c r="Z17" s="2" t="s">
        <v>87</v>
      </c>
      <c r="AA17" s="2" t="s">
        <v>1</v>
      </c>
      <c r="AB17" s="2" t="s">
        <v>1</v>
      </c>
      <c r="AC17" s="2" t="s">
        <v>46</v>
      </c>
    </row>
    <row r="18" spans="1:29" x14ac:dyDescent="0.4">
      <c r="A18" s="2" t="s">
        <v>109</v>
      </c>
      <c r="B18" s="2" t="s">
        <v>151</v>
      </c>
      <c r="C18" s="2" t="s">
        <v>152</v>
      </c>
      <c r="D18" s="2" t="s">
        <v>167</v>
      </c>
      <c r="E18" s="2" t="s">
        <v>154</v>
      </c>
      <c r="F18" s="2" t="s">
        <v>168</v>
      </c>
      <c r="G18" s="2" t="s">
        <v>80</v>
      </c>
      <c r="H18" s="2" t="s">
        <v>169</v>
      </c>
      <c r="I18" s="2" t="s">
        <v>82</v>
      </c>
      <c r="K18" s="2" t="s">
        <v>87</v>
      </c>
      <c r="L18" s="2" t="s">
        <v>1</v>
      </c>
      <c r="M18" s="2" t="s">
        <v>1</v>
      </c>
      <c r="N18" s="2" t="s">
        <v>567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607</v>
      </c>
      <c r="T18" s="2" t="s">
        <v>1</v>
      </c>
      <c r="U18" s="2" t="s">
        <v>1</v>
      </c>
      <c r="V18" s="2" t="s">
        <v>362</v>
      </c>
      <c r="W18" s="2" t="s">
        <v>1</v>
      </c>
      <c r="X18" s="2" t="s">
        <v>87</v>
      </c>
      <c r="Z18" s="2" t="s">
        <v>87</v>
      </c>
      <c r="AA18" s="2" t="s">
        <v>1</v>
      </c>
      <c r="AB18" s="2" t="s">
        <v>1</v>
      </c>
      <c r="AC18" s="2" t="s">
        <v>46</v>
      </c>
    </row>
    <row r="19" spans="1:29" x14ac:dyDescent="0.4">
      <c r="A19" s="2" t="s">
        <v>110</v>
      </c>
      <c r="B19" s="2" t="s">
        <v>151</v>
      </c>
      <c r="C19" s="2" t="s">
        <v>152</v>
      </c>
      <c r="D19" s="2" t="s">
        <v>171</v>
      </c>
      <c r="E19" s="2" t="s">
        <v>124</v>
      </c>
      <c r="F19" s="2" t="s">
        <v>172</v>
      </c>
      <c r="G19" s="2" t="s">
        <v>80</v>
      </c>
      <c r="H19" s="2" t="s">
        <v>173</v>
      </c>
      <c r="I19" s="2" t="s">
        <v>82</v>
      </c>
      <c r="K19" s="2" t="s">
        <v>87</v>
      </c>
      <c r="L19" s="2" t="s">
        <v>1</v>
      </c>
      <c r="M19" s="2" t="s">
        <v>1</v>
      </c>
      <c r="N19" s="2" t="s">
        <v>567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608</v>
      </c>
      <c r="T19" s="2" t="s">
        <v>1</v>
      </c>
      <c r="U19" s="2" t="s">
        <v>1</v>
      </c>
      <c r="V19" s="2" t="s">
        <v>362</v>
      </c>
      <c r="W19" s="2" t="s">
        <v>1</v>
      </c>
      <c r="X19" s="2" t="s">
        <v>87</v>
      </c>
      <c r="Z19" s="2" t="s">
        <v>87</v>
      </c>
      <c r="AA19" s="2" t="s">
        <v>1</v>
      </c>
      <c r="AB19" s="2" t="s">
        <v>1</v>
      </c>
      <c r="AC19" s="2" t="s">
        <v>46</v>
      </c>
    </row>
    <row r="20" spans="1:29" x14ac:dyDescent="0.4">
      <c r="A20" s="2" t="s">
        <v>225</v>
      </c>
      <c r="B20" s="2" t="s">
        <v>151</v>
      </c>
      <c r="C20" s="2" t="s">
        <v>152</v>
      </c>
      <c r="D20" s="2" t="s">
        <v>254</v>
      </c>
      <c r="E20" s="2" t="s">
        <v>154</v>
      </c>
      <c r="F20" s="2" t="s">
        <v>255</v>
      </c>
      <c r="G20" s="2" t="s">
        <v>164</v>
      </c>
      <c r="H20" s="2" t="s">
        <v>256</v>
      </c>
      <c r="I20" s="2" t="s">
        <v>2</v>
      </c>
      <c r="K20" s="2" t="s">
        <v>87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730</v>
      </c>
      <c r="T20" s="2" t="s">
        <v>1</v>
      </c>
      <c r="U20" s="2" t="s">
        <v>1</v>
      </c>
      <c r="V20" s="2" t="s">
        <v>362</v>
      </c>
      <c r="W20" s="2" t="s">
        <v>1</v>
      </c>
      <c r="X20" s="2" t="s">
        <v>87</v>
      </c>
      <c r="Z20" s="2" t="s">
        <v>87</v>
      </c>
      <c r="AA20" s="2" t="s">
        <v>1</v>
      </c>
      <c r="AB20" s="2" t="s">
        <v>1</v>
      </c>
      <c r="AC20" s="2" t="s">
        <v>1</v>
      </c>
    </row>
    <row r="21" spans="1:29" x14ac:dyDescent="0.4">
      <c r="A21" s="2" t="s">
        <v>111</v>
      </c>
      <c r="B21" s="2" t="s">
        <v>151</v>
      </c>
      <c r="C21" s="2" t="s">
        <v>152</v>
      </c>
      <c r="D21" s="2" t="s">
        <v>175</v>
      </c>
      <c r="E21" s="2" t="s">
        <v>124</v>
      </c>
      <c r="F21" s="2" t="s">
        <v>176</v>
      </c>
      <c r="G21" s="2" t="s">
        <v>80</v>
      </c>
      <c r="H21" s="2" t="s">
        <v>177</v>
      </c>
      <c r="I21" s="2" t="s">
        <v>82</v>
      </c>
      <c r="K21" s="2" t="s">
        <v>87</v>
      </c>
      <c r="L21" s="2" t="s">
        <v>1</v>
      </c>
      <c r="M21" s="2" t="s">
        <v>1</v>
      </c>
      <c r="N21" s="2" t="s">
        <v>567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610</v>
      </c>
      <c r="T21" s="2" t="s">
        <v>1</v>
      </c>
      <c r="U21" s="2" t="s">
        <v>1</v>
      </c>
      <c r="V21" s="2" t="s">
        <v>362</v>
      </c>
      <c r="W21" s="2" t="s">
        <v>1</v>
      </c>
      <c r="X21" s="2" t="s">
        <v>87</v>
      </c>
      <c r="Z21" s="2" t="s">
        <v>87</v>
      </c>
      <c r="AA21" s="2" t="s">
        <v>1</v>
      </c>
      <c r="AB21" s="2" t="s">
        <v>1</v>
      </c>
      <c r="AC21" s="2" t="s">
        <v>46</v>
      </c>
    </row>
    <row r="22" spans="1:29" x14ac:dyDescent="0.4">
      <c r="A22" s="2" t="s">
        <v>492</v>
      </c>
      <c r="B22" s="2" t="s">
        <v>151</v>
      </c>
      <c r="C22" s="2" t="s">
        <v>493</v>
      </c>
      <c r="D22" s="2" t="s">
        <v>494</v>
      </c>
      <c r="E22" s="2" t="s">
        <v>124</v>
      </c>
      <c r="F22" s="2" t="s">
        <v>495</v>
      </c>
      <c r="G22" s="2" t="s">
        <v>164</v>
      </c>
      <c r="H22" s="2" t="s">
        <v>496</v>
      </c>
      <c r="I22" s="2" t="s">
        <v>497</v>
      </c>
      <c r="K22" s="2" t="s">
        <v>87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731</v>
      </c>
      <c r="T22" s="2" t="s">
        <v>1</v>
      </c>
      <c r="U22" s="2" t="s">
        <v>1</v>
      </c>
      <c r="V22" s="2" t="s">
        <v>362</v>
      </c>
      <c r="W22" s="2" t="s">
        <v>1</v>
      </c>
      <c r="X22" s="2" t="s">
        <v>87</v>
      </c>
      <c r="Z22" s="2" t="s">
        <v>87</v>
      </c>
      <c r="AA22" s="2" t="s">
        <v>1</v>
      </c>
      <c r="AB22" s="2" t="s">
        <v>1</v>
      </c>
      <c r="AC22" s="2" t="s">
        <v>1</v>
      </c>
    </row>
    <row r="23" spans="1:29" x14ac:dyDescent="0.4">
      <c r="A23" s="2" t="s">
        <v>112</v>
      </c>
      <c r="B23" s="2" t="s">
        <v>115</v>
      </c>
      <c r="C23" s="2" t="s">
        <v>179</v>
      </c>
      <c r="D23" s="2" t="s">
        <v>180</v>
      </c>
      <c r="E23" s="2" t="s">
        <v>181</v>
      </c>
      <c r="F23" s="2" t="s">
        <v>182</v>
      </c>
      <c r="G23" s="2" t="s">
        <v>164</v>
      </c>
      <c r="H23" s="2" t="s">
        <v>183</v>
      </c>
      <c r="I23" s="2" t="s">
        <v>184</v>
      </c>
      <c r="K23" s="2" t="s">
        <v>83</v>
      </c>
      <c r="L23" s="2" t="s">
        <v>612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612</v>
      </c>
      <c r="T23" s="2" t="s">
        <v>812</v>
      </c>
      <c r="U23" s="2" t="s">
        <v>1</v>
      </c>
      <c r="V23" s="2" t="s">
        <v>362</v>
      </c>
      <c r="W23" s="2" t="s">
        <v>1</v>
      </c>
      <c r="X23" s="2" t="s">
        <v>87</v>
      </c>
      <c r="Z23" s="2" t="s">
        <v>87</v>
      </c>
      <c r="AA23" s="2" t="s">
        <v>1</v>
      </c>
      <c r="AB23" s="2" t="s">
        <v>1</v>
      </c>
      <c r="AC23" s="2" t="s">
        <v>1</v>
      </c>
    </row>
    <row r="24" spans="1:29" x14ac:dyDescent="0.4">
      <c r="A24" s="2" t="s">
        <v>228</v>
      </c>
      <c r="B24" s="2" t="s">
        <v>151</v>
      </c>
      <c r="C24" s="2" t="s">
        <v>152</v>
      </c>
      <c r="D24" s="2" t="s">
        <v>267</v>
      </c>
      <c r="E24" s="2" t="s">
        <v>124</v>
      </c>
      <c r="F24" s="2" t="s">
        <v>268</v>
      </c>
      <c r="G24" s="2" t="s">
        <v>80</v>
      </c>
      <c r="H24" s="2" t="s">
        <v>269</v>
      </c>
      <c r="I24" s="2" t="s">
        <v>82</v>
      </c>
      <c r="K24" s="2" t="s">
        <v>87</v>
      </c>
      <c r="L24" s="2" t="s">
        <v>1</v>
      </c>
      <c r="M24" s="2" t="s">
        <v>1</v>
      </c>
      <c r="N24" s="2" t="s">
        <v>753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758</v>
      </c>
      <c r="T24" s="2" t="s">
        <v>1</v>
      </c>
      <c r="U24" s="2" t="s">
        <v>1</v>
      </c>
      <c r="V24" s="2" t="s">
        <v>362</v>
      </c>
      <c r="W24" s="2" t="s">
        <v>1</v>
      </c>
      <c r="X24" s="2" t="s">
        <v>87</v>
      </c>
      <c r="Z24" s="2" t="s">
        <v>87</v>
      </c>
      <c r="AA24" s="2" t="s">
        <v>1</v>
      </c>
      <c r="AB24" s="2" t="s">
        <v>1</v>
      </c>
      <c r="AC24" s="2" t="s">
        <v>46</v>
      </c>
    </row>
    <row r="25" spans="1:29" x14ac:dyDescent="0.4">
      <c r="A25" s="2" t="s">
        <v>211</v>
      </c>
      <c r="B25" s="2" t="s">
        <v>115</v>
      </c>
      <c r="C25" s="2" t="s">
        <v>179</v>
      </c>
      <c r="D25" s="2" t="s">
        <v>260</v>
      </c>
      <c r="E25" s="2" t="s">
        <v>181</v>
      </c>
      <c r="F25" s="2" t="s">
        <v>261</v>
      </c>
      <c r="G25" s="2" t="s">
        <v>164</v>
      </c>
      <c r="H25" s="2" t="s">
        <v>262</v>
      </c>
      <c r="I25" s="2" t="s">
        <v>2</v>
      </c>
      <c r="K25" s="2" t="s">
        <v>83</v>
      </c>
      <c r="L25" s="2" t="s">
        <v>586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586</v>
      </c>
      <c r="T25" s="2" t="s">
        <v>186</v>
      </c>
      <c r="U25" s="2" t="s">
        <v>1</v>
      </c>
      <c r="V25" s="2" t="s">
        <v>362</v>
      </c>
      <c r="W25" s="2" t="s">
        <v>1</v>
      </c>
      <c r="X25" s="2" t="s">
        <v>87</v>
      </c>
      <c r="Z25" s="2" t="s">
        <v>87</v>
      </c>
      <c r="AA25" s="2" t="s">
        <v>1</v>
      </c>
      <c r="AB25" s="2" t="s">
        <v>1</v>
      </c>
      <c r="AC25" s="2" t="s">
        <v>1</v>
      </c>
    </row>
    <row r="26" spans="1:29" x14ac:dyDescent="0.4">
      <c r="A26" s="2" t="s">
        <v>212</v>
      </c>
      <c r="B26" s="2" t="s">
        <v>115</v>
      </c>
      <c r="C26" s="2" t="s">
        <v>179</v>
      </c>
      <c r="D26" s="2" t="s">
        <v>264</v>
      </c>
      <c r="E26" s="2" t="s">
        <v>181</v>
      </c>
      <c r="F26" s="2" t="s">
        <v>265</v>
      </c>
      <c r="G26" s="2" t="s">
        <v>140</v>
      </c>
      <c r="H26" s="2" t="s">
        <v>573</v>
      </c>
      <c r="I26" s="2" t="s">
        <v>574</v>
      </c>
      <c r="K26" s="2" t="s">
        <v>83</v>
      </c>
      <c r="L26" s="2" t="s">
        <v>614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614</v>
      </c>
      <c r="T26" s="2" t="s">
        <v>186</v>
      </c>
      <c r="U26" s="2" t="s">
        <v>1</v>
      </c>
      <c r="V26" s="2" t="s">
        <v>362</v>
      </c>
      <c r="W26" s="2" t="s">
        <v>1</v>
      </c>
      <c r="X26" s="2" t="s">
        <v>87</v>
      </c>
      <c r="Z26" s="2" t="s">
        <v>87</v>
      </c>
      <c r="AA26" s="2" t="s">
        <v>1</v>
      </c>
      <c r="AB26" s="2" t="s">
        <v>1</v>
      </c>
      <c r="AC26" s="2" t="s">
        <v>1</v>
      </c>
    </row>
    <row r="27" spans="1:29" x14ac:dyDescent="0.4">
      <c r="A27" s="2" t="s">
        <v>229</v>
      </c>
      <c r="B27" s="2" t="s">
        <v>151</v>
      </c>
      <c r="C27" s="2" t="s">
        <v>152</v>
      </c>
      <c r="D27" s="2" t="s">
        <v>275</v>
      </c>
      <c r="E27" s="2" t="s">
        <v>154</v>
      </c>
      <c r="F27" s="2" t="s">
        <v>276</v>
      </c>
      <c r="G27" s="2" t="s">
        <v>164</v>
      </c>
      <c r="H27" s="2" t="s">
        <v>277</v>
      </c>
      <c r="I27" s="2" t="s">
        <v>184</v>
      </c>
      <c r="K27" s="2" t="s">
        <v>87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732</v>
      </c>
      <c r="T27" s="2" t="s">
        <v>1</v>
      </c>
      <c r="U27" s="2" t="s">
        <v>1</v>
      </c>
      <c r="V27" s="2" t="s">
        <v>362</v>
      </c>
      <c r="W27" s="2" t="s">
        <v>1</v>
      </c>
      <c r="X27" s="2" t="s">
        <v>87</v>
      </c>
      <c r="Z27" s="2" t="s">
        <v>87</v>
      </c>
      <c r="AA27" s="2" t="s">
        <v>1</v>
      </c>
      <c r="AB27" s="2" t="s">
        <v>1</v>
      </c>
      <c r="AC27" s="2" t="s">
        <v>1</v>
      </c>
    </row>
    <row r="28" spans="1:29" x14ac:dyDescent="0.4">
      <c r="A28" s="2" t="s">
        <v>230</v>
      </c>
      <c r="B28" s="2" t="s">
        <v>151</v>
      </c>
      <c r="C28" s="2" t="s">
        <v>152</v>
      </c>
      <c r="D28" s="2" t="s">
        <v>279</v>
      </c>
      <c r="E28" s="2" t="s">
        <v>154</v>
      </c>
      <c r="F28" s="2" t="s">
        <v>280</v>
      </c>
      <c r="G28" s="2" t="s">
        <v>80</v>
      </c>
      <c r="H28" s="2" t="s">
        <v>281</v>
      </c>
      <c r="I28" s="2" t="s">
        <v>82</v>
      </c>
      <c r="K28" s="2" t="s">
        <v>87</v>
      </c>
      <c r="L28" s="2" t="s">
        <v>1</v>
      </c>
      <c r="M28" s="2" t="s">
        <v>1</v>
      </c>
      <c r="N28" s="2" t="s">
        <v>746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759</v>
      </c>
      <c r="T28" s="2" t="s">
        <v>1</v>
      </c>
      <c r="U28" s="2" t="s">
        <v>1</v>
      </c>
      <c r="V28" s="2" t="s">
        <v>362</v>
      </c>
      <c r="W28" s="2" t="s">
        <v>1</v>
      </c>
      <c r="X28" s="2" t="s">
        <v>87</v>
      </c>
      <c r="Z28" s="2" t="s">
        <v>87</v>
      </c>
      <c r="AA28" s="2" t="s">
        <v>1</v>
      </c>
      <c r="AB28" s="2" t="s">
        <v>1</v>
      </c>
      <c r="AC28" s="2" t="s">
        <v>46</v>
      </c>
    </row>
    <row r="29" spans="1:29" x14ac:dyDescent="0.4">
      <c r="A29" s="2" t="s">
        <v>213</v>
      </c>
      <c r="B29" s="2" t="s">
        <v>115</v>
      </c>
      <c r="C29" s="2" t="s">
        <v>179</v>
      </c>
      <c r="D29" s="2" t="s">
        <v>271</v>
      </c>
      <c r="E29" s="2" t="s">
        <v>181</v>
      </c>
      <c r="F29" s="2" t="s">
        <v>272</v>
      </c>
      <c r="G29" s="2" t="s">
        <v>164</v>
      </c>
      <c r="H29" s="2" t="s">
        <v>273</v>
      </c>
      <c r="I29" s="2" t="s">
        <v>184</v>
      </c>
      <c r="K29" s="2" t="s">
        <v>83</v>
      </c>
      <c r="L29" s="2" t="s">
        <v>579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579</v>
      </c>
      <c r="T29" s="2" t="s">
        <v>186</v>
      </c>
      <c r="U29" s="2" t="s">
        <v>1</v>
      </c>
      <c r="V29" s="2" t="s">
        <v>362</v>
      </c>
      <c r="W29" s="2" t="s">
        <v>1</v>
      </c>
      <c r="X29" s="2" t="s">
        <v>87</v>
      </c>
      <c r="Z29" s="2" t="s">
        <v>87</v>
      </c>
      <c r="AA29" s="2" t="s">
        <v>1</v>
      </c>
      <c r="AB29" s="2" t="s">
        <v>1</v>
      </c>
      <c r="AC29" s="2" t="s">
        <v>1</v>
      </c>
    </row>
    <row r="30" spans="1:29" x14ac:dyDescent="0.4">
      <c r="A30" s="2" t="s">
        <v>231</v>
      </c>
      <c r="B30" s="2" t="s">
        <v>151</v>
      </c>
      <c r="C30" s="2" t="s">
        <v>152</v>
      </c>
      <c r="D30" s="2" t="s">
        <v>283</v>
      </c>
      <c r="E30" s="2" t="s">
        <v>154</v>
      </c>
      <c r="F30" s="2" t="s">
        <v>284</v>
      </c>
      <c r="G30" s="2" t="s">
        <v>164</v>
      </c>
      <c r="H30" s="2" t="s">
        <v>285</v>
      </c>
      <c r="I30" s="2" t="s">
        <v>184</v>
      </c>
      <c r="K30" s="2" t="s">
        <v>87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734</v>
      </c>
      <c r="T30" s="2" t="s">
        <v>1</v>
      </c>
      <c r="U30" s="2" t="s">
        <v>1</v>
      </c>
      <c r="V30" s="2" t="s">
        <v>362</v>
      </c>
      <c r="W30" s="2" t="s">
        <v>1</v>
      </c>
      <c r="X30" s="2" t="s">
        <v>87</v>
      </c>
      <c r="Z30" s="2" t="s">
        <v>87</v>
      </c>
      <c r="AA30" s="2" t="s">
        <v>1</v>
      </c>
      <c r="AB30" s="2" t="s">
        <v>1</v>
      </c>
      <c r="AC30" s="2" t="s">
        <v>1</v>
      </c>
    </row>
    <row r="31" spans="1:29" x14ac:dyDescent="0.4">
      <c r="A31" s="2" t="s">
        <v>232</v>
      </c>
      <c r="B31" s="2" t="s">
        <v>151</v>
      </c>
      <c r="C31" s="2" t="s">
        <v>152</v>
      </c>
      <c r="D31" s="2" t="s">
        <v>287</v>
      </c>
      <c r="E31" s="2" t="s">
        <v>154</v>
      </c>
      <c r="F31" s="2" t="s">
        <v>288</v>
      </c>
      <c r="G31" s="2" t="s">
        <v>80</v>
      </c>
      <c r="H31" s="2" t="s">
        <v>289</v>
      </c>
      <c r="I31" s="2" t="s">
        <v>82</v>
      </c>
      <c r="K31" s="2" t="s">
        <v>87</v>
      </c>
      <c r="L31" s="2" t="s">
        <v>1</v>
      </c>
      <c r="M31" s="2" t="s">
        <v>1</v>
      </c>
      <c r="N31" s="2" t="s">
        <v>746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760</v>
      </c>
      <c r="T31" s="2" t="s">
        <v>1</v>
      </c>
      <c r="U31" s="2" t="s">
        <v>1</v>
      </c>
      <c r="V31" s="2" t="s">
        <v>362</v>
      </c>
      <c r="W31" s="2" t="s">
        <v>1</v>
      </c>
      <c r="X31" s="2" t="s">
        <v>87</v>
      </c>
      <c r="Z31" s="2" t="s">
        <v>87</v>
      </c>
      <c r="AA31" s="2" t="s">
        <v>1</v>
      </c>
      <c r="AB31" s="2" t="s">
        <v>1</v>
      </c>
      <c r="AC31" s="2" t="s">
        <v>46</v>
      </c>
    </row>
    <row r="32" spans="1:29" x14ac:dyDescent="0.4">
      <c r="A32" s="2" t="s">
        <v>233</v>
      </c>
      <c r="B32" s="2" t="s">
        <v>151</v>
      </c>
      <c r="C32" s="2" t="s">
        <v>152</v>
      </c>
      <c r="D32" s="2" t="s">
        <v>291</v>
      </c>
      <c r="E32" s="2" t="s">
        <v>154</v>
      </c>
      <c r="F32" s="2" t="s">
        <v>292</v>
      </c>
      <c r="G32" s="2" t="s">
        <v>164</v>
      </c>
      <c r="H32" s="2" t="s">
        <v>293</v>
      </c>
      <c r="I32" s="2" t="s">
        <v>184</v>
      </c>
      <c r="K32" s="2" t="s">
        <v>87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736</v>
      </c>
      <c r="T32" s="2" t="s">
        <v>1</v>
      </c>
      <c r="U32" s="2" t="s">
        <v>1</v>
      </c>
      <c r="V32" s="2" t="s">
        <v>362</v>
      </c>
      <c r="W32" s="2" t="s">
        <v>1</v>
      </c>
      <c r="X32" s="2" t="s">
        <v>87</v>
      </c>
      <c r="Z32" s="2" t="s">
        <v>87</v>
      </c>
      <c r="AA32" s="2" t="s">
        <v>1</v>
      </c>
      <c r="AB32" s="2" t="s">
        <v>1</v>
      </c>
      <c r="AC32" s="2" t="s">
        <v>1</v>
      </c>
    </row>
    <row r="33" spans="1:29" x14ac:dyDescent="0.4">
      <c r="A33" s="2" t="s">
        <v>230</v>
      </c>
      <c r="B33" s="2" t="s">
        <v>151</v>
      </c>
      <c r="C33" s="2" t="s">
        <v>152</v>
      </c>
      <c r="D33" s="2" t="s">
        <v>279</v>
      </c>
      <c r="E33" s="2" t="s">
        <v>154</v>
      </c>
      <c r="F33" s="2" t="s">
        <v>280</v>
      </c>
      <c r="G33" s="2" t="s">
        <v>80</v>
      </c>
      <c r="H33" s="2" t="s">
        <v>281</v>
      </c>
      <c r="I33" s="2" t="s">
        <v>82</v>
      </c>
      <c r="K33" s="2" t="s">
        <v>87</v>
      </c>
      <c r="L33" s="2" t="s">
        <v>1</v>
      </c>
      <c r="M33" s="2" t="s">
        <v>1</v>
      </c>
      <c r="N33" s="2" t="s">
        <v>746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761</v>
      </c>
      <c r="T33" s="2" t="s">
        <v>1</v>
      </c>
      <c r="U33" s="2" t="s">
        <v>1</v>
      </c>
      <c r="V33" s="2" t="s">
        <v>362</v>
      </c>
      <c r="W33" s="2" t="s">
        <v>1</v>
      </c>
      <c r="X33" s="2" t="s">
        <v>87</v>
      </c>
      <c r="Z33" s="2" t="s">
        <v>87</v>
      </c>
      <c r="AA33" s="2" t="s">
        <v>1</v>
      </c>
      <c r="AB33" s="2" t="s">
        <v>1</v>
      </c>
      <c r="AC33" s="2" t="s">
        <v>46</v>
      </c>
    </row>
    <row r="34" spans="1:29" x14ac:dyDescent="0.4">
      <c r="A34" s="2" t="s">
        <v>238</v>
      </c>
      <c r="B34" s="2" t="s">
        <v>115</v>
      </c>
      <c r="C34" s="2" t="s">
        <v>296</v>
      </c>
      <c r="D34" s="2" t="s">
        <v>297</v>
      </c>
      <c r="E34" s="2" t="s">
        <v>298</v>
      </c>
      <c r="F34" s="2" t="s">
        <v>299</v>
      </c>
      <c r="G34" s="2" t="s">
        <v>80</v>
      </c>
      <c r="H34" s="2" t="s">
        <v>300</v>
      </c>
      <c r="I34" s="2" t="s">
        <v>82</v>
      </c>
      <c r="K34" s="2" t="s">
        <v>87</v>
      </c>
      <c r="L34" s="2" t="s">
        <v>1</v>
      </c>
      <c r="M34" s="2" t="s">
        <v>1</v>
      </c>
      <c r="N34" s="2" t="s">
        <v>567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621</v>
      </c>
      <c r="T34" s="2" t="s">
        <v>1</v>
      </c>
      <c r="U34" s="2" t="s">
        <v>1</v>
      </c>
      <c r="V34" s="2" t="s">
        <v>362</v>
      </c>
      <c r="W34" s="2" t="s">
        <v>1</v>
      </c>
      <c r="X34" s="2" t="s">
        <v>87</v>
      </c>
      <c r="Z34" s="2" t="s">
        <v>87</v>
      </c>
      <c r="AA34" s="2" t="s">
        <v>1</v>
      </c>
      <c r="AB34" s="2" t="s">
        <v>1</v>
      </c>
      <c r="AC34" s="2" t="s">
        <v>46</v>
      </c>
    </row>
    <row r="35" spans="1:29" x14ac:dyDescent="0.4">
      <c r="A35" s="2" t="s">
        <v>234</v>
      </c>
      <c r="B35" s="2" t="s">
        <v>151</v>
      </c>
      <c r="C35" s="2" t="s">
        <v>302</v>
      </c>
      <c r="D35" s="2" t="s">
        <v>303</v>
      </c>
      <c r="E35" s="2" t="s">
        <v>304</v>
      </c>
      <c r="F35" s="2" t="s">
        <v>305</v>
      </c>
      <c r="G35" s="2" t="s">
        <v>140</v>
      </c>
      <c r="H35" s="2" t="s">
        <v>556</v>
      </c>
      <c r="I35" s="2" t="s">
        <v>141</v>
      </c>
      <c r="K35" s="2" t="s">
        <v>87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762</v>
      </c>
      <c r="T35" s="2" t="s">
        <v>1</v>
      </c>
      <c r="U35" s="2" t="s">
        <v>1</v>
      </c>
      <c r="V35" s="2" t="s">
        <v>362</v>
      </c>
      <c r="W35" s="2" t="s">
        <v>1</v>
      </c>
      <c r="X35" s="2" t="s">
        <v>87</v>
      </c>
      <c r="Z35" s="2" t="s">
        <v>87</v>
      </c>
      <c r="AA35" s="2" t="s">
        <v>1</v>
      </c>
      <c r="AB35" s="2" t="s">
        <v>1</v>
      </c>
      <c r="AC35" s="2" t="s">
        <v>1</v>
      </c>
    </row>
    <row r="36" spans="1:29" x14ac:dyDescent="0.4">
      <c r="A36" s="2" t="s">
        <v>235</v>
      </c>
      <c r="B36" s="2" t="s">
        <v>151</v>
      </c>
      <c r="C36" s="2" t="s">
        <v>314</v>
      </c>
      <c r="D36" s="2" t="s">
        <v>315</v>
      </c>
      <c r="E36" s="2" t="s">
        <v>124</v>
      </c>
      <c r="F36" s="2" t="s">
        <v>316</v>
      </c>
      <c r="G36" s="2" t="s">
        <v>80</v>
      </c>
      <c r="H36" s="2" t="s">
        <v>317</v>
      </c>
      <c r="I36" s="2" t="s">
        <v>82</v>
      </c>
      <c r="J36" s="2" t="s">
        <v>810</v>
      </c>
      <c r="K36" s="2" t="s">
        <v>87</v>
      </c>
      <c r="L36" s="2" t="s">
        <v>1</v>
      </c>
      <c r="M36" s="2" t="s">
        <v>1</v>
      </c>
      <c r="N36" s="2" t="s">
        <v>753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763</v>
      </c>
      <c r="T36" s="2" t="s">
        <v>1</v>
      </c>
      <c r="U36" s="2" t="s">
        <v>1</v>
      </c>
      <c r="V36" s="2" t="s">
        <v>362</v>
      </c>
      <c r="W36" s="2" t="s">
        <v>1</v>
      </c>
      <c r="X36" s="2" t="s">
        <v>87</v>
      </c>
      <c r="Z36" s="2" t="s">
        <v>87</v>
      </c>
      <c r="AA36" s="2" t="s">
        <v>1</v>
      </c>
      <c r="AB36" s="2" t="s">
        <v>1</v>
      </c>
      <c r="AC36" s="2" t="s">
        <v>46</v>
      </c>
    </row>
    <row r="37" spans="1:29" x14ac:dyDescent="0.4">
      <c r="A37" s="2" t="s">
        <v>237</v>
      </c>
      <c r="B37" s="2" t="s">
        <v>151</v>
      </c>
      <c r="C37" s="2" t="s">
        <v>152</v>
      </c>
      <c r="D37" s="2" t="s">
        <v>319</v>
      </c>
      <c r="E37" s="2" t="s">
        <v>124</v>
      </c>
      <c r="F37" s="2" t="s">
        <v>320</v>
      </c>
      <c r="G37" s="2" t="s">
        <v>80</v>
      </c>
      <c r="H37" s="2" t="s">
        <v>321</v>
      </c>
      <c r="I37" s="2" t="s">
        <v>82</v>
      </c>
      <c r="K37" s="2" t="s">
        <v>87</v>
      </c>
      <c r="L37" s="2" t="s">
        <v>1</v>
      </c>
      <c r="M37" s="2" t="s">
        <v>1</v>
      </c>
      <c r="N37" s="2" t="s">
        <v>753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764</v>
      </c>
      <c r="T37" s="2" t="s">
        <v>1</v>
      </c>
      <c r="U37" s="2" t="s">
        <v>1</v>
      </c>
      <c r="V37" s="2" t="s">
        <v>362</v>
      </c>
      <c r="W37" s="2" t="s">
        <v>1</v>
      </c>
      <c r="X37" s="2" t="s">
        <v>87</v>
      </c>
      <c r="Z37" s="2" t="s">
        <v>87</v>
      </c>
      <c r="AA37" s="2" t="s">
        <v>1</v>
      </c>
      <c r="AB37" s="2" t="s">
        <v>1</v>
      </c>
      <c r="AC37" s="2" t="s">
        <v>46</v>
      </c>
    </row>
    <row r="38" spans="1:29" x14ac:dyDescent="0.4">
      <c r="A38" s="2" t="s">
        <v>239</v>
      </c>
      <c r="B38" s="2" t="s">
        <v>115</v>
      </c>
      <c r="C38" s="2" t="s">
        <v>307</v>
      </c>
      <c r="D38" s="2" t="s">
        <v>308</v>
      </c>
      <c r="E38" s="2" t="s">
        <v>309</v>
      </c>
      <c r="F38" s="2" t="s">
        <v>310</v>
      </c>
      <c r="G38" s="2" t="s">
        <v>80</v>
      </c>
      <c r="H38" s="2" t="s">
        <v>311</v>
      </c>
      <c r="I38" s="2" t="s">
        <v>82</v>
      </c>
      <c r="K38" s="2" t="s">
        <v>83</v>
      </c>
      <c r="L38" s="2" t="s">
        <v>765</v>
      </c>
      <c r="M38" s="2" t="s">
        <v>46</v>
      </c>
      <c r="N38" s="2" t="s">
        <v>1</v>
      </c>
      <c r="O38" s="2" t="s">
        <v>1</v>
      </c>
      <c r="P38" s="2" t="s">
        <v>626</v>
      </c>
      <c r="Q38" s="2" t="s">
        <v>1</v>
      </c>
      <c r="R38" s="2" t="s">
        <v>1</v>
      </c>
      <c r="S38" s="2" t="s">
        <v>766</v>
      </c>
      <c r="T38" s="2" t="s">
        <v>313</v>
      </c>
      <c r="U38" s="2" t="s">
        <v>1</v>
      </c>
      <c r="V38" s="2" t="s">
        <v>362</v>
      </c>
      <c r="W38" s="2" t="s">
        <v>1</v>
      </c>
      <c r="X38" s="2" t="s">
        <v>87</v>
      </c>
      <c r="Z38" s="2" t="s">
        <v>87</v>
      </c>
      <c r="AA38" s="2" t="s">
        <v>1</v>
      </c>
      <c r="AB38" s="2" t="s">
        <v>1</v>
      </c>
      <c r="AC38" s="2" t="s">
        <v>1</v>
      </c>
    </row>
    <row r="39" spans="1:29" x14ac:dyDescent="0.4">
      <c r="A39" s="2" t="s">
        <v>529</v>
      </c>
      <c r="B39" s="2" t="s">
        <v>115</v>
      </c>
      <c r="C39" s="2" t="s">
        <v>307</v>
      </c>
      <c r="D39" s="2" t="s">
        <v>531</v>
      </c>
      <c r="E39" s="2" t="s">
        <v>309</v>
      </c>
      <c r="F39" s="2" t="s">
        <v>532</v>
      </c>
      <c r="G39" s="2" t="s">
        <v>80</v>
      </c>
      <c r="H39" s="2" t="s">
        <v>533</v>
      </c>
      <c r="I39" s="2" t="s">
        <v>82</v>
      </c>
      <c r="J39" s="2" t="s">
        <v>811</v>
      </c>
      <c r="K39" s="2" t="s">
        <v>83</v>
      </c>
      <c r="L39" s="2" t="s">
        <v>767</v>
      </c>
      <c r="M39" s="2" t="s">
        <v>46</v>
      </c>
      <c r="N39" s="2" t="s">
        <v>1</v>
      </c>
      <c r="O39" s="2" t="s">
        <v>1</v>
      </c>
      <c r="P39" s="2" t="s">
        <v>626</v>
      </c>
      <c r="Q39" s="2" t="s">
        <v>1</v>
      </c>
      <c r="R39" s="2" t="s">
        <v>1</v>
      </c>
      <c r="S39" s="2" t="s">
        <v>625</v>
      </c>
      <c r="T39" s="2" t="s">
        <v>313</v>
      </c>
      <c r="U39" s="2" t="s">
        <v>1</v>
      </c>
      <c r="V39" s="2" t="s">
        <v>362</v>
      </c>
      <c r="W39" s="2" t="s">
        <v>1</v>
      </c>
      <c r="X39" s="2" t="s">
        <v>87</v>
      </c>
      <c r="Z39" s="2" t="s">
        <v>87</v>
      </c>
      <c r="AA39" s="2" t="s">
        <v>1</v>
      </c>
      <c r="AB39" s="2" t="s">
        <v>1</v>
      </c>
      <c r="AC39" s="2" t="s">
        <v>1</v>
      </c>
    </row>
    <row r="40" spans="1:29" x14ac:dyDescent="0.4">
      <c r="A40" s="2" t="s">
        <v>820</v>
      </c>
      <c r="B40" s="2" t="s">
        <v>115</v>
      </c>
      <c r="C40" s="2" t="s">
        <v>822</v>
      </c>
      <c r="D40" s="2" t="s">
        <v>823</v>
      </c>
      <c r="E40" s="2" t="s">
        <v>824</v>
      </c>
      <c r="F40" s="2" t="s">
        <v>825</v>
      </c>
      <c r="G40" s="2" t="s">
        <v>164</v>
      </c>
      <c r="H40" s="2" t="s">
        <v>826</v>
      </c>
      <c r="I40" s="2" t="s">
        <v>2</v>
      </c>
      <c r="K40" s="2" t="s">
        <v>87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768</v>
      </c>
      <c r="T40" s="2" t="s">
        <v>1</v>
      </c>
      <c r="U40" s="2" t="s">
        <v>1</v>
      </c>
      <c r="V40" s="2" t="s">
        <v>362</v>
      </c>
      <c r="W40" s="2" t="s">
        <v>1</v>
      </c>
      <c r="X40" s="2" t="s">
        <v>87</v>
      </c>
      <c r="Z40" s="2" t="s">
        <v>87</v>
      </c>
      <c r="AA40" s="2" t="s">
        <v>1</v>
      </c>
      <c r="AB40" s="2" t="s">
        <v>1</v>
      </c>
      <c r="AC40" s="2" t="s">
        <v>1</v>
      </c>
    </row>
    <row r="41" spans="1:29" x14ac:dyDescent="0.4">
      <c r="A41" s="2" t="s">
        <v>352</v>
      </c>
      <c r="B41" s="2" t="s">
        <v>151</v>
      </c>
      <c r="C41" s="2" t="s">
        <v>371</v>
      </c>
      <c r="D41" s="2" t="s">
        <v>372</v>
      </c>
      <c r="E41" s="2" t="s">
        <v>85</v>
      </c>
      <c r="F41" s="2" t="s">
        <v>373</v>
      </c>
      <c r="G41" s="2" t="s">
        <v>140</v>
      </c>
      <c r="H41" s="2" t="s">
        <v>629</v>
      </c>
      <c r="I41" s="2" t="s">
        <v>141</v>
      </c>
      <c r="K41" s="2" t="s">
        <v>83</v>
      </c>
      <c r="L41" s="2" t="s">
        <v>630</v>
      </c>
      <c r="M41" s="2" t="s">
        <v>46</v>
      </c>
      <c r="N41" s="2" t="s">
        <v>1</v>
      </c>
      <c r="O41" s="2" t="s">
        <v>374</v>
      </c>
      <c r="P41" s="2" t="s">
        <v>375</v>
      </c>
      <c r="Q41" s="2" t="s">
        <v>1</v>
      </c>
      <c r="R41" s="2" t="s">
        <v>1</v>
      </c>
      <c r="S41" s="2" t="s">
        <v>631</v>
      </c>
      <c r="T41" s="2" t="s">
        <v>377</v>
      </c>
      <c r="U41" s="2" t="s">
        <v>1</v>
      </c>
      <c r="V41" s="2" t="s">
        <v>362</v>
      </c>
      <c r="W41" s="2" t="s">
        <v>1</v>
      </c>
      <c r="X41" s="2" t="s">
        <v>87</v>
      </c>
      <c r="Z41" s="2" t="s">
        <v>87</v>
      </c>
      <c r="AA41" s="2" t="s">
        <v>1</v>
      </c>
      <c r="AB41" s="2" t="s">
        <v>1</v>
      </c>
      <c r="AC41" s="2" t="s">
        <v>1</v>
      </c>
    </row>
    <row r="42" spans="1:29" x14ac:dyDescent="0.4">
      <c r="A42" s="2" t="s">
        <v>354</v>
      </c>
      <c r="B42" s="2" t="s">
        <v>151</v>
      </c>
      <c r="C42" s="2" t="s">
        <v>302</v>
      </c>
      <c r="D42" s="2" t="s">
        <v>363</v>
      </c>
      <c r="E42" s="2" t="s">
        <v>304</v>
      </c>
      <c r="F42" s="2" t="s">
        <v>364</v>
      </c>
      <c r="G42" s="2" t="s">
        <v>365</v>
      </c>
      <c r="H42" s="2" t="s">
        <v>366</v>
      </c>
      <c r="I42" s="2" t="s">
        <v>82</v>
      </c>
      <c r="K42" s="2" t="s">
        <v>87</v>
      </c>
      <c r="L42" s="2" t="s">
        <v>1</v>
      </c>
      <c r="M42" s="2" t="s">
        <v>1</v>
      </c>
      <c r="N42" s="2" t="s">
        <v>1</v>
      </c>
      <c r="O42" s="2" t="s">
        <v>367</v>
      </c>
      <c r="P42" s="2" t="s">
        <v>368</v>
      </c>
      <c r="Q42" s="2" t="s">
        <v>1</v>
      </c>
      <c r="R42" s="2" t="s">
        <v>1</v>
      </c>
      <c r="S42" s="2" t="s">
        <v>707</v>
      </c>
      <c r="T42" s="2" t="s">
        <v>1</v>
      </c>
      <c r="U42" s="2" t="s">
        <v>1</v>
      </c>
      <c r="V42" s="2" t="s">
        <v>362</v>
      </c>
      <c r="W42" s="2" t="s">
        <v>1</v>
      </c>
      <c r="X42" s="2" t="s">
        <v>87</v>
      </c>
      <c r="Z42" s="2" t="s">
        <v>87</v>
      </c>
      <c r="AA42" s="2" t="s">
        <v>1</v>
      </c>
      <c r="AB42" s="2" t="s">
        <v>370</v>
      </c>
      <c r="AC42" s="2" t="s">
        <v>1</v>
      </c>
    </row>
    <row r="43" spans="1:29" x14ac:dyDescent="0.4">
      <c r="A43" s="2" t="s">
        <v>351</v>
      </c>
      <c r="B43" s="2" t="s">
        <v>151</v>
      </c>
      <c r="C43" s="2" t="s">
        <v>371</v>
      </c>
      <c r="D43" s="2" t="s">
        <v>378</v>
      </c>
      <c r="E43" s="2" t="s">
        <v>85</v>
      </c>
      <c r="F43" s="2" t="s">
        <v>379</v>
      </c>
      <c r="G43" s="2" t="s">
        <v>80</v>
      </c>
      <c r="H43" s="2" t="s">
        <v>380</v>
      </c>
      <c r="I43" s="2" t="s">
        <v>82</v>
      </c>
      <c r="K43" s="2" t="s">
        <v>83</v>
      </c>
      <c r="L43" s="2" t="s">
        <v>633</v>
      </c>
      <c r="M43" s="2" t="s">
        <v>46</v>
      </c>
      <c r="N43" s="2" t="s">
        <v>1</v>
      </c>
      <c r="O43" s="2" t="s">
        <v>374</v>
      </c>
      <c r="P43" s="2" t="s">
        <v>375</v>
      </c>
      <c r="Q43" s="2" t="s">
        <v>1</v>
      </c>
      <c r="R43" s="2" t="s">
        <v>1</v>
      </c>
      <c r="S43" s="2" t="s">
        <v>634</v>
      </c>
      <c r="T43" s="2" t="s">
        <v>377</v>
      </c>
      <c r="U43" s="2" t="s">
        <v>1</v>
      </c>
      <c r="V43" s="2" t="s">
        <v>362</v>
      </c>
      <c r="W43" s="2" t="s">
        <v>1</v>
      </c>
      <c r="X43" s="2" t="s">
        <v>87</v>
      </c>
      <c r="Z43" s="2" t="s">
        <v>87</v>
      </c>
      <c r="AA43" s="2" t="s">
        <v>1</v>
      </c>
      <c r="AB43" s="2" t="s">
        <v>1</v>
      </c>
      <c r="AC43" s="2" t="s">
        <v>1</v>
      </c>
    </row>
    <row r="44" spans="1:29" x14ac:dyDescent="0.4">
      <c r="A44" s="2" t="s">
        <v>353</v>
      </c>
      <c r="B44" s="2" t="s">
        <v>151</v>
      </c>
      <c r="C44" s="2" t="s">
        <v>371</v>
      </c>
      <c r="D44" s="2" t="s">
        <v>382</v>
      </c>
      <c r="E44" s="2" t="s">
        <v>85</v>
      </c>
      <c r="F44" s="2" t="s">
        <v>383</v>
      </c>
      <c r="G44" s="2" t="s">
        <v>164</v>
      </c>
      <c r="H44" s="2" t="s">
        <v>46</v>
      </c>
      <c r="I44" s="2" t="s">
        <v>2</v>
      </c>
      <c r="K44" s="2" t="s">
        <v>83</v>
      </c>
      <c r="L44" s="2" t="s">
        <v>635</v>
      </c>
      <c r="M44" s="2" t="s">
        <v>1</v>
      </c>
      <c r="N44" s="2" t="s">
        <v>1</v>
      </c>
      <c r="O44" s="2" t="s">
        <v>374</v>
      </c>
      <c r="P44" s="2" t="s">
        <v>375</v>
      </c>
      <c r="Q44" s="2" t="s">
        <v>1</v>
      </c>
      <c r="R44" s="2" t="s">
        <v>1</v>
      </c>
      <c r="S44" s="2" t="s">
        <v>591</v>
      </c>
      <c r="T44" s="2" t="s">
        <v>377</v>
      </c>
      <c r="U44" s="2" t="s">
        <v>1</v>
      </c>
      <c r="V44" s="2" t="s">
        <v>384</v>
      </c>
      <c r="W44" s="2" t="s">
        <v>1</v>
      </c>
      <c r="X44" s="2" t="s">
        <v>87</v>
      </c>
      <c r="Z44" s="2" t="s">
        <v>87</v>
      </c>
      <c r="AA44" s="2" t="s">
        <v>1</v>
      </c>
      <c r="AB44" s="2" t="s">
        <v>1</v>
      </c>
      <c r="AC44" s="2" t="s">
        <v>1</v>
      </c>
    </row>
    <row r="45" spans="1:29" x14ac:dyDescent="0.4">
      <c r="A45" s="2" t="s">
        <v>355</v>
      </c>
      <c r="B45" s="2" t="s">
        <v>385</v>
      </c>
      <c r="C45" s="2" t="s">
        <v>386</v>
      </c>
      <c r="D45" s="2" t="s">
        <v>387</v>
      </c>
      <c r="E45" s="2" t="s">
        <v>1</v>
      </c>
      <c r="F45" s="2" t="s">
        <v>388</v>
      </c>
      <c r="G45" s="2" t="s">
        <v>140</v>
      </c>
      <c r="H45" s="2" t="s">
        <v>556</v>
      </c>
      <c r="I45" s="2" t="s">
        <v>141</v>
      </c>
      <c r="K45" s="2" t="s">
        <v>87</v>
      </c>
      <c r="L45" s="2" t="s">
        <v>1</v>
      </c>
      <c r="M45" s="2" t="s">
        <v>1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769</v>
      </c>
      <c r="T45" s="2" t="s">
        <v>1</v>
      </c>
      <c r="U45" s="2" t="s">
        <v>1</v>
      </c>
      <c r="V45" s="2" t="s">
        <v>362</v>
      </c>
      <c r="W45" s="2" t="s">
        <v>1</v>
      </c>
      <c r="X45" s="2" t="s">
        <v>87</v>
      </c>
      <c r="Z45" s="2" t="s">
        <v>87</v>
      </c>
      <c r="AA45" s="2" t="s">
        <v>1</v>
      </c>
      <c r="AB45" s="2" t="s">
        <v>1</v>
      </c>
      <c r="AC45" s="2" t="s">
        <v>1</v>
      </c>
    </row>
    <row r="46" spans="1:29" x14ac:dyDescent="0.4">
      <c r="A46" s="2" t="s">
        <v>356</v>
      </c>
      <c r="B46" s="2" t="s">
        <v>385</v>
      </c>
      <c r="C46" s="2" t="s">
        <v>386</v>
      </c>
      <c r="D46" s="2" t="s">
        <v>390</v>
      </c>
      <c r="E46" s="2" t="s">
        <v>1</v>
      </c>
      <c r="F46" s="2" t="s">
        <v>391</v>
      </c>
      <c r="G46" s="2" t="s">
        <v>80</v>
      </c>
      <c r="H46" s="2" t="s">
        <v>392</v>
      </c>
      <c r="I46" s="2" t="s">
        <v>82</v>
      </c>
      <c r="K46" s="2" t="s">
        <v>87</v>
      </c>
      <c r="L46" s="2" t="s">
        <v>1</v>
      </c>
      <c r="M46" s="2" t="s">
        <v>1</v>
      </c>
      <c r="N46" s="2" t="s">
        <v>748</v>
      </c>
      <c r="O46" s="2" t="s">
        <v>1</v>
      </c>
      <c r="P46" s="2" t="s">
        <v>1</v>
      </c>
      <c r="Q46" s="2" t="s">
        <v>1</v>
      </c>
      <c r="R46" s="2" t="s">
        <v>1</v>
      </c>
      <c r="S46" s="2" t="s">
        <v>770</v>
      </c>
      <c r="T46" s="2" t="s">
        <v>1</v>
      </c>
      <c r="U46" s="2" t="s">
        <v>1</v>
      </c>
      <c r="V46" s="2" t="s">
        <v>362</v>
      </c>
      <c r="W46" s="2" t="s">
        <v>1</v>
      </c>
      <c r="X46" s="2" t="s">
        <v>87</v>
      </c>
      <c r="Z46" s="2" t="s">
        <v>87</v>
      </c>
      <c r="AA46" s="2" t="s">
        <v>1</v>
      </c>
      <c r="AB46" s="2" t="s">
        <v>1</v>
      </c>
      <c r="AC46" s="2" t="s">
        <v>46</v>
      </c>
    </row>
    <row r="47" spans="1:29" x14ac:dyDescent="0.4">
      <c r="A47" s="2" t="s">
        <v>412</v>
      </c>
      <c r="B47" s="2" t="s">
        <v>418</v>
      </c>
      <c r="C47" s="2" t="s">
        <v>419</v>
      </c>
      <c r="D47" s="2" t="s">
        <v>420</v>
      </c>
      <c r="E47" s="2" t="s">
        <v>421</v>
      </c>
      <c r="F47" s="2" t="s">
        <v>251</v>
      </c>
      <c r="G47" s="2" t="s">
        <v>80</v>
      </c>
      <c r="H47" s="2" t="s">
        <v>422</v>
      </c>
      <c r="I47" s="2" t="s">
        <v>82</v>
      </c>
      <c r="K47" s="2" t="s">
        <v>87</v>
      </c>
      <c r="L47" s="2" t="s">
        <v>1</v>
      </c>
      <c r="M47" s="2" t="s">
        <v>46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  <c r="S47" s="2" t="s">
        <v>710</v>
      </c>
      <c r="T47" s="2" t="s">
        <v>1</v>
      </c>
      <c r="U47" s="2" t="s">
        <v>1</v>
      </c>
      <c r="V47" s="2" t="s">
        <v>362</v>
      </c>
      <c r="W47" s="2" t="s">
        <v>1</v>
      </c>
      <c r="X47" s="2" t="s">
        <v>87</v>
      </c>
      <c r="Z47" s="2" t="s">
        <v>87</v>
      </c>
      <c r="AA47" s="2" t="s">
        <v>1</v>
      </c>
      <c r="AB47" s="2" t="s">
        <v>1</v>
      </c>
      <c r="AC47" s="2" t="s">
        <v>1</v>
      </c>
    </row>
    <row r="48" spans="1:29" x14ac:dyDescent="0.4">
      <c r="A48" s="2" t="s">
        <v>413</v>
      </c>
      <c r="B48" s="2" t="s">
        <v>418</v>
      </c>
      <c r="C48" s="2" t="s">
        <v>419</v>
      </c>
      <c r="D48" s="2" t="s">
        <v>147</v>
      </c>
      <c r="E48" s="2" t="s">
        <v>421</v>
      </c>
      <c r="F48" s="2" t="s">
        <v>424</v>
      </c>
      <c r="G48" s="2" t="s">
        <v>80</v>
      </c>
      <c r="H48" s="2" t="s">
        <v>425</v>
      </c>
      <c r="I48" s="2" t="s">
        <v>82</v>
      </c>
      <c r="K48" s="2" t="s">
        <v>87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</v>
      </c>
      <c r="S48" s="2" t="s">
        <v>712</v>
      </c>
      <c r="T48" s="2" t="s">
        <v>1</v>
      </c>
      <c r="U48" s="2" t="s">
        <v>1</v>
      </c>
      <c r="V48" s="2" t="s">
        <v>362</v>
      </c>
      <c r="W48" s="2" t="s">
        <v>1</v>
      </c>
      <c r="X48" s="2" t="s">
        <v>87</v>
      </c>
      <c r="Z48" s="2" t="s">
        <v>87</v>
      </c>
      <c r="AA48" s="2" t="s">
        <v>1</v>
      </c>
      <c r="AB48" s="2" t="s">
        <v>427</v>
      </c>
      <c r="AC48" s="2" t="s">
        <v>46</v>
      </c>
    </row>
    <row r="49" spans="1:29" x14ac:dyDescent="0.4">
      <c r="A49" s="2" t="s">
        <v>414</v>
      </c>
      <c r="B49" s="2" t="s">
        <v>418</v>
      </c>
      <c r="C49" s="2" t="s">
        <v>419</v>
      </c>
      <c r="D49" s="2" t="s">
        <v>134</v>
      </c>
      <c r="E49" s="2" t="s">
        <v>421</v>
      </c>
      <c r="F49" s="2" t="s">
        <v>428</v>
      </c>
      <c r="G49" s="2" t="s">
        <v>80</v>
      </c>
      <c r="H49" s="2" t="s">
        <v>429</v>
      </c>
      <c r="I49" s="2" t="s">
        <v>82</v>
      </c>
      <c r="K49" s="2" t="s">
        <v>87</v>
      </c>
      <c r="L49" s="2" t="s">
        <v>1</v>
      </c>
      <c r="M49" s="2" t="s">
        <v>46</v>
      </c>
      <c r="N49" s="2" t="s">
        <v>1</v>
      </c>
      <c r="O49" s="2" t="s">
        <v>1</v>
      </c>
      <c r="P49" s="2" t="s">
        <v>1</v>
      </c>
      <c r="Q49" s="2" t="s">
        <v>1</v>
      </c>
      <c r="R49" s="2" t="s">
        <v>1</v>
      </c>
      <c r="S49" s="2" t="s">
        <v>771</v>
      </c>
      <c r="T49" s="2" t="s">
        <v>1</v>
      </c>
      <c r="U49" s="2" t="s">
        <v>1</v>
      </c>
      <c r="V49" s="2" t="s">
        <v>362</v>
      </c>
      <c r="W49" s="2" t="s">
        <v>1</v>
      </c>
      <c r="X49" s="2" t="s">
        <v>87</v>
      </c>
      <c r="Z49" s="2" t="s">
        <v>87</v>
      </c>
      <c r="AA49" s="2" t="s">
        <v>1</v>
      </c>
      <c r="AB49" s="2" t="s">
        <v>427</v>
      </c>
      <c r="AC49" s="2" t="s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3E24-12E8-4C69-99B4-1262A4E20A6F}">
  <dimension ref="A1:C54"/>
  <sheetViews>
    <sheetView workbookViewId="0"/>
  </sheetViews>
  <sheetFormatPr defaultRowHeight="18.75" x14ac:dyDescent="0.4"/>
  <sheetData>
    <row r="1" spans="1:1" x14ac:dyDescent="0.4">
      <c r="A1" s="2" t="s">
        <v>0</v>
      </c>
    </row>
    <row r="2" spans="1:1" x14ac:dyDescent="0.4">
      <c r="A2" s="2" t="s">
        <v>207</v>
      </c>
    </row>
    <row r="3" spans="1:1" x14ac:dyDescent="0.4">
      <c r="A3" s="2" t="s">
        <v>46</v>
      </c>
    </row>
    <row r="11" spans="1:1" x14ac:dyDescent="0.4">
      <c r="A11" s="2" t="s">
        <v>591</v>
      </c>
    </row>
    <row r="12" spans="1:1" x14ac:dyDescent="0.4">
      <c r="A12" s="2" t="s">
        <v>114</v>
      </c>
    </row>
    <row r="13" spans="1:1" x14ac:dyDescent="0.4">
      <c r="A13" s="2" t="s">
        <v>46</v>
      </c>
    </row>
    <row r="14" spans="1:1" x14ac:dyDescent="0.4">
      <c r="A14" s="2" t="s">
        <v>358</v>
      </c>
    </row>
    <row r="15" spans="1:1" x14ac:dyDescent="0.4">
      <c r="A15" s="2" t="s">
        <v>85</v>
      </c>
    </row>
    <row r="16" spans="1:1" x14ac:dyDescent="0.4">
      <c r="A16" s="2" t="s">
        <v>2</v>
      </c>
    </row>
    <row r="17" spans="1:3" x14ac:dyDescent="0.4">
      <c r="A17" s="2" t="s">
        <v>2</v>
      </c>
    </row>
    <row r="18" spans="1:3" x14ac:dyDescent="0.4">
      <c r="A18" s="2" t="s">
        <v>46</v>
      </c>
    </row>
    <row r="19" spans="1:3" x14ac:dyDescent="0.4">
      <c r="A19" s="2" t="s">
        <v>47</v>
      </c>
    </row>
    <row r="20" spans="1:3" x14ac:dyDescent="0.4">
      <c r="A20" s="2" t="s">
        <v>1</v>
      </c>
    </row>
    <row r="31" spans="1:3" x14ac:dyDescent="0.4">
      <c r="A31" s="2" t="s">
        <v>373</v>
      </c>
      <c r="B31" s="2" t="s">
        <v>631</v>
      </c>
      <c r="C31" s="2" t="s">
        <v>2</v>
      </c>
    </row>
    <row r="32" spans="1:3" x14ac:dyDescent="0.4">
      <c r="A32" s="2" t="s">
        <v>379</v>
      </c>
      <c r="B32" s="2" t="s">
        <v>634</v>
      </c>
      <c r="C32" s="2"/>
    </row>
    <row r="33" spans="1:3" x14ac:dyDescent="0.4">
      <c r="A33" s="2" t="s">
        <v>512</v>
      </c>
      <c r="B33" s="2"/>
      <c r="C33" s="2"/>
    </row>
    <row r="34" spans="1:3" x14ac:dyDescent="0.4">
      <c r="A34" s="2" t="s">
        <v>409</v>
      </c>
      <c r="B34" s="2"/>
      <c r="C34" s="2"/>
    </row>
    <row r="35" spans="1:3" x14ac:dyDescent="0.4">
      <c r="A35" s="2" t="s">
        <v>1</v>
      </c>
      <c r="B35" s="2"/>
      <c r="C35" s="2"/>
    </row>
    <row r="36" spans="1:3" x14ac:dyDescent="0.4">
      <c r="A36" s="2" t="s">
        <v>2</v>
      </c>
      <c r="B36" s="2"/>
      <c r="C36" s="2"/>
    </row>
    <row r="37" spans="1:3" x14ac:dyDescent="0.4">
      <c r="A37" s="2" t="s">
        <v>2</v>
      </c>
      <c r="B37" s="2"/>
      <c r="C37" s="2"/>
    </row>
    <row r="38" spans="1:3" x14ac:dyDescent="0.4">
      <c r="A38" s="2" t="s">
        <v>1</v>
      </c>
      <c r="B38" s="2"/>
      <c r="C38" s="2"/>
    </row>
    <row r="39" spans="1:3" x14ac:dyDescent="0.4">
      <c r="A39" t="s">
        <v>551</v>
      </c>
    </row>
    <row r="51" spans="1:1" x14ac:dyDescent="0.4">
      <c r="A51" s="2" t="s">
        <v>831</v>
      </c>
    </row>
    <row r="52" spans="1:1" x14ac:dyDescent="0.4">
      <c r="A52" s="2" t="s">
        <v>1</v>
      </c>
    </row>
    <row r="53" spans="1:1" x14ac:dyDescent="0.4">
      <c r="A53" s="2" t="s">
        <v>1</v>
      </c>
    </row>
    <row r="54" spans="1:1" x14ac:dyDescent="0.4">
      <c r="A54" s="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CD86-C044-49F1-A587-AF327A046893}">
  <dimension ref="A1:AL62"/>
  <sheetViews>
    <sheetView tabSelected="1" view="pageBreakPreview" topLeftCell="A2" zoomScaleNormal="100" zoomScaleSheetLayoutView="100" workbookViewId="0">
      <selection activeCell="AO30" sqref="AO30"/>
    </sheetView>
  </sheetViews>
  <sheetFormatPr defaultColWidth="4.75" defaultRowHeight="18.75" x14ac:dyDescent="0.4"/>
  <cols>
    <col min="1" max="1" width="1.625" style="5" customWidth="1"/>
    <col min="2" max="2" width="0.875" style="5" customWidth="1"/>
    <col min="3" max="4" width="4.375" style="5" customWidth="1"/>
    <col min="5" max="5" width="2" style="5" customWidth="1"/>
    <col min="6" max="9" width="3.625" style="5" customWidth="1"/>
    <col min="10" max="10" width="1" style="5" customWidth="1"/>
    <col min="11" max="13" width="4.625" style="5" customWidth="1"/>
    <col min="14" max="15" width="2.25" style="5" customWidth="1"/>
    <col min="16" max="16" width="4.625" style="5" customWidth="1"/>
    <col min="17" max="17" width="0.25" style="5" customWidth="1"/>
    <col min="18" max="18" width="0.5" style="5" customWidth="1"/>
    <col min="19" max="19" width="1.625" style="5" customWidth="1"/>
    <col min="20" max="20" width="1.5" style="5" customWidth="1"/>
    <col min="21" max="21" width="1.375" style="5" customWidth="1"/>
    <col min="22" max="22" width="6.5" style="5" customWidth="1"/>
    <col min="23" max="23" width="3.125" style="5" customWidth="1"/>
    <col min="24" max="25" width="3.625" style="5" customWidth="1"/>
    <col min="26" max="26" width="4.375" style="5" customWidth="1"/>
    <col min="27" max="27" width="2.125" style="5" customWidth="1"/>
    <col min="28" max="28" width="3.625" style="5" customWidth="1"/>
    <col min="29" max="29" width="1.125" style="5" customWidth="1"/>
    <col min="30" max="31" width="4.375" style="5" hidden="1" customWidth="1"/>
    <col min="32" max="32" width="1.25" style="5" hidden="1" customWidth="1"/>
    <col min="33" max="37" width="4.75" style="7" hidden="1" customWidth="1"/>
    <col min="38" max="38" width="1.625" style="7" customWidth="1"/>
    <col min="39" max="39" width="4.75" style="5" customWidth="1"/>
    <col min="40" max="16384" width="4.75" style="5"/>
  </cols>
  <sheetData>
    <row r="1" spans="1:38" ht="3" customHeight="1" x14ac:dyDescent="0.4">
      <c r="A1" s="4"/>
      <c r="B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F1" s="7"/>
      <c r="AL1" s="5"/>
    </row>
    <row r="2" spans="1:38" ht="3" customHeight="1" x14ac:dyDescent="0.4">
      <c r="A2" s="4"/>
      <c r="B2" s="4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F2" s="7"/>
      <c r="AL2" s="5"/>
    </row>
    <row r="3" spans="1:38" ht="1.5" customHeight="1" x14ac:dyDescent="0.4">
      <c r="A3" s="4"/>
      <c r="B3" s="4"/>
      <c r="AL3" s="5"/>
    </row>
    <row r="4" spans="1:38" ht="14.25" customHeight="1" x14ac:dyDescent="0.4">
      <c r="A4" s="4"/>
      <c r="B4" s="4"/>
      <c r="J4" s="8"/>
      <c r="K4" s="144" t="s">
        <v>7</v>
      </c>
      <c r="L4" s="144"/>
      <c r="M4" s="144"/>
      <c r="N4" s="144"/>
      <c r="O4" s="144"/>
      <c r="P4" s="144"/>
      <c r="Q4" s="144"/>
      <c r="R4" s="144"/>
      <c r="S4" s="144"/>
      <c r="T4" s="144"/>
      <c r="U4" s="144"/>
      <c r="AL4" s="5"/>
    </row>
    <row r="5" spans="1:38" ht="14.25" customHeight="1" x14ac:dyDescent="0.4">
      <c r="A5" s="4"/>
      <c r="J5" s="8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AL5" s="5"/>
    </row>
    <row r="6" spans="1:38" ht="14.25" customHeight="1" x14ac:dyDescent="0.4">
      <c r="A6" s="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AL6" s="5"/>
    </row>
    <row r="7" spans="1:38" x14ac:dyDescent="0.4">
      <c r="A7" s="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AF7" s="7"/>
      <c r="AL7" s="5"/>
    </row>
    <row r="8" spans="1:38" ht="18.75" customHeight="1" x14ac:dyDescent="0.4">
      <c r="A8" s="4"/>
      <c r="C8" s="140" t="s">
        <v>455</v>
      </c>
      <c r="D8" s="140"/>
      <c r="E8" s="140"/>
      <c r="F8" s="140"/>
      <c r="G8" s="140"/>
      <c r="H8" s="140"/>
      <c r="I8" s="140"/>
      <c r="J8" s="140"/>
      <c r="K8" s="140"/>
      <c r="L8" s="140"/>
      <c r="M8" s="142" t="s">
        <v>8</v>
      </c>
      <c r="N8" s="142"/>
      <c r="O8" s="142"/>
      <c r="P8" s="9"/>
      <c r="Q8" s="10"/>
      <c r="AF8" s="7"/>
      <c r="AL8" s="5"/>
    </row>
    <row r="9" spans="1:38" ht="13.5" customHeight="1" x14ac:dyDescent="0.4">
      <c r="A9" s="4"/>
      <c r="B9" s="1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3"/>
      <c r="N9" s="143"/>
      <c r="O9" s="143"/>
      <c r="P9" s="9"/>
      <c r="Q9" s="10"/>
      <c r="R9" s="10"/>
      <c r="S9" s="10"/>
      <c r="AF9" s="7"/>
      <c r="AL9" s="5"/>
    </row>
    <row r="10" spans="1:38" ht="15" customHeight="1" x14ac:dyDescent="0.4">
      <c r="A10" s="4"/>
      <c r="Y10" s="12" t="s">
        <v>10</v>
      </c>
      <c r="Z10" s="46" t="s">
        <v>98</v>
      </c>
      <c r="AA10" s="47"/>
      <c r="AB10" s="47"/>
      <c r="AC10" s="48"/>
      <c r="AD10" s="13"/>
      <c r="AE10" s="14"/>
      <c r="AF10" s="15"/>
      <c r="AL10" s="5"/>
    </row>
    <row r="11" spans="1:38" ht="4.5" customHeight="1" x14ac:dyDescent="0.4">
      <c r="A11" s="4"/>
      <c r="AF11" s="7"/>
      <c r="AL11" s="5"/>
    </row>
    <row r="12" spans="1:38" ht="18.75" customHeight="1" x14ac:dyDescent="0.4">
      <c r="A12" s="4"/>
      <c r="F12" s="46" t="s">
        <v>99</v>
      </c>
      <c r="G12" s="47"/>
      <c r="H12" s="47"/>
      <c r="I12" s="47"/>
      <c r="J12" s="47"/>
      <c r="K12" s="47"/>
      <c r="L12" s="47"/>
      <c r="M12" s="47"/>
      <c r="N12" s="16"/>
      <c r="O12" s="11"/>
      <c r="P12" s="11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8"/>
      <c r="AE12" s="18"/>
      <c r="AF12" s="7"/>
      <c r="AG12" s="19" t="s">
        <v>101</v>
      </c>
      <c r="AL12" s="5"/>
    </row>
    <row r="13" spans="1:38" ht="20.25" customHeight="1" x14ac:dyDescent="0.4">
      <c r="A13" s="4"/>
      <c r="B13" s="139" t="s">
        <v>11</v>
      </c>
      <c r="C13" s="139"/>
      <c r="D13" s="139"/>
      <c r="F13" s="46" t="s">
        <v>100</v>
      </c>
      <c r="G13" s="47"/>
      <c r="H13" s="47"/>
      <c r="I13" s="47"/>
      <c r="J13" s="47"/>
      <c r="K13" s="47"/>
      <c r="L13" s="47"/>
      <c r="M13" s="47"/>
      <c r="N13" s="132" t="str">
        <f>"（"&amp;" "&amp;AG12&amp;" "&amp;"）"</f>
        <v>（ ##患者情報.本人情報.性別 ）</v>
      </c>
      <c r="O13" s="132"/>
      <c r="P13" s="132"/>
      <c r="Q13" s="72"/>
      <c r="R13" s="72"/>
      <c r="S13" s="72"/>
      <c r="T13" s="73"/>
      <c r="U13" s="135" t="s">
        <v>12</v>
      </c>
      <c r="V13" s="136"/>
      <c r="W13" s="46" t="s">
        <v>102</v>
      </c>
      <c r="X13" s="47"/>
      <c r="Y13" s="47"/>
      <c r="Z13" s="47"/>
      <c r="AA13" s="47"/>
      <c r="AB13" s="47"/>
      <c r="AC13" s="48"/>
      <c r="AD13" s="20"/>
      <c r="AE13" s="14"/>
      <c r="AF13" s="15"/>
      <c r="AL13" s="5"/>
    </row>
    <row r="14" spans="1:38" ht="20.25" customHeight="1" x14ac:dyDescent="0.4">
      <c r="A14" s="4"/>
      <c r="B14" s="139" t="s">
        <v>13</v>
      </c>
      <c r="C14" s="139"/>
      <c r="D14" s="139"/>
      <c r="F14" s="127" t="s">
        <v>104</v>
      </c>
      <c r="G14" s="128"/>
      <c r="H14" s="128"/>
      <c r="I14" s="128"/>
      <c r="J14" s="128"/>
      <c r="K14" s="128"/>
      <c r="L14" s="128"/>
      <c r="M14" s="128"/>
      <c r="N14" s="133" t="str">
        <f>"（"&amp;" "&amp;AG14&amp;" "&amp;"才"&amp;" "&amp;"）"</f>
        <v>（ ##患者情報.本人情報.年齢 才 ）</v>
      </c>
      <c r="O14" s="133"/>
      <c r="P14" s="133"/>
      <c r="Q14" s="133"/>
      <c r="R14" s="133"/>
      <c r="S14" s="133"/>
      <c r="T14" s="134"/>
      <c r="U14" s="137" t="s">
        <v>14</v>
      </c>
      <c r="V14" s="138"/>
      <c r="W14" s="46" t="s">
        <v>103</v>
      </c>
      <c r="X14" s="47"/>
      <c r="Y14" s="47"/>
      <c r="Z14" s="47"/>
      <c r="AA14" s="47"/>
      <c r="AB14" s="47"/>
      <c r="AC14" s="48"/>
      <c r="AD14" s="20"/>
      <c r="AE14" s="14"/>
      <c r="AF14" s="7"/>
      <c r="AG14" s="21" t="s">
        <v>456</v>
      </c>
      <c r="AL14" s="5"/>
    </row>
    <row r="15" spans="1:38" ht="18.75" customHeight="1" x14ac:dyDescent="0.4">
      <c r="A15" s="4"/>
      <c r="B15" s="139" t="s">
        <v>15</v>
      </c>
      <c r="C15" s="139"/>
      <c r="D15" s="139"/>
      <c r="F15" s="46" t="s">
        <v>105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8"/>
      <c r="AD15" s="20"/>
      <c r="AE15" s="14"/>
      <c r="AF15" s="7"/>
      <c r="AL15" s="5"/>
    </row>
    <row r="16" spans="1:38" ht="17.25" customHeight="1" x14ac:dyDescent="0.4">
      <c r="A16" s="22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22"/>
      <c r="AF16" s="15"/>
      <c r="AL16" s="5"/>
    </row>
    <row r="17" spans="1:38" ht="18.75" customHeight="1" x14ac:dyDescent="0.4">
      <c r="A17" s="4"/>
      <c r="B17" s="139" t="s">
        <v>16</v>
      </c>
      <c r="C17" s="139"/>
      <c r="D17" s="139"/>
      <c r="F17" s="46" t="s">
        <v>106</v>
      </c>
      <c r="G17" s="47"/>
      <c r="H17" s="47"/>
      <c r="I17" s="47"/>
      <c r="J17" s="47"/>
      <c r="K17" s="47"/>
      <c r="L17" s="47"/>
      <c r="M17" s="48"/>
      <c r="N17" s="23"/>
      <c r="O17" s="59" t="s">
        <v>17</v>
      </c>
      <c r="P17" s="60"/>
      <c r="Q17" s="60"/>
      <c r="R17" s="60"/>
      <c r="S17" s="59"/>
      <c r="T17" s="24"/>
      <c r="U17" s="46" t="s">
        <v>221</v>
      </c>
      <c r="V17" s="47"/>
      <c r="W17" s="47"/>
      <c r="X17" s="47"/>
      <c r="Y17" s="47"/>
      <c r="Z17" s="47"/>
      <c r="AA17" s="47"/>
      <c r="AB17" s="47"/>
      <c r="AC17" s="48"/>
      <c r="AD17" s="23"/>
      <c r="AE17" s="23"/>
      <c r="AF17" s="7"/>
      <c r="AL17" s="5"/>
    </row>
    <row r="18" spans="1:38" ht="18.75" customHeight="1" x14ac:dyDescent="0.4">
      <c r="A18" s="4"/>
      <c r="B18" s="139" t="s">
        <v>18</v>
      </c>
      <c r="C18" s="139"/>
      <c r="D18" s="139"/>
      <c r="F18" s="122" t="str" cm="1">
        <f t="array" ref="F18">_xlfn.TEXTJOIN("・", TRUE, IF(AG18:AK18&lt;&gt;"", AG18:AK18, ""))</f>
        <v>#・#・指・示・.</v>
      </c>
      <c r="G18" s="123"/>
      <c r="H18" s="123"/>
      <c r="I18" s="123"/>
      <c r="J18" s="123"/>
      <c r="K18" s="123"/>
      <c r="L18" s="123"/>
      <c r="M18" s="124"/>
      <c r="N18" s="25"/>
      <c r="O18" s="59" t="s">
        <v>20</v>
      </c>
      <c r="P18" s="60"/>
      <c r="Q18" s="60"/>
      <c r="R18" s="60"/>
      <c r="S18" s="59"/>
      <c r="T18" s="24"/>
      <c r="U18" s="127" t="s">
        <v>222</v>
      </c>
      <c r="V18" s="128"/>
      <c r="W18" s="128"/>
      <c r="X18" s="128"/>
      <c r="Y18" s="128"/>
      <c r="Z18" s="128"/>
      <c r="AA18" s="128"/>
      <c r="AB18" s="128"/>
      <c r="AC18" s="129"/>
      <c r="AD18" s="26"/>
      <c r="AE18" s="26"/>
      <c r="AF18" s="27" t="s">
        <v>107</v>
      </c>
      <c r="AG18" s="7" t="str">
        <f>IF(LEN($AF18) &gt;= 1, MID($AF18, 1, 1), "")</f>
        <v>#</v>
      </c>
      <c r="AH18" s="7" t="str">
        <f>IF(LEN($AF18) &gt;= 2, MID($AF18, 2, 1), "")</f>
        <v>#</v>
      </c>
      <c r="AI18" s="7" t="str">
        <f>IF(LEN($AF18) &gt;= 3, MID($AF18, 3, 1), "")</f>
        <v>指</v>
      </c>
      <c r="AJ18" s="7" t="str">
        <f>IF(LEN($AF18) &gt;= 4, MID($AF18, 4, 1), "")</f>
        <v>示</v>
      </c>
      <c r="AK18" s="7" t="str">
        <f>IF(LEN($AF18) &gt;= 5, MID($AF18, 5, 1), "")</f>
        <v>.</v>
      </c>
      <c r="AL18" s="5"/>
    </row>
    <row r="19" spans="1:38" ht="18.75" customHeight="1" x14ac:dyDescent="0.4">
      <c r="A19" s="4"/>
      <c r="B19" s="139" t="s">
        <v>19</v>
      </c>
      <c r="C19" s="139"/>
      <c r="D19" s="139"/>
      <c r="F19" s="77" t="s">
        <v>214</v>
      </c>
      <c r="G19" s="78"/>
      <c r="H19" s="78"/>
      <c r="I19" s="125" t="s">
        <v>215</v>
      </c>
      <c r="J19" s="125"/>
      <c r="K19" s="125"/>
      <c r="L19" s="125"/>
      <c r="M19" s="126"/>
      <c r="N19" s="28"/>
      <c r="O19" s="59" t="s">
        <v>21</v>
      </c>
      <c r="P19" s="60"/>
      <c r="Q19" s="60"/>
      <c r="R19" s="60"/>
      <c r="S19" s="59"/>
      <c r="T19" s="24"/>
      <c r="U19" s="46" t="s">
        <v>223</v>
      </c>
      <c r="V19" s="47"/>
      <c r="W19" s="47"/>
      <c r="X19" s="47"/>
      <c r="Y19" s="47"/>
      <c r="Z19" s="47"/>
      <c r="AA19" s="47"/>
      <c r="AB19" s="47"/>
      <c r="AC19" s="48"/>
      <c r="AD19" s="23"/>
      <c r="AE19" s="23"/>
      <c r="AF19" s="7"/>
      <c r="AL19" s="5"/>
    </row>
    <row r="20" spans="1:38" ht="18.75" customHeight="1" x14ac:dyDescent="0.4">
      <c r="A20" s="4"/>
      <c r="B20" s="139" t="s">
        <v>22</v>
      </c>
      <c r="C20" s="139"/>
      <c r="D20" s="139"/>
      <c r="F20" s="46" t="s">
        <v>109</v>
      </c>
      <c r="G20" s="47"/>
      <c r="H20" s="47"/>
      <c r="I20" s="47"/>
      <c r="J20" s="47"/>
      <c r="K20" s="47"/>
      <c r="L20" s="47"/>
      <c r="M20" s="48"/>
      <c r="N20" s="23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29"/>
      <c r="AE20" s="4"/>
      <c r="AF20" s="7"/>
      <c r="AL20" s="5"/>
    </row>
    <row r="21" spans="1:38" ht="18.75" customHeight="1" x14ac:dyDescent="0.4">
      <c r="A21" s="4"/>
      <c r="B21" s="139" t="s">
        <v>23</v>
      </c>
      <c r="C21" s="139"/>
      <c r="D21" s="139"/>
      <c r="F21" s="46" t="s">
        <v>590</v>
      </c>
      <c r="G21" s="47"/>
      <c r="H21" s="47"/>
      <c r="I21" s="47"/>
      <c r="J21" s="47"/>
      <c r="K21" s="47"/>
      <c r="L21" s="47"/>
      <c r="M21" s="48"/>
      <c r="N21" s="23"/>
      <c r="O21" s="59" t="s">
        <v>28</v>
      </c>
      <c r="P21" s="60"/>
      <c r="Q21" s="60"/>
      <c r="R21" s="60"/>
      <c r="S21" s="59"/>
      <c r="T21" s="24"/>
      <c r="U21" s="77" t="s">
        <v>225</v>
      </c>
      <c r="V21" s="78"/>
      <c r="W21" s="78"/>
      <c r="X21" s="78"/>
      <c r="Y21" s="78"/>
      <c r="Z21" s="83" t="s">
        <v>224</v>
      </c>
      <c r="AA21" s="83"/>
      <c r="AB21" s="83"/>
      <c r="AC21" s="84"/>
      <c r="AD21" s="30"/>
      <c r="AE21" s="30"/>
      <c r="AF21" s="7"/>
      <c r="AL21" s="5"/>
    </row>
    <row r="22" spans="1:38" ht="18.75" customHeight="1" x14ac:dyDescent="0.4">
      <c r="A22" s="4"/>
      <c r="B22" s="139" t="s">
        <v>24</v>
      </c>
      <c r="C22" s="139"/>
      <c r="D22" s="139"/>
      <c r="F22" s="46" t="s">
        <v>111</v>
      </c>
      <c r="G22" s="47"/>
      <c r="H22" s="47"/>
      <c r="I22" s="47"/>
      <c r="J22" s="47"/>
      <c r="K22" s="47"/>
      <c r="L22" s="47"/>
      <c r="M22" s="48"/>
      <c r="N22" s="23"/>
      <c r="O22" s="59" t="s">
        <v>29</v>
      </c>
      <c r="P22" s="59"/>
      <c r="Q22" s="59"/>
      <c r="R22" s="59"/>
      <c r="S22" s="59"/>
      <c r="T22" s="24"/>
      <c r="U22" s="81" t="s">
        <v>492</v>
      </c>
      <c r="V22" s="82"/>
      <c r="W22" s="82"/>
      <c r="X22" s="82"/>
      <c r="Y22" s="82"/>
      <c r="Z22" s="85" t="s">
        <v>227</v>
      </c>
      <c r="AA22" s="85"/>
      <c r="AB22" s="85"/>
      <c r="AC22" s="86"/>
      <c r="AD22" s="23"/>
      <c r="AE22" s="23"/>
      <c r="AF22" s="7"/>
      <c r="AL22" s="5"/>
    </row>
    <row r="23" spans="1:38" ht="18.75" customHeight="1" x14ac:dyDescent="0.4">
      <c r="A23" s="4"/>
      <c r="B23" s="139" t="s">
        <v>25</v>
      </c>
      <c r="C23" s="139"/>
      <c r="D23" s="139"/>
      <c r="F23" s="87" t="s">
        <v>216</v>
      </c>
      <c r="G23" s="88"/>
      <c r="H23" s="88"/>
      <c r="I23" s="130" t="s">
        <v>217</v>
      </c>
      <c r="J23" s="130"/>
      <c r="K23" s="130"/>
      <c r="L23" s="130"/>
      <c r="M23" s="131"/>
      <c r="N23" s="31"/>
      <c r="O23" s="59" t="s">
        <v>30</v>
      </c>
      <c r="P23" s="60"/>
      <c r="Q23" s="60"/>
      <c r="R23" s="60"/>
      <c r="S23" s="59"/>
      <c r="T23" s="24"/>
      <c r="U23" s="46" t="s">
        <v>228</v>
      </c>
      <c r="V23" s="47"/>
      <c r="W23" s="47"/>
      <c r="X23" s="47"/>
      <c r="Y23" s="47"/>
      <c r="Z23" s="47"/>
      <c r="AA23" s="47"/>
      <c r="AB23" s="47"/>
      <c r="AC23" s="48"/>
      <c r="AD23" s="23"/>
      <c r="AE23" s="23"/>
      <c r="AF23" s="7"/>
      <c r="AG23" s="32"/>
      <c r="AL23" s="5"/>
    </row>
    <row r="24" spans="1:38" ht="18.75" customHeight="1" x14ac:dyDescent="0.4">
      <c r="A24" s="4"/>
      <c r="B24" s="139" t="s">
        <v>26</v>
      </c>
      <c r="C24" s="139"/>
      <c r="D24" s="139"/>
      <c r="F24" s="77" t="s">
        <v>218</v>
      </c>
      <c r="G24" s="78"/>
      <c r="H24" s="78"/>
      <c r="I24" s="33" t="s">
        <v>577</v>
      </c>
      <c r="J24" s="79" t="s">
        <v>219</v>
      </c>
      <c r="K24" s="79"/>
      <c r="L24" s="79"/>
      <c r="M24" s="80"/>
      <c r="N24" s="34"/>
      <c r="O24" s="59" t="s">
        <v>31</v>
      </c>
      <c r="P24" s="60"/>
      <c r="Q24" s="60"/>
      <c r="R24" s="60"/>
      <c r="S24" s="59"/>
      <c r="T24" s="24"/>
      <c r="U24" s="87" t="s">
        <v>229</v>
      </c>
      <c r="V24" s="88"/>
      <c r="W24" s="88"/>
      <c r="X24" s="88"/>
      <c r="Y24" s="88"/>
      <c r="Z24" s="47" t="s">
        <v>230</v>
      </c>
      <c r="AA24" s="47"/>
      <c r="AB24" s="47"/>
      <c r="AC24" s="48"/>
      <c r="AD24" s="23"/>
      <c r="AE24" s="23"/>
      <c r="AF24" s="7"/>
      <c r="AL24" s="5"/>
    </row>
    <row r="25" spans="1:38" ht="18.75" customHeight="1" x14ac:dyDescent="0.4">
      <c r="A25" s="4"/>
      <c r="B25" s="147" t="s">
        <v>27</v>
      </c>
      <c r="C25" s="147"/>
      <c r="D25" s="147"/>
      <c r="F25" s="87" t="s">
        <v>220</v>
      </c>
      <c r="G25" s="88"/>
      <c r="H25" s="88"/>
      <c r="I25" s="83" t="s">
        <v>217</v>
      </c>
      <c r="J25" s="83"/>
      <c r="K25" s="83"/>
      <c r="L25" s="83"/>
      <c r="M25" s="84"/>
      <c r="N25" s="30"/>
      <c r="O25" s="59" t="s">
        <v>32</v>
      </c>
      <c r="P25" s="60"/>
      <c r="Q25" s="60"/>
      <c r="R25" s="60"/>
      <c r="S25" s="59"/>
      <c r="T25" s="24"/>
      <c r="U25" s="87" t="s">
        <v>231</v>
      </c>
      <c r="V25" s="88"/>
      <c r="W25" s="88"/>
      <c r="X25" s="88"/>
      <c r="Y25" s="88"/>
      <c r="Z25" s="47" t="s">
        <v>232</v>
      </c>
      <c r="AA25" s="47"/>
      <c r="AB25" s="47"/>
      <c r="AC25" s="48"/>
      <c r="AD25" s="23"/>
      <c r="AE25" s="23"/>
      <c r="AF25" s="7"/>
      <c r="AG25" s="32"/>
      <c r="AH25" s="35"/>
      <c r="AL25" s="5"/>
    </row>
    <row r="26" spans="1:38" ht="18.75" customHeight="1" x14ac:dyDescent="0.4">
      <c r="A26" s="4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36"/>
      <c r="O26" s="60" t="s">
        <v>33</v>
      </c>
      <c r="P26" s="60"/>
      <c r="Q26" s="60"/>
      <c r="R26" s="60"/>
      <c r="S26" s="59"/>
      <c r="T26" s="24"/>
      <c r="U26" s="87" t="s">
        <v>233</v>
      </c>
      <c r="V26" s="88"/>
      <c r="W26" s="88"/>
      <c r="X26" s="88"/>
      <c r="Y26" s="88"/>
      <c r="Z26" s="47" t="s">
        <v>230</v>
      </c>
      <c r="AA26" s="47"/>
      <c r="AB26" s="47"/>
      <c r="AC26" s="48"/>
      <c r="AD26" s="23"/>
      <c r="AE26" s="23"/>
      <c r="AF26" s="7"/>
      <c r="AG26" s="32"/>
      <c r="AL26" s="5"/>
    </row>
    <row r="27" spans="1:38" ht="18.75" customHeight="1" x14ac:dyDescent="0.4">
      <c r="A27" s="4"/>
      <c r="B27" s="60" t="s">
        <v>38</v>
      </c>
      <c r="C27" s="60"/>
      <c r="D27" s="60"/>
      <c r="F27" s="46" t="s">
        <v>238</v>
      </c>
      <c r="G27" s="47"/>
      <c r="H27" s="47"/>
      <c r="I27" s="47"/>
      <c r="J27" s="47"/>
      <c r="K27" s="47"/>
      <c r="L27" s="47"/>
      <c r="M27" s="48"/>
      <c r="N27" s="23"/>
      <c r="O27" s="59" t="s">
        <v>34</v>
      </c>
      <c r="P27" s="60"/>
      <c r="Q27" s="60"/>
      <c r="R27" s="60"/>
      <c r="S27" s="59"/>
      <c r="T27" s="24"/>
      <c r="U27" s="127" t="s">
        <v>234</v>
      </c>
      <c r="V27" s="128"/>
      <c r="W27" s="128"/>
      <c r="X27" s="128"/>
      <c r="Y27" s="128"/>
      <c r="Z27" s="128"/>
      <c r="AA27" s="128"/>
      <c r="AB27" s="128"/>
      <c r="AC27" s="129"/>
      <c r="AD27" s="26"/>
      <c r="AE27" s="26"/>
      <c r="AF27" s="7"/>
      <c r="AL27" s="5"/>
    </row>
    <row r="28" spans="1:38" ht="18.75" customHeight="1" x14ac:dyDescent="0.4">
      <c r="A28" s="4"/>
      <c r="B28" s="146" t="s">
        <v>39</v>
      </c>
      <c r="C28" s="146"/>
      <c r="D28" s="146"/>
      <c r="F28" s="46" t="str">
        <f>AF29&amp;" "&amp;AG29</f>
        <v>##患者情報.感染症(+)(-)(不明).感染症 ##患者情報.感染症(+)(-)(不明).感染症結果</v>
      </c>
      <c r="G28" s="47"/>
      <c r="H28" s="47"/>
      <c r="I28" s="47"/>
      <c r="J28" s="47"/>
      <c r="K28" s="47"/>
      <c r="L28" s="47"/>
      <c r="M28" s="48"/>
      <c r="N28" s="23"/>
      <c r="O28" s="59" t="s">
        <v>35</v>
      </c>
      <c r="P28" s="60"/>
      <c r="Q28" s="60"/>
      <c r="R28" s="60"/>
      <c r="S28" s="59"/>
      <c r="T28" s="24"/>
      <c r="U28" s="46" t="s">
        <v>235</v>
      </c>
      <c r="V28" s="47"/>
      <c r="W28" s="47"/>
      <c r="X28" s="47"/>
      <c r="Y28" s="47"/>
      <c r="Z28" s="47"/>
      <c r="AA28" s="47"/>
      <c r="AB28" s="47"/>
      <c r="AC28" s="48"/>
      <c r="AD28" s="23"/>
      <c r="AE28" s="23"/>
      <c r="AF28" s="7"/>
      <c r="AL28" s="5"/>
    </row>
    <row r="29" spans="1:38" ht="18.75" customHeight="1" x14ac:dyDescent="0.4">
      <c r="A29" s="4"/>
      <c r="B29" s="146"/>
      <c r="C29" s="146"/>
      <c r="D29" s="146"/>
      <c r="F29" s="46" t="str">
        <f>AF30&amp;" "&amp;AG30</f>
        <v xml:space="preserve"> </v>
      </c>
      <c r="G29" s="47"/>
      <c r="H29" s="47"/>
      <c r="I29" s="47"/>
      <c r="J29" s="47"/>
      <c r="K29" s="47"/>
      <c r="L29" s="47"/>
      <c r="M29" s="48"/>
      <c r="N29" s="23"/>
      <c r="O29" s="59" t="s">
        <v>36</v>
      </c>
      <c r="P29" s="60"/>
      <c r="Q29" s="60"/>
      <c r="R29" s="60"/>
      <c r="S29" s="59"/>
      <c r="T29" s="24"/>
      <c r="U29" s="46" t="s">
        <v>237</v>
      </c>
      <c r="V29" s="47"/>
      <c r="W29" s="47"/>
      <c r="X29" s="47"/>
      <c r="Y29" s="47"/>
      <c r="Z29" s="47"/>
      <c r="AA29" s="47"/>
      <c r="AB29" s="47"/>
      <c r="AC29" s="48"/>
      <c r="AD29" s="23"/>
      <c r="AE29" s="23"/>
      <c r="AF29" s="27" t="s">
        <v>239</v>
      </c>
      <c r="AG29" s="27" t="s">
        <v>529</v>
      </c>
      <c r="AL29" s="5"/>
    </row>
    <row r="30" spans="1:38" ht="18.75" customHeight="1" x14ac:dyDescent="0.4">
      <c r="A30" s="4"/>
      <c r="B30" s="146"/>
      <c r="C30" s="146"/>
      <c r="D30" s="146"/>
      <c r="F30" s="46" t="str">
        <f t="shared" ref="F30" si="0">AF31&amp;" "&amp;AG31</f>
        <v xml:space="preserve"> </v>
      </c>
      <c r="G30" s="47"/>
      <c r="H30" s="47"/>
      <c r="I30" s="47"/>
      <c r="J30" s="47"/>
      <c r="K30" s="47"/>
      <c r="L30" s="47"/>
      <c r="M30" s="48"/>
      <c r="N30" s="23"/>
      <c r="O30" s="64" t="s">
        <v>37</v>
      </c>
      <c r="P30" s="65"/>
      <c r="Q30" s="65"/>
      <c r="R30" s="65"/>
      <c r="S30" s="64"/>
      <c r="T30" s="37"/>
      <c r="U30" s="148" t="s">
        <v>821</v>
      </c>
      <c r="V30" s="125"/>
      <c r="W30" s="125"/>
      <c r="X30" s="125"/>
      <c r="Y30" s="125"/>
      <c r="Z30" s="125"/>
      <c r="AA30" s="125"/>
      <c r="AB30" s="125"/>
      <c r="AC30" s="126"/>
      <c r="AD30" s="31"/>
      <c r="AE30" s="31"/>
      <c r="AF30" s="7"/>
      <c r="AL30" s="5"/>
    </row>
    <row r="31" spans="1:38" ht="18.75" customHeight="1" x14ac:dyDescent="0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75"/>
      <c r="Q31" s="7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7"/>
      <c r="AL31" s="5"/>
    </row>
    <row r="32" spans="1:38" ht="9" customHeight="1" x14ac:dyDescent="0.4">
      <c r="A32" s="4"/>
      <c r="B32" s="61" t="s">
        <v>350</v>
      </c>
      <c r="C32" s="61"/>
      <c r="D32" s="61"/>
      <c r="E32" s="61"/>
      <c r="F32" s="61"/>
      <c r="G32" s="61"/>
      <c r="H32" s="61"/>
      <c r="I32" s="61"/>
      <c r="J32" s="61"/>
      <c r="K32" s="49"/>
      <c r="L32" s="50"/>
      <c r="M32" s="50"/>
      <c r="N32" s="50"/>
      <c r="O32" s="51"/>
      <c r="P32" s="36"/>
      <c r="Q32" s="36"/>
      <c r="R32" s="36"/>
      <c r="S32" s="36"/>
      <c r="T32" s="68" t="s">
        <v>40</v>
      </c>
      <c r="U32" s="69"/>
      <c r="V32" s="69"/>
      <c r="W32" s="69"/>
      <c r="X32" s="69"/>
      <c r="Y32" s="69"/>
      <c r="Z32" s="70"/>
      <c r="AF32" s="7"/>
      <c r="AL32" s="5"/>
    </row>
    <row r="33" spans="1:38" ht="9" customHeight="1" x14ac:dyDescent="0.4">
      <c r="A33" s="4"/>
      <c r="B33" s="62"/>
      <c r="C33" s="62"/>
      <c r="D33" s="62"/>
      <c r="E33" s="62"/>
      <c r="F33" s="62"/>
      <c r="G33" s="62"/>
      <c r="H33" s="62"/>
      <c r="I33" s="62"/>
      <c r="J33" s="62"/>
      <c r="K33" s="52"/>
      <c r="L33" s="53"/>
      <c r="M33" s="53"/>
      <c r="N33" s="53"/>
      <c r="O33" s="54"/>
      <c r="P33" s="36"/>
      <c r="Q33" s="36"/>
      <c r="R33" s="36"/>
      <c r="S33" s="36"/>
      <c r="T33" s="68"/>
      <c r="U33" s="69"/>
      <c r="V33" s="69"/>
      <c r="W33" s="69"/>
      <c r="X33" s="69"/>
      <c r="Y33" s="69"/>
      <c r="Z33" s="70"/>
      <c r="AF33" s="7"/>
      <c r="AL33" s="5"/>
    </row>
    <row r="34" spans="1:38" ht="9.9499999999999993" customHeight="1" x14ac:dyDescent="0.4">
      <c r="A34" s="4"/>
      <c r="B34" s="91"/>
      <c r="C34" s="92"/>
      <c r="D34" s="92"/>
      <c r="E34" s="92"/>
      <c r="F34" s="92"/>
      <c r="G34" s="92"/>
      <c r="H34" s="92"/>
      <c r="I34" s="92"/>
      <c r="J34" s="93"/>
      <c r="K34" s="111" t="s">
        <v>352</v>
      </c>
      <c r="L34" s="111"/>
      <c r="M34" s="111"/>
      <c r="N34" s="55"/>
      <c r="O34" s="56"/>
      <c r="P34" s="4"/>
      <c r="Q34" s="4"/>
      <c r="R34" s="63"/>
      <c r="S34" s="38"/>
      <c r="T34" s="71" t="s">
        <v>354</v>
      </c>
      <c r="U34" s="72"/>
      <c r="V34" s="72"/>
      <c r="W34" s="72"/>
      <c r="X34" s="72"/>
      <c r="Y34" s="72"/>
      <c r="Z34" s="73"/>
      <c r="AF34" s="7"/>
      <c r="AL34" s="5"/>
    </row>
    <row r="35" spans="1:38" ht="9.9499999999999993" customHeight="1" x14ac:dyDescent="0.4">
      <c r="A35" s="4"/>
      <c r="B35" s="94"/>
      <c r="C35" s="95"/>
      <c r="D35" s="95"/>
      <c r="E35" s="95"/>
      <c r="F35" s="95"/>
      <c r="G35" s="95"/>
      <c r="H35" s="95"/>
      <c r="I35" s="95"/>
      <c r="J35" s="96"/>
      <c r="K35" s="112"/>
      <c r="L35" s="112"/>
      <c r="M35" s="112"/>
      <c r="N35" s="57"/>
      <c r="O35" s="58"/>
      <c r="P35" s="36"/>
      <c r="Q35" s="36"/>
      <c r="R35" s="63"/>
      <c r="S35" s="38"/>
      <c r="T35" s="71"/>
      <c r="U35" s="72"/>
      <c r="V35" s="72"/>
      <c r="W35" s="72"/>
      <c r="X35" s="72"/>
      <c r="Y35" s="72"/>
      <c r="Z35" s="73"/>
      <c r="AF35" s="7"/>
      <c r="AL35" s="5"/>
    </row>
    <row r="36" spans="1:38" ht="9.9499999999999993" customHeight="1" x14ac:dyDescent="0.4">
      <c r="A36" s="4"/>
      <c r="B36" s="113" t="s">
        <v>351</v>
      </c>
      <c r="C36" s="114"/>
      <c r="D36" s="114"/>
      <c r="E36" s="114"/>
      <c r="F36" s="114"/>
      <c r="G36" s="114"/>
      <c r="H36" s="114"/>
      <c r="I36" s="114"/>
      <c r="J36" s="115"/>
      <c r="K36" s="66" t="s">
        <v>353</v>
      </c>
      <c r="L36" s="66"/>
      <c r="M36" s="66"/>
      <c r="N36" s="55"/>
      <c r="O36" s="56"/>
      <c r="P36" s="39"/>
      <c r="Q36" s="40"/>
      <c r="R36" s="63"/>
      <c r="S36" s="38"/>
      <c r="T36" s="71"/>
      <c r="U36" s="72"/>
      <c r="V36" s="72"/>
      <c r="W36" s="72"/>
      <c r="X36" s="72"/>
      <c r="Y36" s="72"/>
      <c r="Z36" s="73"/>
      <c r="AF36" s="7"/>
      <c r="AL36" s="5"/>
    </row>
    <row r="37" spans="1:38" ht="9.9499999999999993" customHeight="1" x14ac:dyDescent="0.4">
      <c r="A37" s="4"/>
      <c r="B37" s="116"/>
      <c r="C37" s="117"/>
      <c r="D37" s="117"/>
      <c r="E37" s="117"/>
      <c r="F37" s="117"/>
      <c r="G37" s="117"/>
      <c r="H37" s="117"/>
      <c r="I37" s="117"/>
      <c r="J37" s="118"/>
      <c r="K37" s="67"/>
      <c r="L37" s="67"/>
      <c r="M37" s="67"/>
      <c r="N37" s="57"/>
      <c r="O37" s="58"/>
      <c r="P37" s="39"/>
      <c r="Q37" s="40"/>
      <c r="R37" s="63"/>
      <c r="S37" s="38"/>
      <c r="T37" s="71"/>
      <c r="U37" s="72"/>
      <c r="V37" s="72"/>
      <c r="W37" s="72"/>
      <c r="X37" s="72"/>
      <c r="Y37" s="72"/>
      <c r="Z37" s="73"/>
      <c r="AF37" s="7"/>
      <c r="AL37" s="5"/>
    </row>
    <row r="38" spans="1:38" ht="9.9499999999999993" customHeight="1" x14ac:dyDescent="0.4">
      <c r="A38" s="4"/>
      <c r="B38" s="105"/>
      <c r="C38" s="106"/>
      <c r="D38" s="106"/>
      <c r="E38" s="106"/>
      <c r="F38" s="106"/>
      <c r="G38" s="106"/>
      <c r="H38" s="106"/>
      <c r="I38" s="106"/>
      <c r="J38" s="107"/>
      <c r="K38" s="66"/>
      <c r="L38" s="66"/>
      <c r="M38" s="66"/>
      <c r="N38" s="55"/>
      <c r="O38" s="56"/>
      <c r="P38" s="40"/>
      <c r="Q38" s="40"/>
      <c r="R38" s="63"/>
      <c r="S38" s="38"/>
      <c r="T38" s="71"/>
      <c r="U38" s="72"/>
      <c r="V38" s="72"/>
      <c r="W38" s="72"/>
      <c r="X38" s="72"/>
      <c r="Y38" s="72"/>
      <c r="Z38" s="73"/>
      <c r="AF38" s="7"/>
      <c r="AL38" s="5"/>
    </row>
    <row r="39" spans="1:38" ht="9.9499999999999993" customHeight="1" x14ac:dyDescent="0.4">
      <c r="A39" s="4"/>
      <c r="B39" s="119"/>
      <c r="C39" s="120"/>
      <c r="D39" s="120"/>
      <c r="E39" s="120"/>
      <c r="F39" s="120"/>
      <c r="G39" s="120"/>
      <c r="H39" s="120"/>
      <c r="I39" s="120"/>
      <c r="J39" s="121"/>
      <c r="K39" s="67"/>
      <c r="L39" s="67"/>
      <c r="M39" s="67"/>
      <c r="N39" s="57"/>
      <c r="O39" s="58"/>
      <c r="P39" s="40"/>
      <c r="Q39" s="40"/>
      <c r="R39" s="63"/>
      <c r="S39" s="38"/>
      <c r="T39" s="71"/>
      <c r="U39" s="72"/>
      <c r="V39" s="72"/>
      <c r="W39" s="72"/>
      <c r="X39" s="72"/>
      <c r="Y39" s="72"/>
      <c r="Z39" s="73"/>
      <c r="AF39" s="7"/>
      <c r="AL39" s="5"/>
    </row>
    <row r="40" spans="1:38" ht="9.9499999999999993" customHeight="1" x14ac:dyDescent="0.4">
      <c r="A40" s="4"/>
      <c r="B40" s="105"/>
      <c r="C40" s="106"/>
      <c r="D40" s="106"/>
      <c r="E40" s="106"/>
      <c r="F40" s="106"/>
      <c r="G40" s="106"/>
      <c r="H40" s="106"/>
      <c r="I40" s="106"/>
      <c r="J40" s="107"/>
      <c r="K40" s="66"/>
      <c r="L40" s="66"/>
      <c r="M40" s="66"/>
      <c r="N40" s="55"/>
      <c r="O40" s="56"/>
      <c r="P40" s="40"/>
      <c r="Q40" s="40"/>
      <c r="R40" s="63"/>
      <c r="S40" s="38"/>
      <c r="T40" s="71"/>
      <c r="U40" s="72"/>
      <c r="V40" s="72"/>
      <c r="W40" s="72"/>
      <c r="X40" s="72"/>
      <c r="Y40" s="72"/>
      <c r="Z40" s="73"/>
      <c r="AF40" s="7"/>
      <c r="AL40" s="5"/>
    </row>
    <row r="41" spans="1:38" ht="9.9499999999999993" customHeight="1" x14ac:dyDescent="0.4">
      <c r="A41" s="4"/>
      <c r="B41" s="119"/>
      <c r="C41" s="120"/>
      <c r="D41" s="120"/>
      <c r="E41" s="120"/>
      <c r="F41" s="120"/>
      <c r="G41" s="120"/>
      <c r="H41" s="120"/>
      <c r="I41" s="120"/>
      <c r="J41" s="121"/>
      <c r="K41" s="67"/>
      <c r="L41" s="67"/>
      <c r="M41" s="67"/>
      <c r="N41" s="57"/>
      <c r="O41" s="58"/>
      <c r="P41" s="40"/>
      <c r="Q41" s="40"/>
      <c r="R41" s="63"/>
      <c r="S41" s="38"/>
      <c r="T41" s="71"/>
      <c r="U41" s="72"/>
      <c r="V41" s="72"/>
      <c r="W41" s="72"/>
      <c r="X41" s="72"/>
      <c r="Y41" s="72"/>
      <c r="Z41" s="73"/>
      <c r="AF41" s="7"/>
      <c r="AL41" s="5"/>
    </row>
    <row r="42" spans="1:38" ht="9.9499999999999993" customHeight="1" x14ac:dyDescent="0.4">
      <c r="A42" s="4"/>
      <c r="B42" s="105"/>
      <c r="C42" s="106"/>
      <c r="D42" s="106"/>
      <c r="E42" s="106"/>
      <c r="F42" s="106"/>
      <c r="G42" s="106"/>
      <c r="H42" s="106"/>
      <c r="I42" s="106"/>
      <c r="J42" s="107"/>
      <c r="K42" s="66"/>
      <c r="L42" s="66"/>
      <c r="M42" s="66"/>
      <c r="N42" s="55"/>
      <c r="O42" s="56"/>
      <c r="P42" s="40"/>
      <c r="Q42" s="40"/>
      <c r="R42" s="63"/>
      <c r="S42" s="38"/>
      <c r="T42" s="71"/>
      <c r="U42" s="72"/>
      <c r="V42" s="72"/>
      <c r="W42" s="72"/>
      <c r="X42" s="72"/>
      <c r="Y42" s="72"/>
      <c r="Z42" s="73"/>
      <c r="AF42" s="7"/>
      <c r="AL42" s="5"/>
    </row>
    <row r="43" spans="1:38" ht="9.9499999999999993" customHeight="1" x14ac:dyDescent="0.4">
      <c r="A43" s="4"/>
      <c r="B43" s="119"/>
      <c r="C43" s="120"/>
      <c r="D43" s="120"/>
      <c r="E43" s="120"/>
      <c r="F43" s="120"/>
      <c r="G43" s="120"/>
      <c r="H43" s="120"/>
      <c r="I43" s="120"/>
      <c r="J43" s="121"/>
      <c r="K43" s="67"/>
      <c r="L43" s="67"/>
      <c r="M43" s="67"/>
      <c r="N43" s="57"/>
      <c r="O43" s="58"/>
      <c r="P43" s="40"/>
      <c r="Q43" s="40"/>
      <c r="R43" s="63"/>
      <c r="S43" s="38"/>
      <c r="T43" s="71"/>
      <c r="U43" s="72"/>
      <c r="V43" s="72"/>
      <c r="W43" s="72"/>
      <c r="X43" s="72"/>
      <c r="Y43" s="72"/>
      <c r="Z43" s="73"/>
      <c r="AF43" s="7"/>
      <c r="AL43" s="5"/>
    </row>
    <row r="44" spans="1:38" ht="9.9499999999999993" customHeight="1" x14ac:dyDescent="0.4">
      <c r="A44" s="4"/>
      <c r="B44" s="105"/>
      <c r="C44" s="106"/>
      <c r="D44" s="106"/>
      <c r="E44" s="106"/>
      <c r="F44" s="106"/>
      <c r="G44" s="106"/>
      <c r="H44" s="106"/>
      <c r="I44" s="106"/>
      <c r="J44" s="107"/>
      <c r="K44" s="66"/>
      <c r="L44" s="66"/>
      <c r="M44" s="66"/>
      <c r="N44" s="55"/>
      <c r="O44" s="56"/>
      <c r="P44" s="40"/>
      <c r="Q44" s="40"/>
      <c r="R44" s="63"/>
      <c r="S44" s="38"/>
      <c r="T44" s="71"/>
      <c r="U44" s="72"/>
      <c r="V44" s="72"/>
      <c r="W44" s="72"/>
      <c r="X44" s="72"/>
      <c r="Y44" s="72"/>
      <c r="Z44" s="73"/>
      <c r="AF44" s="7"/>
      <c r="AL44" s="5"/>
    </row>
    <row r="45" spans="1:38" ht="9.9499999999999993" customHeight="1" x14ac:dyDescent="0.4">
      <c r="A45" s="4"/>
      <c r="B45" s="119"/>
      <c r="C45" s="120"/>
      <c r="D45" s="120"/>
      <c r="E45" s="120"/>
      <c r="F45" s="120"/>
      <c r="G45" s="120"/>
      <c r="H45" s="120"/>
      <c r="I45" s="120"/>
      <c r="J45" s="121"/>
      <c r="K45" s="67"/>
      <c r="L45" s="67"/>
      <c r="M45" s="67"/>
      <c r="N45" s="57"/>
      <c r="O45" s="58"/>
      <c r="P45" s="40"/>
      <c r="Q45" s="40"/>
      <c r="R45" s="63"/>
      <c r="S45" s="4"/>
      <c r="T45" s="103" t="s">
        <v>41</v>
      </c>
      <c r="U45" s="103"/>
      <c r="V45" s="103"/>
      <c r="W45" s="103"/>
      <c r="X45" s="6"/>
      <c r="Y45" s="6"/>
      <c r="Z45" s="6"/>
      <c r="AA45" s="6"/>
      <c r="AB45" s="6"/>
      <c r="AF45" s="7"/>
      <c r="AL45" s="5"/>
    </row>
    <row r="46" spans="1:38" ht="9.9499999999999993" customHeight="1" x14ac:dyDescent="0.4">
      <c r="A46" s="4"/>
      <c r="B46" s="105"/>
      <c r="C46" s="106"/>
      <c r="D46" s="106"/>
      <c r="E46" s="106"/>
      <c r="F46" s="106"/>
      <c r="G46" s="106"/>
      <c r="H46" s="106"/>
      <c r="I46" s="106"/>
      <c r="J46" s="107"/>
      <c r="K46" s="66"/>
      <c r="L46" s="66"/>
      <c r="M46" s="66"/>
      <c r="N46" s="55"/>
      <c r="O46" s="56"/>
      <c r="P46" s="40"/>
      <c r="Q46" s="40"/>
      <c r="R46" s="63"/>
      <c r="S46" s="4"/>
      <c r="T46" s="104"/>
      <c r="U46" s="104"/>
      <c r="V46" s="104"/>
      <c r="W46" s="104"/>
      <c r="X46" s="41"/>
      <c r="Y46" s="6"/>
      <c r="Z46" s="6"/>
      <c r="AA46" s="6"/>
      <c r="AB46" s="6"/>
      <c r="AF46" s="7"/>
      <c r="AL46" s="5"/>
    </row>
    <row r="47" spans="1:38" ht="9.9499999999999993" customHeight="1" x14ac:dyDescent="0.4">
      <c r="A47" s="4"/>
      <c r="B47" s="119"/>
      <c r="C47" s="120"/>
      <c r="D47" s="120"/>
      <c r="E47" s="120"/>
      <c r="F47" s="120"/>
      <c r="G47" s="120"/>
      <c r="H47" s="120"/>
      <c r="I47" s="120"/>
      <c r="J47" s="121"/>
      <c r="K47" s="67"/>
      <c r="L47" s="67"/>
      <c r="M47" s="67"/>
      <c r="N47" s="57"/>
      <c r="O47" s="58"/>
      <c r="P47" s="40"/>
      <c r="Q47" s="40"/>
      <c r="R47" s="63"/>
      <c r="S47" s="4"/>
      <c r="T47" s="97"/>
      <c r="U47" s="98"/>
      <c r="V47" s="98"/>
      <c r="W47" s="98"/>
      <c r="X47" s="98"/>
      <c r="Y47" s="98"/>
      <c r="Z47" s="98"/>
      <c r="AA47" s="98"/>
      <c r="AB47" s="98"/>
      <c r="AC47" s="99"/>
      <c r="AF47" s="7"/>
      <c r="AL47" s="5"/>
    </row>
    <row r="48" spans="1:38" ht="9.9499999999999993" customHeight="1" x14ac:dyDescent="0.4">
      <c r="A48" s="4"/>
      <c r="B48" s="105"/>
      <c r="C48" s="106"/>
      <c r="D48" s="106"/>
      <c r="E48" s="106"/>
      <c r="F48" s="106"/>
      <c r="G48" s="106"/>
      <c r="H48" s="106"/>
      <c r="I48" s="106"/>
      <c r="J48" s="107"/>
      <c r="K48" s="66"/>
      <c r="L48" s="66"/>
      <c r="M48" s="66"/>
      <c r="N48" s="55"/>
      <c r="O48" s="56"/>
      <c r="P48" s="40"/>
      <c r="Q48" s="40"/>
      <c r="R48" s="63"/>
      <c r="S48" s="38"/>
      <c r="T48" s="100"/>
      <c r="U48" s="101"/>
      <c r="V48" s="101"/>
      <c r="W48" s="101"/>
      <c r="X48" s="101"/>
      <c r="Y48" s="101"/>
      <c r="Z48" s="101"/>
      <c r="AA48" s="101"/>
      <c r="AB48" s="101"/>
      <c r="AC48" s="102"/>
      <c r="AD48" s="42"/>
      <c r="AE48" s="42"/>
      <c r="AF48" s="7"/>
      <c r="AL48" s="5"/>
    </row>
    <row r="49" spans="1:38" ht="9.9499999999999993" customHeight="1" x14ac:dyDescent="0.4">
      <c r="A49" s="4"/>
      <c r="B49" s="119"/>
      <c r="C49" s="120"/>
      <c r="D49" s="120"/>
      <c r="E49" s="120"/>
      <c r="F49" s="120"/>
      <c r="G49" s="120"/>
      <c r="H49" s="120"/>
      <c r="I49" s="120"/>
      <c r="J49" s="121"/>
      <c r="K49" s="67"/>
      <c r="L49" s="67"/>
      <c r="M49" s="67"/>
      <c r="N49" s="57"/>
      <c r="O49" s="58"/>
      <c r="P49" s="40"/>
      <c r="Q49" s="40"/>
      <c r="R49" s="63"/>
      <c r="S49" s="38"/>
      <c r="T49" s="97"/>
      <c r="U49" s="98"/>
      <c r="V49" s="98"/>
      <c r="W49" s="98"/>
      <c r="X49" s="98"/>
      <c r="Y49" s="98"/>
      <c r="Z49" s="98"/>
      <c r="AA49" s="98"/>
      <c r="AB49" s="98"/>
      <c r="AC49" s="99"/>
      <c r="AD49" s="42"/>
      <c r="AE49" s="42"/>
      <c r="AF49" s="15"/>
      <c r="AL49" s="5"/>
    </row>
    <row r="50" spans="1:38" ht="9.9499999999999993" customHeight="1" x14ac:dyDescent="0.4">
      <c r="A50" s="4"/>
      <c r="B50" s="105"/>
      <c r="C50" s="106"/>
      <c r="D50" s="106"/>
      <c r="E50" s="106"/>
      <c r="F50" s="106"/>
      <c r="G50" s="106"/>
      <c r="H50" s="106"/>
      <c r="I50" s="106"/>
      <c r="J50" s="107"/>
      <c r="K50" s="66"/>
      <c r="L50" s="66"/>
      <c r="M50" s="66"/>
      <c r="N50" s="55"/>
      <c r="O50" s="56"/>
      <c r="P50" s="40"/>
      <c r="Q50" s="40"/>
      <c r="R50" s="63"/>
      <c r="S50" s="38"/>
      <c r="T50" s="100"/>
      <c r="U50" s="101"/>
      <c r="V50" s="101"/>
      <c r="W50" s="101"/>
      <c r="X50" s="101"/>
      <c r="Y50" s="101"/>
      <c r="Z50" s="101"/>
      <c r="AA50" s="101"/>
      <c r="AB50" s="101"/>
      <c r="AC50" s="102"/>
      <c r="AD50" s="42"/>
      <c r="AE50" s="42"/>
      <c r="AF50" s="15"/>
      <c r="AL50" s="5"/>
    </row>
    <row r="51" spans="1:38" ht="9.9499999999999993" customHeight="1" x14ac:dyDescent="0.4">
      <c r="A51" s="4"/>
      <c r="B51" s="108"/>
      <c r="C51" s="109"/>
      <c r="D51" s="109"/>
      <c r="E51" s="109"/>
      <c r="F51" s="109"/>
      <c r="G51" s="109"/>
      <c r="H51" s="109"/>
      <c r="I51" s="109"/>
      <c r="J51" s="110"/>
      <c r="K51" s="67"/>
      <c r="L51" s="67"/>
      <c r="M51" s="67"/>
      <c r="N51" s="57"/>
      <c r="O51" s="58"/>
      <c r="P51" s="40"/>
      <c r="Q51" s="40"/>
      <c r="R51" s="63"/>
      <c r="S51" s="38"/>
      <c r="T51" s="97"/>
      <c r="U51" s="98"/>
      <c r="V51" s="98"/>
      <c r="W51" s="98"/>
      <c r="X51" s="98"/>
      <c r="Y51" s="98"/>
      <c r="Z51" s="98"/>
      <c r="AA51" s="98"/>
      <c r="AB51" s="98"/>
      <c r="AC51" s="99"/>
      <c r="AD51" s="42"/>
      <c r="AE51" s="42"/>
      <c r="AF51" s="15"/>
      <c r="AL51" s="5"/>
    </row>
    <row r="52" spans="1:38" ht="9.9499999999999993" customHeight="1" x14ac:dyDescent="0.4">
      <c r="A52" s="4"/>
      <c r="B52" s="91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3"/>
      <c r="P52" s="43"/>
      <c r="Q52" s="40"/>
      <c r="R52" s="40"/>
      <c r="S52" s="40"/>
      <c r="T52" s="100"/>
      <c r="U52" s="101"/>
      <c r="V52" s="101"/>
      <c r="W52" s="101"/>
      <c r="X52" s="101"/>
      <c r="Y52" s="101"/>
      <c r="Z52" s="101"/>
      <c r="AA52" s="101"/>
      <c r="AB52" s="101"/>
      <c r="AC52" s="102"/>
      <c r="AD52" s="42"/>
      <c r="AE52" s="42"/>
      <c r="AF52" s="15"/>
      <c r="AL52" s="5"/>
    </row>
    <row r="53" spans="1:38" ht="9.9499999999999993" customHeight="1" x14ac:dyDescent="0.4">
      <c r="A53" s="4"/>
      <c r="B53" s="94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6"/>
      <c r="P53" s="43"/>
      <c r="Q53" s="40"/>
      <c r="R53" s="40"/>
      <c r="S53" s="40"/>
      <c r="T53" s="97"/>
      <c r="U53" s="98"/>
      <c r="V53" s="98"/>
      <c r="W53" s="98"/>
      <c r="X53" s="98"/>
      <c r="Y53" s="98"/>
      <c r="Z53" s="98"/>
      <c r="AA53" s="98"/>
      <c r="AB53" s="98"/>
      <c r="AC53" s="99"/>
      <c r="AD53" s="42"/>
      <c r="AE53" s="42"/>
      <c r="AF53" s="15"/>
      <c r="AL53" s="5"/>
    </row>
    <row r="54" spans="1:38" ht="9.9499999999999993" customHeight="1" x14ac:dyDescent="0.4">
      <c r="A54" s="4"/>
      <c r="P54" s="40"/>
      <c r="Q54" s="40"/>
      <c r="R54" s="40"/>
      <c r="S54" s="40"/>
      <c r="T54" s="100"/>
      <c r="U54" s="101"/>
      <c r="V54" s="101"/>
      <c r="W54" s="101"/>
      <c r="X54" s="101"/>
      <c r="Y54" s="101"/>
      <c r="Z54" s="101"/>
      <c r="AA54" s="101"/>
      <c r="AB54" s="101"/>
      <c r="AC54" s="102"/>
      <c r="AD54" s="42"/>
      <c r="AE54" s="42"/>
      <c r="AF54" s="15"/>
      <c r="AL54" s="5"/>
    </row>
    <row r="55" spans="1:38" ht="6.75" customHeight="1" x14ac:dyDescent="0.4">
      <c r="A55" s="4"/>
      <c r="W55" s="6"/>
      <c r="X55" s="6"/>
      <c r="Y55" s="6"/>
      <c r="Z55" s="6"/>
      <c r="AA55" s="6"/>
      <c r="AB55" s="6"/>
      <c r="AC55" s="6"/>
      <c r="AD55" s="6"/>
      <c r="AE55" s="40"/>
      <c r="AF55" s="15"/>
      <c r="AL55" s="5"/>
    </row>
    <row r="56" spans="1:38" ht="24" x14ac:dyDescent="0.4">
      <c r="A56" s="4"/>
      <c r="T56" s="74" t="s">
        <v>43</v>
      </c>
      <c r="U56" s="74"/>
      <c r="V56" s="74"/>
      <c r="W56" s="89" t="s">
        <v>355</v>
      </c>
      <c r="X56" s="89"/>
      <c r="Y56" s="89"/>
      <c r="Z56" s="89"/>
      <c r="AA56" s="89"/>
      <c r="AB56" s="89"/>
      <c r="AC56" s="89"/>
      <c r="AF56" s="15"/>
      <c r="AL56" s="5"/>
    </row>
    <row r="57" spans="1:38" ht="3" customHeight="1" x14ac:dyDescent="0.4">
      <c r="A57" s="4"/>
      <c r="AF57" s="15"/>
      <c r="AL57" s="5"/>
    </row>
    <row r="58" spans="1:38" ht="15" customHeight="1" x14ac:dyDescent="0.4">
      <c r="A58" s="4"/>
      <c r="C58" s="44" t="s">
        <v>45</v>
      </c>
      <c r="T58" s="74" t="s">
        <v>42</v>
      </c>
      <c r="U58" s="74"/>
      <c r="V58" s="74"/>
      <c r="W58" s="90" t="s">
        <v>356</v>
      </c>
      <c r="X58" s="90"/>
      <c r="Y58" s="90"/>
      <c r="Z58" s="90"/>
      <c r="AA58" s="90"/>
      <c r="AB58" s="90"/>
      <c r="AC58" s="90"/>
      <c r="AF58" s="7"/>
      <c r="AL58" s="5"/>
    </row>
    <row r="59" spans="1:38" ht="9.9499999999999993" customHeight="1" x14ac:dyDescent="0.4">
      <c r="A59" s="22"/>
      <c r="L59" s="45"/>
      <c r="M59" s="45"/>
      <c r="N59" s="45"/>
      <c r="O59" s="45"/>
      <c r="P59" s="45"/>
      <c r="AF59" s="7"/>
      <c r="AL59" s="5"/>
    </row>
    <row r="60" spans="1:38" ht="15" customHeight="1" x14ac:dyDescent="0.4">
      <c r="A60" s="22"/>
      <c r="C60" s="145" t="s">
        <v>412</v>
      </c>
      <c r="D60" s="145"/>
      <c r="E60" s="145"/>
      <c r="F60" s="145"/>
      <c r="G60" s="145"/>
      <c r="H60" s="145"/>
      <c r="I60" s="145"/>
      <c r="J60" s="145"/>
      <c r="K60" s="45" t="s">
        <v>413</v>
      </c>
      <c r="T60" s="45"/>
      <c r="U60" s="45"/>
      <c r="V60" s="45"/>
      <c r="W60" s="45"/>
      <c r="Y60" s="6" t="s">
        <v>44</v>
      </c>
      <c r="Z60" s="145" t="s">
        <v>414</v>
      </c>
      <c r="AA60" s="145"/>
      <c r="AB60" s="145"/>
      <c r="AC60" s="145"/>
      <c r="AF60" s="7"/>
      <c r="AL60" s="5"/>
    </row>
    <row r="61" spans="1:38" ht="15" customHeight="1" x14ac:dyDescent="0.4">
      <c r="AG61" s="5"/>
      <c r="AH61" s="5"/>
      <c r="AI61" s="5"/>
      <c r="AJ61" s="5"/>
      <c r="AK61" s="5"/>
      <c r="AL61" s="5"/>
    </row>
    <row r="62" spans="1:38" x14ac:dyDescent="0.4">
      <c r="AG62" s="5"/>
      <c r="AH62" s="5"/>
      <c r="AI62" s="5"/>
      <c r="AJ62" s="5"/>
      <c r="AK62" s="5"/>
      <c r="AL62" s="5"/>
    </row>
  </sheetData>
  <mergeCells count="149">
    <mergeCell ref="C8:L9"/>
    <mergeCell ref="M8:O9"/>
    <mergeCell ref="K4:U7"/>
    <mergeCell ref="C60:J60"/>
    <mergeCell ref="Z60:AC60"/>
    <mergeCell ref="B13:D13"/>
    <mergeCell ref="B14:D14"/>
    <mergeCell ref="B15:D15"/>
    <mergeCell ref="B23:D23"/>
    <mergeCell ref="B24:D24"/>
    <mergeCell ref="K34:K35"/>
    <mergeCell ref="B46:J47"/>
    <mergeCell ref="L46:L47"/>
    <mergeCell ref="B27:D27"/>
    <mergeCell ref="B28:D30"/>
    <mergeCell ref="B25:D25"/>
    <mergeCell ref="B22:D22"/>
    <mergeCell ref="B21:D21"/>
    <mergeCell ref="B20:D20"/>
    <mergeCell ref="U29:AC29"/>
    <mergeCell ref="U30:AC30"/>
    <mergeCell ref="U23:AC23"/>
    <mergeCell ref="R38:R39"/>
    <mergeCell ref="B48:J49"/>
    <mergeCell ref="U17:AC17"/>
    <mergeCell ref="U18:AC18"/>
    <mergeCell ref="U19:AC19"/>
    <mergeCell ref="U13:V13"/>
    <mergeCell ref="U14:V14"/>
    <mergeCell ref="B17:D17"/>
    <mergeCell ref="B18:D18"/>
    <mergeCell ref="B19:D19"/>
    <mergeCell ref="F13:M13"/>
    <mergeCell ref="F14:M14"/>
    <mergeCell ref="Z10:AC10"/>
    <mergeCell ref="F17:M17"/>
    <mergeCell ref="F18:M18"/>
    <mergeCell ref="F19:H19"/>
    <mergeCell ref="I19:M19"/>
    <mergeCell ref="W13:AC13"/>
    <mergeCell ref="W14:AC14"/>
    <mergeCell ref="F15:AC15"/>
    <mergeCell ref="U27:AC27"/>
    <mergeCell ref="I23:M23"/>
    <mergeCell ref="F20:M20"/>
    <mergeCell ref="F21:M21"/>
    <mergeCell ref="I25:M25"/>
    <mergeCell ref="F27:M27"/>
    <mergeCell ref="F23:H23"/>
    <mergeCell ref="F24:H24"/>
    <mergeCell ref="F25:H25"/>
    <mergeCell ref="O20:AC20"/>
    <mergeCell ref="O26:S26"/>
    <mergeCell ref="U26:Y26"/>
    <mergeCell ref="Z26:AC26"/>
    <mergeCell ref="N13:T13"/>
    <mergeCell ref="N14:T14"/>
    <mergeCell ref="F12:M12"/>
    <mergeCell ref="U28:AC28"/>
    <mergeCell ref="B50:J51"/>
    <mergeCell ref="L34:L35"/>
    <mergeCell ref="M34:M35"/>
    <mergeCell ref="M50:M51"/>
    <mergeCell ref="K38:K39"/>
    <mergeCell ref="K40:K41"/>
    <mergeCell ref="K42:K43"/>
    <mergeCell ref="K44:K45"/>
    <mergeCell ref="K46:K47"/>
    <mergeCell ref="K48:K49"/>
    <mergeCell ref="B34:J35"/>
    <mergeCell ref="B36:J37"/>
    <mergeCell ref="B38:J39"/>
    <mergeCell ref="B40:J41"/>
    <mergeCell ref="B42:J43"/>
    <mergeCell ref="B44:J45"/>
    <mergeCell ref="M46:M47"/>
    <mergeCell ref="L48:L49"/>
    <mergeCell ref="K50:K51"/>
    <mergeCell ref="K36:K37"/>
    <mergeCell ref="L36:L37"/>
    <mergeCell ref="M36:M37"/>
    <mergeCell ref="L38:L39"/>
    <mergeCell ref="L42:L43"/>
    <mergeCell ref="M42:M43"/>
    <mergeCell ref="L44:L45"/>
    <mergeCell ref="M44:M45"/>
    <mergeCell ref="W56:AC56"/>
    <mergeCell ref="W58:AC58"/>
    <mergeCell ref="T58:V58"/>
    <mergeCell ref="R44:R45"/>
    <mergeCell ref="R46:R47"/>
    <mergeCell ref="B52:O53"/>
    <mergeCell ref="T53:AC54"/>
    <mergeCell ref="T49:AC50"/>
    <mergeCell ref="T51:AC52"/>
    <mergeCell ref="T47:AC48"/>
    <mergeCell ref="T45:W46"/>
    <mergeCell ref="R48:R49"/>
    <mergeCell ref="R50:R51"/>
    <mergeCell ref="N48:O49"/>
    <mergeCell ref="N50:O51"/>
    <mergeCell ref="T32:Z33"/>
    <mergeCell ref="T34:Z44"/>
    <mergeCell ref="T56:V56"/>
    <mergeCell ref="M48:M49"/>
    <mergeCell ref="L50:L51"/>
    <mergeCell ref="P31:Q31"/>
    <mergeCell ref="R40:R41"/>
    <mergeCell ref="B16:AD16"/>
    <mergeCell ref="O17:S17"/>
    <mergeCell ref="O18:S18"/>
    <mergeCell ref="O19:S19"/>
    <mergeCell ref="O21:S21"/>
    <mergeCell ref="U21:Y21"/>
    <mergeCell ref="O24:S24"/>
    <mergeCell ref="O25:S25"/>
    <mergeCell ref="J24:M24"/>
    <mergeCell ref="U22:Y22"/>
    <mergeCell ref="Z21:AC21"/>
    <mergeCell ref="Z22:AC22"/>
    <mergeCell ref="U24:Y24"/>
    <mergeCell ref="U25:Y25"/>
    <mergeCell ref="Z24:AC24"/>
    <mergeCell ref="Z25:AC25"/>
    <mergeCell ref="R42:R43"/>
    <mergeCell ref="F22:M22"/>
    <mergeCell ref="K32:O33"/>
    <mergeCell ref="N34:O35"/>
    <mergeCell ref="N36:O37"/>
    <mergeCell ref="N38:O39"/>
    <mergeCell ref="N40:O41"/>
    <mergeCell ref="N42:O43"/>
    <mergeCell ref="N44:O45"/>
    <mergeCell ref="N46:O47"/>
    <mergeCell ref="O23:S23"/>
    <mergeCell ref="O22:S22"/>
    <mergeCell ref="B32:J33"/>
    <mergeCell ref="R34:R35"/>
    <mergeCell ref="R36:R37"/>
    <mergeCell ref="F28:M28"/>
    <mergeCell ref="F29:M29"/>
    <mergeCell ref="F30:M30"/>
    <mergeCell ref="O27:S27"/>
    <mergeCell ref="O28:S28"/>
    <mergeCell ref="O29:S29"/>
    <mergeCell ref="O30:S30"/>
    <mergeCell ref="M38:M39"/>
    <mergeCell ref="L40:L41"/>
    <mergeCell ref="M40:M41"/>
  </mergeCells>
  <phoneticPr fontId="1"/>
  <pageMargins left="0.7" right="0.7" top="0.75" bottom="0.75" header="0.3" footer="0.3"/>
  <pageSetup paperSize="9" scale="93" orientation="portrait" r:id="rId1"/>
  <colBreaks count="1" manualBreakCount="1">
    <brk id="38" max="60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0667C22C-193F-4853-AB20-F6DBAF30D4C3}"/>
</file>

<file path=customXml/itemProps2.xml><?xml version="1.0" encoding="utf-8"?>
<ds:datastoreItem xmlns:ds="http://schemas.openxmlformats.org/officeDocument/2006/customXml" ds:itemID="{228E5089-DD60-4C32-AE06-6DB0149852CB}"/>
</file>

<file path=customXml/itemProps3.xml><?xml version="1.0" encoding="utf-8"?>
<ds:datastoreItem xmlns:ds="http://schemas.openxmlformats.org/officeDocument/2006/customXml" ds:itemID="{0C5741A5-C486-4382-812E-2A7079C01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 裕輝</dc:creator>
  <cp:lastModifiedBy>内野 裕輝</cp:lastModifiedBy>
  <cp:lastPrinted>2025-10-15T08:15:49Z</cp:lastPrinted>
  <dcterms:created xsi:type="dcterms:W3CDTF">2025-05-01T06:00:57Z</dcterms:created>
  <dcterms:modified xsi:type="dcterms:W3CDTF">2025-10-20T07:27:44Z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