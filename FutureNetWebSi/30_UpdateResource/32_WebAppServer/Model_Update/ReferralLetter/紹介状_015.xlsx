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D967DCA4-0551-4C70-8B41-88936296BA6F}" xr6:coauthVersionLast="47" xr6:coauthVersionMax="47" xr10:uidLastSave="{00000000-0000-0000-0000-000000000000}"/>
  <bookViews>
    <workbookView xWindow="4485" yWindow="1170" windowWidth="19845" windowHeight="16110" firstSheet="4" activeTab="4" xr2:uid="{FF5E9895-896F-4FB9-B5E4-EC85AEDF5E4E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レイアウト!$A$1:$BB$49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2" l="1"/>
  <c r="Y16" i="2"/>
  <c r="Y15" i="2"/>
  <c r="AE15" i="2"/>
  <c r="AO18" i="2"/>
  <c r="AS18" i="2"/>
  <c r="AR18" i="2"/>
  <c r="AQ18" i="2"/>
  <c r="AP18" i="2"/>
  <c r="AA18" i="2" l="1" a="1"/>
  <c r="AA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<sst xmlns="http://schemas.openxmlformats.org/spreadsheetml/2006/main" count="1109" uniqueCount="316">
  <si>
    <t>ReferralLetter</t>
  </si>
  <si>
    <t/>
  </si>
  <si>
    <t>0</t>
  </si>
  <si>
    <t>255100</t>
  </si>
  <si>
    <t>2025/06/24 10:48:48</t>
  </si>
  <si>
    <t>帳票設定</t>
  </si>
  <si>
    <t xml:space="preserve">有り_x000D_
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</si>
  <si>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</si>
  <si>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</si>
  <si>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</si>
  <si>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</si>
  <si>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</si>
  <si>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</si>
  <si>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</si>
  <si>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</si>
  <si>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</si>
  <si>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</si>
  <si>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</si>
  <si>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</si>
  <si>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</si>
  <si>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</si>
  <si>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</si>
  <si>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</si>
  <si>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</si>
  <si>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</si>
  <si>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</si>
  <si>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</si>
  <si>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</si>
  <si>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</si>
  <si>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</si>
  <si>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</si>
  <si>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</si>
  <si>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</si>
  <si>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</si>
  <si>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</si>
  <si>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</si>
  <si>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</si>
  <si>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</si>
  <si>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2025/06/24 10:49:06</t>
  </si>
  <si>
    <t>集計設定</t>
  </si>
  <si>
    <t xml:space="preserve">縦の合計: ⇒ 0_x000D_
横の合計: ⇒ 0_x000D_
</t>
  </si>
  <si>
    <t>透析室</t>
    <rPh sb="0" eb="3">
      <t>トウセキシツ</t>
    </rPh>
    <phoneticPr fontId="1"/>
  </si>
  <si>
    <t>記入日</t>
    <rPh sb="0" eb="3">
      <t>キニュウビ</t>
    </rPh>
    <phoneticPr fontId="1"/>
  </si>
  <si>
    <t>##印刷情報.共通情報.印刷日時</t>
  </si>
  <si>
    <t>患者情報</t>
    <rPh sb="0" eb="4">
      <t>カンジャジョウホウ</t>
    </rPh>
    <phoneticPr fontId="1"/>
  </si>
  <si>
    <t>氏名：</t>
    <rPh sb="0" eb="2">
      <t>シメイ</t>
    </rPh>
    <phoneticPr fontId="1"/>
  </si>
  <si>
    <t>住所：</t>
    <rPh sb="0" eb="2">
      <t>ジュウショ</t>
    </rPh>
    <phoneticPr fontId="1"/>
  </si>
  <si>
    <t>電話：</t>
    <rPh sb="0" eb="2">
      <t>デンワ</t>
    </rPh>
    <phoneticPr fontId="1"/>
  </si>
  <si>
    <t>印刷情報</t>
  </si>
  <si>
    <t>共通情報</t>
  </si>
  <si>
    <t>印刷日時</t>
  </si>
  <si>
    <t>prt_dt</t>
  </si>
  <si>
    <t>DateTime</t>
  </si>
  <si>
    <t>yyyy/mm/dd</t>
  </si>
  <si>
    <t>False</t>
  </si>
  <si>
    <t>Y2:AD2</t>
  </si>
  <si>
    <t>2025/06/24 12:37:09</t>
  </si>
  <si>
    <t xml:space="preserve">新規追加_x000D_
改頁しない_x000D_
プレビューデータ:2025/06/24_x000D_
書式:yyyy/mm/dd_x000D_
縮小しない_x000D_
テンプレート内外:_x000D_
</t>
  </si>
  <si>
    <t>20890</t>
  </si>
  <si>
    <t>2025/06/24 12:37:10</t>
  </si>
  <si>
    <t>定期日常点検・交換部品記録簿設定</t>
  </si>
  <si>
    <t xml:space="preserve">帳票区分:1 ⇒ _x000D_
</t>
  </si>
  <si>
    <t>生年月日</t>
    <rPh sb="0" eb="2">
      <t>セイネン</t>
    </rPh>
    <rPh sb="2" eb="4">
      <t>ガッピ</t>
    </rPh>
    <phoneticPr fontId="1"/>
  </si>
  <si>
    <t>携帯</t>
    <rPh sb="0" eb="2">
      <t>ケイタイ</t>
    </rPh>
    <phoneticPr fontId="1"/>
  </si>
  <si>
    <t>連絡先１</t>
    <rPh sb="0" eb="3">
      <t>レンラクサキ</t>
    </rPh>
    <phoneticPr fontId="1"/>
  </si>
  <si>
    <t>連択先２</t>
    <rPh sb="0" eb="3">
      <t>レンタクサキ</t>
    </rPh>
    <phoneticPr fontId="1"/>
  </si>
  <si>
    <t>様</t>
    <rPh sb="0" eb="1">
      <t>サマ</t>
    </rPh>
    <phoneticPr fontId="1"/>
  </si>
  <si>
    <t>電話</t>
    <rPh sb="0" eb="2">
      <t>デンワ</t>
    </rPh>
    <phoneticPr fontId="1"/>
  </si>
  <si>
    <t>職業：</t>
    <rPh sb="0" eb="2">
      <t>ショクギョウ</t>
    </rPh>
    <phoneticPr fontId="1"/>
  </si>
  <si>
    <t>主病名</t>
    <rPh sb="0" eb="2">
      <t>シュビョウ</t>
    </rPh>
    <rPh sb="2" eb="3">
      <t>メイ</t>
    </rPh>
    <phoneticPr fontId="1"/>
  </si>
  <si>
    <t>合併症</t>
    <rPh sb="0" eb="3">
      <t>ガッペイショウ</t>
    </rPh>
    <phoneticPr fontId="1"/>
  </si>
  <si>
    <t>その他の病名</t>
    <rPh sb="2" eb="3">
      <t>タ</t>
    </rPh>
    <rPh sb="4" eb="6">
      <t>ビョウメイ</t>
    </rPh>
    <phoneticPr fontId="1"/>
  </si>
  <si>
    <t>血液型</t>
    <rPh sb="0" eb="3">
      <t>ケツエキガタ</t>
    </rPh>
    <phoneticPr fontId="1"/>
  </si>
  <si>
    <t>感染症</t>
    <rPh sb="0" eb="3">
      <t>カンセンショウ</t>
    </rPh>
    <phoneticPr fontId="1"/>
  </si>
  <si>
    <t>治療方法</t>
    <rPh sb="0" eb="4">
      <t>チリョウホウホウ</t>
    </rPh>
    <phoneticPr fontId="1"/>
  </si>
  <si>
    <t>透析導入日</t>
    <rPh sb="0" eb="4">
      <t>トウセキドウニュウ</t>
    </rPh>
    <rPh sb="4" eb="5">
      <t>ヒ</t>
    </rPh>
    <phoneticPr fontId="1"/>
  </si>
  <si>
    <t>導入施設</t>
    <rPh sb="0" eb="4">
      <t>ドウニュウシセツ</t>
    </rPh>
    <phoneticPr fontId="1"/>
  </si>
  <si>
    <t>当院転入日</t>
    <rPh sb="0" eb="2">
      <t>トウイン</t>
    </rPh>
    <rPh sb="2" eb="5">
      <t>テンニュウビ</t>
    </rPh>
    <phoneticPr fontId="1"/>
  </si>
  <si>
    <t>通院手段</t>
    <rPh sb="0" eb="2">
      <t>ツウイン</t>
    </rPh>
    <rPh sb="2" eb="4">
      <t>シュダン</t>
    </rPh>
    <phoneticPr fontId="1"/>
  </si>
  <si>
    <t>食事箋</t>
    <rPh sb="0" eb="2">
      <t>ショクジ</t>
    </rPh>
    <rPh sb="2" eb="3">
      <t>セン</t>
    </rPh>
    <phoneticPr fontId="1"/>
  </si>
  <si>
    <t>介護保険</t>
    <rPh sb="0" eb="2">
      <t>カイゴ</t>
    </rPh>
    <rPh sb="2" eb="4">
      <t>ホケン</t>
    </rPh>
    <phoneticPr fontId="1"/>
  </si>
  <si>
    <t>ケアマネ</t>
    <phoneticPr fontId="1"/>
  </si>
  <si>
    <t>介護度</t>
    <rPh sb="0" eb="3">
      <t>カイゴド</t>
    </rPh>
    <phoneticPr fontId="1"/>
  </si>
  <si>
    <t>サービス</t>
    <phoneticPr fontId="1"/>
  </si>
  <si>
    <t>既往歴</t>
    <rPh sb="0" eb="3">
      <t>キオウレキ</t>
    </rPh>
    <phoneticPr fontId="1"/>
  </si>
  <si>
    <t>妊娠歴</t>
    <rPh sb="0" eb="3">
      <t>ニンシンレキ</t>
    </rPh>
    <phoneticPr fontId="1"/>
  </si>
  <si>
    <t>禁忌</t>
    <rPh sb="0" eb="2">
      <t>キンキ</t>
    </rPh>
    <phoneticPr fontId="1"/>
  </si>
  <si>
    <t>2025/07/01</t>
  </si>
  <si>
    <t>Y2:AE2</t>
  </si>
  <si>
    <t>2025/07/01 10:27:25</t>
  </si>
  <si>
    <t xml:space="preserve">新規追加_x000D_
改頁しない_x000D_
プレビューデータ:2025/07/01_x000D_
書式:yyyy/mm/dd_x000D_
縮小しない_x000D_
テンプレート内外:_x000D_
</t>
  </si>
  <si>
    <t>削除</t>
  </si>
  <si>
    <t>治療日</t>
    <rPh sb="0" eb="3">
      <t>チリョウビ</t>
    </rPh>
    <phoneticPr fontId="1"/>
  </si>
  <si>
    <t>VA</t>
    <phoneticPr fontId="1"/>
  </si>
  <si>
    <t>造設設定</t>
    <rPh sb="0" eb="4">
      <t>ゾウセツセッテイ</t>
    </rPh>
    <phoneticPr fontId="1"/>
  </si>
  <si>
    <t>造設日</t>
    <rPh sb="0" eb="3">
      <t>ゾウセツヒ</t>
    </rPh>
    <phoneticPr fontId="1"/>
  </si>
  <si>
    <t>その他の情報</t>
    <rPh sb="2" eb="3">
      <t>タ</t>
    </rPh>
    <rPh sb="4" eb="6">
      <t>ジョウホウ</t>
    </rPh>
    <phoneticPr fontId="1"/>
  </si>
  <si>
    <t>##患者情報.本人情報.患者名</t>
  </si>
  <si>
    <t>##患者情報.本人情報.住所</t>
  </si>
  <si>
    <t>##患者情報.本人情報.電話番号1</t>
  </si>
  <si>
    <t>##患者情報.本人情報.生年月日</t>
  </si>
  <si>
    <t>##患者情報.本人情報.電話番号2</t>
  </si>
  <si>
    <t>##患者情報.連絡先.氏名</t>
  </si>
  <si>
    <t>##患者情報.連絡先.電話番号1</t>
  </si>
  <si>
    <t>##患者情報.連絡先.電話番号2</t>
  </si>
  <si>
    <t>##患者情報.原疾患.病名</t>
  </si>
  <si>
    <t>##患者情報.本人情報.血液型ABORH</t>
  </si>
  <si>
    <t>##患者情報.感染症(+)(-)(不明).感染症</t>
  </si>
  <si>
    <t>##患者情報.既往歴(昇順).病名</t>
  </si>
  <si>
    <t>##指示.透析条件.治療方法</t>
  </si>
  <si>
    <t>##指示.投薬.治療日</t>
  </si>
  <si>
    <t>##患者情報.診療情報.透析導入日</t>
  </si>
  <si>
    <t>##指示.透析条件.VA</t>
  </si>
  <si>
    <t>##患者情報.診療情報.透析導入施設</t>
  </si>
  <si>
    <t>##指示.VA情報.造設日</t>
  </si>
  <si>
    <t>##指示.VA情報.開始日時</t>
  </si>
  <si>
    <t>##患者情報.入外・転入出.日付</t>
  </si>
  <si>
    <t>##患者情報.禁忌・アレルギー.内容</t>
  </si>
  <si>
    <t>患者情報</t>
  </si>
  <si>
    <t>本人情報</t>
  </si>
  <si>
    <t>患者名</t>
  </si>
  <si>
    <t>pat_name</t>
  </si>
  <si>
    <t>string</t>
  </si>
  <si>
    <t>日機装　太郎</t>
  </si>
  <si>
    <t>G/標準</t>
  </si>
  <si>
    <t>23</t>
  </si>
  <si>
    <t>G5:R5</t>
  </si>
  <si>
    <t>生年月日</t>
  </si>
  <si>
    <t>pat_birthday</t>
  </si>
  <si>
    <t>AA5:AJ5</t>
  </si>
  <si>
    <t>住所</t>
  </si>
  <si>
    <t>pat_address</t>
  </si>
  <si>
    <t>東京都渋谷区恵比寿3-43-2 日機装第１別館１F</t>
  </si>
  <si>
    <t>56</t>
  </si>
  <si>
    <t>G6:AJ6</t>
  </si>
  <si>
    <t>電話番号1</t>
  </si>
  <si>
    <t>pat_tel1</t>
  </si>
  <si>
    <t>03-1234-5678</t>
  </si>
  <si>
    <t>29</t>
  </si>
  <si>
    <t>G7:U7</t>
  </si>
  <si>
    <t>電話番号2</t>
  </si>
  <si>
    <t>pat_tel2</t>
  </si>
  <si>
    <t>090-1234-5678</t>
  </si>
  <si>
    <t>17</t>
  </si>
  <si>
    <t>AA7:AJ7</t>
  </si>
  <si>
    <t>連絡先</t>
  </si>
  <si>
    <t>氏名</t>
  </si>
  <si>
    <t>40</t>
  </si>
  <si>
    <t>other_name</t>
  </si>
  <si>
    <t>日機装　次郎</t>
  </si>
  <si>
    <t>True</t>
  </si>
  <si>
    <t>G9:R9</t>
  </si>
  <si>
    <t>患者情報.連絡先</t>
  </si>
  <si>
    <t>tel1</t>
  </si>
  <si>
    <t>03-9876-5432</t>
  </si>
  <si>
    <t>AA9:AJ9</t>
  </si>
  <si>
    <t>G10:R10</t>
  </si>
  <si>
    <t>tel2</t>
  </si>
  <si>
    <t>080-9876-5432</t>
  </si>
  <si>
    <t>AA10:AJ10</t>
  </si>
  <si>
    <t>原疾患</t>
  </si>
  <si>
    <t>病名</t>
  </si>
  <si>
    <t>26</t>
  </si>
  <si>
    <t>disease_name</t>
  </si>
  <si>
    <t>慢性糸球体腎炎</t>
  </si>
  <si>
    <t>25</t>
  </si>
  <si>
    <t>G14:S14</t>
  </si>
  <si>
    <t>血液型ABORH</t>
  </si>
  <si>
    <t>pat_blood_type_abo_rh</t>
  </si>
  <si>
    <t>A型 Rh-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</si>
  <si>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</si>
  <si>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21</t>
  </si>
  <si>
    <t>Y14:AJ14</t>
  </si>
  <si>
    <t>感染症(+)(-)(不明)</t>
  </si>
  <si>
    <t>感染症</t>
  </si>
  <si>
    <t>infection_name</t>
  </si>
  <si>
    <t>Hbc抗体</t>
  </si>
  <si>
    <t>Y15:AD15</t>
  </si>
  <si>
    <t>患者情報.感染症(+)(-)(不明)</t>
  </si>
  <si>
    <t>G16:S16</t>
  </si>
  <si>
    <t>指示</t>
  </si>
  <si>
    <t>透析条件</t>
  </si>
  <si>
    <t>治療方法</t>
  </si>
  <si>
    <t>5</t>
  </si>
  <si>
    <t>treatment_name</t>
  </si>
  <si>
    <t>HDF</t>
  </si>
  <si>
    <t>G18:U18</t>
  </si>
  <si>
    <t>4</t>
  </si>
  <si>
    <t>AA18:AJ18</t>
  </si>
  <si>
    <t>診療情報</t>
  </si>
  <si>
    <t>透析導入日</t>
  </si>
  <si>
    <t>19</t>
  </si>
  <si>
    <t>dialysis_start_date</t>
  </si>
  <si>
    <t>2000/02/10</t>
  </si>
  <si>
    <t>G19:U19</t>
  </si>
  <si>
    <t>VA</t>
  </si>
  <si>
    <t>45</t>
  </si>
  <si>
    <t>va_name</t>
  </si>
  <si>
    <t>左手前腕内シャント化静脈</t>
  </si>
  <si>
    <t>AA19:AJ19</t>
  </si>
  <si>
    <t>透析導入施設</t>
  </si>
  <si>
    <t>facility_name</t>
  </si>
  <si>
    <t>日機装病院</t>
  </si>
  <si>
    <t>G20:U20</t>
  </si>
  <si>
    <t>VA情報</t>
  </si>
  <si>
    <t>208</t>
  </si>
  <si>
    <t>2011/05/20</t>
  </si>
  <si>
    <t>AA20:AJ20</t>
  </si>
  <si>
    <t>入外・転入出</t>
  </si>
  <si>
    <t>日付</t>
  </si>
  <si>
    <t>210</t>
  </si>
  <si>
    <t>period_start</t>
  </si>
  <si>
    <t>2011/04/21</t>
  </si>
  <si>
    <t>G21:U21</t>
  </si>
  <si>
    <t>患者情報.入外・転入出</t>
  </si>
  <si>
    <t>造設日</t>
  </si>
  <si>
    <t>make_start_date</t>
  </si>
  <si>
    <t>AA21:AJ21</t>
  </si>
  <si>
    <t>禁忌・アレルギー</t>
  </si>
  <si>
    <t>内容</t>
  </si>
  <si>
    <t>22</t>
  </si>
  <si>
    <t>content</t>
  </si>
  <si>
    <t>テスト薬剤（禁忌・アレルギー）</t>
  </si>
  <si>
    <t>G39:AJ39</t>
  </si>
  <si>
    <t>患者情報.禁忌・アレルギー</t>
  </si>
  <si>
    <t>2025/07/01 12:41:01</t>
  </si>
  <si>
    <t xml:space="preserve">新規追加_x000D_
表示文字数:23_x000D_
改頁しない_x000D_
プレビューデータ:日機装　太郎_x000D_
書式:G/標準_x000D_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</si>
  <si>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</si>
  <si>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表示文字数:56_x000D_
改頁しない_x000D_
プレビューデータ:東京都渋谷区恵比寿3-43-2 日機装第１別館１F_x000D_
書式:G/標準_x000D_
縮小しない_x000D_
テンプレート内外:_x000D_
</t>
  </si>
  <si>
    <t xml:space="preserve">新規追加_x000D_
表示文字数:29_x000D_
改頁しない_x000D_
プレビューデータ:03-1234-5678_x000D_
書式:G/標準_x000D_
縮小しない_x000D_
テンプレート内外:_x000D_
</t>
  </si>
  <si>
    <t xml:space="preserve">新規追加_x000D_
表示文字数:17_x000D_
改頁しない_x000D_
プレビューデータ:090-1234-5678_x000D_
書式:G/標準_x000D_
縮小しない_x000D_
テンプレート内外:_x000D_
</t>
  </si>
  <si>
    <t xml:space="preserve">新規追加_x000D_
表示文字数:23_x000D_
改頁しない_x000D_
繰返場所:G9:R9_x000D_
グループ名:患者情報.連絡先_x000D_
プレビューデータ:日機装　次郎_x000D_
書式:G/標準_x000D_
縮小しない_x000D_
テンプレート内外:_x000D_
</t>
  </si>
  <si>
    <t xml:space="preserve">新規追加_x000D_
表示文字数:17_x000D_
改頁しない_x000D_
繰返場所:AA9:AJ9_x000D_
グループ名:患者情報.連絡先_x000D_
プレビューデータ:03-9876-5432_x000D_
書式:G/標準_x000D_
縮小しない_x000D_
テンプレート内外:_x000D_
</t>
  </si>
  <si>
    <t xml:space="preserve">新規追加_x000D_
表示文字数:23_x000D_
改頁しない_x000D_
繰返場所:G10:R10_x000D_
グループ名:患者情報.連絡先_x000D_
プレビューデータ:日機装　次郎_x000D_
書式:G/標準_x000D_
縮小しない_x000D_
テンプレート内外:_x000D_
</t>
  </si>
  <si>
    <t xml:space="preserve">新規追加_x000D_
表示文字数:17_x000D_
改頁しない_x000D_
繰返場所:AA10:AJ10_x000D_
グループ名:患者情報.連絡先_x000D_
プレビューデータ:080-9876-5432_x000D_
書式:G/標準_x000D_
縮小しない_x000D_
テンプレート内外:_x000D_
</t>
  </si>
  <si>
    <t xml:space="preserve">新規追加_x000D_
表示文字数:25_x000D_
改頁しない_x000D_
プレビューデータ:慢性糸球体腎炎_x000D_
書式:G/標準_x000D_
縮小しない_x000D_
テンプレート内外:_x000D_
</t>
  </si>
  <si>
    <t xml:space="preserve">新規追加_x000D_
表示文字数:21_x000D_
改頁しない_x000D_
プレビューデータ:A型 Rh-_x000D_
書式:G/標準_x000D_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</si>
  <si>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表示文字数:10_x000D_
改頁しない_x000D_
繰返場所:Y15:AD15,Y16:AD16,AE15:AJ15,AE16:AJ16_x000D_
グループ名:患者情報.感染症(+)(-)(不明)_x000D_
プレビューデータ:Hbc抗体_x000D_
書式:G/標準_x000D_
縮小しない_x000D_
テンプレート内外:_x000D_
</t>
  </si>
  <si>
    <t xml:space="preserve">新規追加_x000D_
表示文字数:25_x000D_
改頁しない_x000D_
繰返場所:G16:S16_x000D_
グループ名:患者情報.既往歴(昇順)_x000D_
プレビューデータ:インフルエンザ_x000D_
書式:G/標準_x000D_
縮小しない_x000D_
テンプレート内外:_x000D_
</t>
  </si>
  <si>
    <t xml:space="preserve">新規追加_x000D_
表示文字数:29_x000D_
改頁しない_x000D_
プレビューデータ:HDF_x000D_
書式:G/標準_x000D_
縮小しない_x000D_
テンプレート内外:_x000D_
</t>
  </si>
  <si>
    <t xml:space="preserve">新規追加_x000D_
改頁しない_x000D_
繰返場所:AA18:AJ18_x000D_
グループ名:指示.投薬_x000D_
プレビューデータ:2011/03/04_x000D_
書式:yyyy/mm/dd_x000D_
抽出条件:&lt;SelectSetting&gt;&lt;Item tag="Medicine" checkState="Checked" /&gt;&lt;/SelectSetting&gt;_x000D_
縮小しない_x000D_
テンプレート内外:_x000D_
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</si>
  <si>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</si>
  <si>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表示文字数:17_x000D_
改頁しない_x000D_
プレビューデータ:左手前腕内シャント化静脈_x000D_
書式:G/標準_x000D_
縮小しない_x000D_
テンプレート内外:_x000D_
</t>
  </si>
  <si>
    <t xml:space="preserve">新規追加_x000D_
表示文字数:29_x000D_
改頁しない_x000D_
プレビューデータ:日機装病院_x000D_
書式:G/標準_x000D_
縮小しない_x000D_
テンプレート内外:_x000D_
</t>
  </si>
  <si>
    <t xml:space="preserve">新規追加_x000D_
改頁しない_x000D_
プレビューデータ:2011/05/20_x000D_
書式:yyyy/mm/dd_x000D_
縮小しない_x000D_
テンプレート内外:_x000D_
</t>
  </si>
  <si>
    <t xml:space="preserve">新規追加_x000D_
改頁しない_x000D_
繰返場所:G21:U21_x000D_
グループ名:患者情報.入外・転入出_x000D_
プレビューデータ:2011/04/21_x000D_
書式:yyyy/mm/dd_x000D_
縮小しない_x000D_
テンプレート内外:_x000D_
</t>
  </si>
  <si>
    <t xml:space="preserve">新規追加_x000D_
表示文字数:56_x000D_
改頁しない_x000D_
繰返場所:G39:AJ39_x000D_
グループ名:患者情報.禁忌・アレルギー_x000D_
プレビューデータ:テスト薬剤（禁忌・アレルギー）_x000D_
書式:G/標準_x000D_
縮小しない_x000D_
テンプレート内外:_x000D_
</t>
  </si>
  <si>
    <t>患者情報.連絡先.患者情報.連絡先.G9:R9</t>
  </si>
  <si>
    <t>患者情報.感染症(+)(-)(不明).患者情報.感染症(+)(-)(不明).Y15:AD15</t>
  </si>
  <si>
    <t>患者情報.既往歴(昇順).患者情報.既往歴(昇順).G16:S16</t>
  </si>
  <si>
    <t>指示.投薬.指示.投薬.AA18:AJ18</t>
  </si>
  <si>
    <t>患者情報.入外・転入出.患者情報.入外・転入出.G21:U21</t>
  </si>
  <si>
    <t>患者情報.禁忌・アレルギー.患者情報.禁忌・アレルギー.G39:AJ39</t>
  </si>
  <si>
    <t>グループ</t>
  </si>
  <si>
    <t xml:space="preserve">改頁しない_x000D_
</t>
  </si>
  <si>
    <t xml:space="preserve">改頁しない_x000D_
抽出条件:&lt;SelectSetting&gt;&lt;Item tag="Medicine" checkState="Checked" /&gt;&lt;/SelectSetting&gt;_x000D_
</t>
  </si>
  <si>
    <t>2025/07/01 14:52:02</t>
  </si>
  <si>
    <t xml:space="preserve">設定変更_x000D_
表示文字数:10 ⇒ _x000D_
縮小しない_x000D_
</t>
  </si>
  <si>
    <t>2025/07/01 15:56:48</t>
  </si>
  <si>
    <t xml:space="preserve">設定変更_x000D_
プレビューデータ:1945/01/01 ⇒ 2025/07/01_x000D_
</t>
  </si>
  <si>
    <t>##患者情報.感染症(+)(-)(不明).感染症</t>
    <phoneticPr fontId="1"/>
  </si>
  <si>
    <t>##患者情報.感染症(+)(-)(不明).感染症結果</t>
  </si>
  <si>
    <t>AK15,AK16,AK17,AK18</t>
  </si>
  <si>
    <t>AK15</t>
  </si>
  <si>
    <t>感染症結果</t>
  </si>
  <si>
    <t>infect</t>
  </si>
  <si>
    <t>(不明)</t>
  </si>
  <si>
    <t>AL15,AL16,AL17,AL18</t>
  </si>
  <si>
    <t>AL15</t>
  </si>
  <si>
    <t>2025/07/01 16:18:04</t>
  </si>
  <si>
    <t xml:space="preserve">新規追加_x000D_
改頁しない_x000D_
繰返場所:AK15,AK16,AK17,AK18_x000D_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</si>
  <si>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繰返場所:AL15,AL16,AL17,AL18_x000D_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</si>
  <si>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>G49:AJ49</t>
  </si>
  <si>
    <t>69</t>
  </si>
  <si>
    <t>2025/07/01 16:34:21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</si>
  <si>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</si>
  <si>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新規追加_x000D_
表示文字数:69_x000D_
改頁しない_x000D_
繰返場所:G49:AJ49_x000D_
グループ名:患者情報.禁忌・アレルギー_x000D_
プレビューデータ:テスト薬剤（禁忌・アレルギー）_x000D_
書式:G/標準_x000D_
縮小しない_x000D_
テンプレート内外:_x000D_
</t>
  </si>
  <si>
    <t>患者情報.禁忌・アレルギー.患者情報.禁忌・アレルギー.G49:AJ49</t>
  </si>
  <si>
    <t>##指示.透析パターン.透析パターン曜日</t>
  </si>
  <si>
    <t>透析パターン</t>
  </si>
  <si>
    <t>透析パターン曜日</t>
  </si>
  <si>
    <t>202</t>
  </si>
  <si>
    <t>treat_week</t>
  </si>
  <si>
    <t>月</t>
  </si>
  <si>
    <t>AK18</t>
  </si>
  <si>
    <t>2025/07/01 16:40:06</t>
  </si>
  <si>
    <t xml:space="preserve">新規追加_x000D_
改頁しない_x000D_
プレビューデータ:月_x000D_
書式:G/標準_x000D_
縮小しない_x000D_
テンプレート内外:_x000D_
</t>
  </si>
  <si>
    <t>2025/07/01 16:40:50</t>
  </si>
  <si>
    <t>AN18</t>
  </si>
  <si>
    <t>2025/07/01 16:42:46</t>
  </si>
  <si>
    <t>2025/07/01 16:46:31</t>
  </si>
  <si>
    <t>##患者情報.保険情報.保険名</t>
  </si>
  <si>
    <t>##患者情報.既往歴.透析導入原疾患</t>
  </si>
  <si>
    <t>G26:U26</t>
  </si>
  <si>
    <t>G31:U31</t>
  </si>
  <si>
    <t>2025/07/01 17:01:14</t>
  </si>
  <si>
    <t xml:space="preserve">新規追加_x000D_
表示文字数:35_x000D_
改頁しない_x000D_
プレビューデータ:XX保険_x000D_
書式:G/標準_x000D_
縮小しない_x000D_
テンプレート内外:_x000D_
</t>
  </si>
  <si>
    <t xml:space="preserve">新規追加_x000D_
表示文字数:35_x000D_
改頁しない_x000D_
プレビューデータ:透析導入原疾患_x000D_
書式:G/標準_x000D_
縮小しない_x000D_
テンプレート内外:_x000D_
</t>
  </si>
  <si>
    <t>2025/07/01 17:02:44</t>
  </si>
  <si>
    <t>2025/07/01 17:03:43</t>
  </si>
  <si>
    <t>2025/07/01 17:06:57</t>
  </si>
  <si>
    <t>2025/07/01 17:09:30</t>
  </si>
  <si>
    <t>&lt;convTable cls=""&gt;&lt;conv code="0" item="不明" disp="不明" /&gt;&lt;conv code="1" item="(-)" disp="(-)" /&gt;&lt;conv code="2" item="(+)" disp="(+)" /&gt;&lt;/convTable&gt;</t>
  </si>
  <si>
    <t>2025/07/02</t>
  </si>
  <si>
    <t>Y2:AC2</t>
  </si>
  <si>
    <t>2025/07/02 08:42:22</t>
  </si>
  <si>
    <t xml:space="preserve">新規追加_x000D_
改頁しない_x000D_
プレビューデータ:2025/07/02_x000D_
書式:yyyy/mm/dd_x000D_
縮小しない_x000D_
テンプレート内外:_x000D_
</t>
  </si>
  <si>
    <t>Z2:AC2</t>
  </si>
  <si>
    <t>2025/07/02 08:45:20</t>
  </si>
  <si>
    <t>CanBarCode</t>
  </si>
  <si>
    <t>BarCode</t>
  </si>
  <si>
    <t>2025/10/15 09:11:30</t>
  </si>
  <si>
    <t>2025/10/15 09:11:31</t>
  </si>
  <si>
    <t xml:space="preserve">出力値のない列は省略する設定: ⇒ 0_x000D_
</t>
  </si>
  <si>
    <t>2025/10/15 09:16:21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</si>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</sst>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>
      <alignment vertical="center"/>
    </xf>
    <xf numFmtId="176" fontId="6" fillId="0" borderId="0" xfId="0" applyNumberFormat="1" applyFont="1" applyAlignment="1">
      <alignment vertical="center" shrinkToFit="1"/>
    </xf>
    <xf numFmtId="0" fontId="2" fillId="0" borderId="13" xfId="0" applyFont="1" applyBorder="1" applyAlignment="1">
      <alignment vertical="center"/>
    </xf>
    <xf numFmtId="0" fontId="5" fillId="0" borderId="0" xfId="0" applyFont="1" applyBorder="1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Alignment="1">
      <alignment vertical="center"/>
    </xf>
    <xf numFmtId="0" fontId="2" fillId="2" borderId="0" xfId="0" applyNumberFormat="1" applyFont="1" applyFill="1" applyAlignment="1">
      <alignment vertical="center" shrinkToFit="1"/>
    </xf>
    <xf numFmtId="0" fontId="8" fillId="0" borderId="0" xfId="0" applyFont="1" applyBorder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0" borderId="6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3" fillId="0" borderId="20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8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6" fillId="0" borderId="2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6" fillId="3" borderId="10" xfId="0" applyNumberFormat="1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6" fillId="0" borderId="18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30" xfId="0" applyFont="1" applyBorder="1" applyAlignment="1">
      <alignment horizontal="left" vertical="top"/>
    </xf>
    <xf numFmtId="0" fontId="6" fillId="0" borderId="19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6" fillId="0" borderId="15" xfId="0" applyNumberFormat="1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176" fontId="6" fillId="0" borderId="18" xfId="0" applyNumberFormat="1" applyFont="1" applyBorder="1" applyAlignment="1">
      <alignment horizontal="left" vertical="center"/>
    </xf>
    <xf numFmtId="176" fontId="6" fillId="0" borderId="17" xfId="0" applyNumberFormat="1" applyFont="1" applyBorder="1" applyAlignment="1">
      <alignment horizontal="left" vertical="center"/>
    </xf>
    <xf numFmtId="176" fontId="6" fillId="0" borderId="19" xfId="0" applyNumberFormat="1" applyFont="1" applyBorder="1" applyAlignment="1">
      <alignment horizontal="left" vertical="center"/>
    </xf>
    <xf numFmtId="0" fontId="6" fillId="0" borderId="22" xfId="0" applyNumberFormat="1" applyFont="1" applyBorder="1" applyAlignment="1">
      <alignment horizontal="left" vertical="center"/>
    </xf>
    <xf numFmtId="0" fontId="6" fillId="0" borderId="21" xfId="0" applyNumberFormat="1" applyFont="1" applyBorder="1" applyAlignment="1">
      <alignment horizontal="left" vertical="center"/>
    </xf>
    <xf numFmtId="0" fontId="6" fillId="0" borderId="23" xfId="0" applyNumberFormat="1" applyFont="1" applyBorder="1" applyAlignment="1">
      <alignment horizontal="left" vertical="center"/>
    </xf>
    <xf numFmtId="176" fontId="6" fillId="0" borderId="22" xfId="0" applyNumberFormat="1" applyFont="1" applyFill="1" applyBorder="1" applyAlignment="1">
      <alignment horizontal="left" vertical="center"/>
    </xf>
    <xf numFmtId="176" fontId="6" fillId="0" borderId="21" xfId="0" applyNumberFormat="1" applyFont="1" applyFill="1" applyBorder="1" applyAlignment="1">
      <alignment horizontal="left" vertical="center"/>
    </xf>
    <xf numFmtId="176" fontId="6" fillId="0" borderId="23" xfId="0" applyNumberFormat="1" applyFont="1" applyFill="1" applyBorder="1" applyAlignment="1">
      <alignment horizontal="left" vertical="center"/>
    </xf>
    <xf numFmtId="176" fontId="6" fillId="0" borderId="26" xfId="0" applyNumberFormat="1" applyFont="1" applyBorder="1" applyAlignment="1">
      <alignment horizontal="left" vertical="center"/>
    </xf>
    <xf numFmtId="176" fontId="6" fillId="0" borderId="25" xfId="0" applyNumberFormat="1" applyFont="1" applyBorder="1" applyAlignment="1">
      <alignment horizontal="left" vertical="center"/>
    </xf>
    <xf numFmtId="176" fontId="6" fillId="0" borderId="27" xfId="0" applyNumberFormat="1" applyFont="1" applyBorder="1" applyAlignment="1">
      <alignment horizontal="left" vertical="center"/>
    </xf>
    <xf numFmtId="0" fontId="6" fillId="0" borderId="18" xfId="0" applyNumberFormat="1" applyFont="1" applyBorder="1" applyAlignment="1">
      <alignment horizontal="left" vertical="center"/>
    </xf>
    <xf numFmtId="0" fontId="6" fillId="0" borderId="17" xfId="0" applyNumberFormat="1" applyFont="1" applyBorder="1" applyAlignment="1">
      <alignment horizontal="left" vertical="center"/>
    </xf>
    <xf numFmtId="0" fontId="6" fillId="0" borderId="19" xfId="0" applyNumberFormat="1" applyFont="1" applyBorder="1" applyAlignment="1">
      <alignment horizontal="left" vertical="center"/>
    </xf>
    <xf numFmtId="176" fontId="6" fillId="0" borderId="22" xfId="0" applyNumberFormat="1" applyFont="1" applyBorder="1" applyAlignment="1">
      <alignment horizontal="left" vertical="center"/>
    </xf>
    <xf numFmtId="176" fontId="6" fillId="0" borderId="21" xfId="0" applyNumberFormat="1" applyFont="1" applyBorder="1" applyAlignment="1">
      <alignment horizontal="left" vertical="center"/>
    </xf>
    <xf numFmtId="176" fontId="6" fillId="0" borderId="23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9" xfId="0" applyNumberFormat="1" applyFont="1" applyBorder="1" applyAlignment="1">
      <alignment horizontal="left" vertical="center"/>
    </xf>
    <xf numFmtId="0" fontId="6" fillId="0" borderId="9" xfId="0" applyNumberFormat="1" applyFont="1" applyBorder="1" applyAlignment="1">
      <alignment horizontal="left" vertical="center" shrinkToFit="1"/>
    </xf>
    <xf numFmtId="0" fontId="6" fillId="0" borderId="6" xfId="0" applyNumberFormat="1" applyFont="1" applyBorder="1" applyAlignment="1">
      <alignment horizontal="left" vertical="center" shrinkToFit="1"/>
    </xf>
    <xf numFmtId="0" fontId="6" fillId="0" borderId="9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left" vertical="center" shrinkToFit="1"/>
    </xf>
    <xf numFmtId="0" fontId="6" fillId="0" borderId="9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left" vertical="center"/>
    </xf>
    <xf numFmtId="0" fontId="6" fillId="0" borderId="4" xfId="0" applyNumberFormat="1" applyFont="1" applyBorder="1" applyAlignment="1">
      <alignment horizontal="left" vertical="center"/>
    </xf>
    <xf numFmtId="0" fontId="6" fillId="0" borderId="25" xfId="0" applyNumberFormat="1" applyFont="1" applyBorder="1" applyAlignment="1">
      <alignment horizontal="left" vertical="center"/>
    </xf>
    <xf numFmtId="0" fontId="6" fillId="0" borderId="27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0" xfId="0" applyFont="1" applyBorder="1" applyAlignment="1">
      <alignment horizontal="distributed" vertical="center"/>
    </xf>
    <xf numFmtId="176" fontId="6" fillId="0" borderId="6" xfId="0" applyNumberFormat="1" applyFont="1" applyBorder="1" applyAlignment="1">
      <alignment horizontal="left" vertical="center"/>
    </xf>
    <xf numFmtId="176" fontId="6" fillId="0" borderId="7" xfId="0" applyNumberFormat="1" applyFont="1" applyBorder="1" applyAlignment="1">
      <alignment horizontal="left" vertical="center"/>
    </xf>
    <xf numFmtId="176" fontId="5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7AB5-7D6A-4A02-962F-1CA67B5FE2A8}">
  <dimension ref="A1:E70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93.75" x14ac:dyDescent="0.4">
      <c r="A2" s="1" t="s">
        <v>3</v>
      </c>
      <c r="B2" s="1" t="s">
        <v>38</v>
      </c>
      <c r="C2" s="1" t="s">
        <v>39</v>
      </c>
      <c r="D2" s="1" t="s">
        <v>1</v>
      </c>
      <c r="E2" s="3" t="s">
        <v>40</v>
      </c>
    </row>
    <row r="3" spans="1:5" ht="318.75" x14ac:dyDescent="0.4">
      <c r="A3" s="1" t="s">
        <v>3</v>
      </c>
      <c r="B3" s="1" t="s">
        <v>56</v>
      </c>
      <c r="C3" s="1" t="s">
        <v>43</v>
      </c>
      <c r="D3" s="1" t="s">
        <v>55</v>
      </c>
      <c r="E3" s="3" t="s">
        <v>57</v>
      </c>
    </row>
    <row r="4" spans="1:5" ht="56.25" x14ac:dyDescent="0.4">
      <c r="A4" s="1" t="s">
        <v>3</v>
      </c>
      <c r="B4" s="1" t="s">
        <v>59</v>
      </c>
      <c r="C4" s="1" t="s">
        <v>60</v>
      </c>
      <c r="D4" s="1" t="s">
        <v>1</v>
      </c>
      <c r="E4" s="3" t="s">
        <v>61</v>
      </c>
    </row>
    <row r="5" spans="1:5" ht="318.75" x14ac:dyDescent="0.4">
      <c r="A5" s="1" t="s">
        <v>3</v>
      </c>
      <c r="B5" s="1" t="s">
        <v>89</v>
      </c>
      <c r="C5" s="1" t="s">
        <v>43</v>
      </c>
      <c r="D5" s="1" t="s">
        <v>88</v>
      </c>
      <c r="E5" s="3" t="s">
        <v>90</v>
      </c>
    </row>
    <row r="6" spans="1:5" x14ac:dyDescent="0.4">
      <c r="A6" s="1" t="s">
        <v>3</v>
      </c>
      <c r="B6" s="1" t="s">
        <v>89</v>
      </c>
      <c r="C6" s="1" t="s">
        <v>43</v>
      </c>
      <c r="D6" s="1" t="s">
        <v>55</v>
      </c>
      <c r="E6" s="1" t="s">
        <v>91</v>
      </c>
    </row>
    <row r="7" spans="1:5" ht="337.5" x14ac:dyDescent="0.4">
      <c r="A7" s="1" t="s">
        <v>3</v>
      </c>
      <c r="B7" s="1" t="s">
        <v>225</v>
      </c>
      <c r="C7" s="1" t="s">
        <v>97</v>
      </c>
      <c r="D7" s="1" t="s">
        <v>126</v>
      </c>
      <c r="E7" s="3" t="s">
        <v>226</v>
      </c>
    </row>
    <row r="8" spans="1:5" ht="318.75" x14ac:dyDescent="0.4">
      <c r="A8" s="1" t="s">
        <v>3</v>
      </c>
      <c r="B8" s="1" t="s">
        <v>225</v>
      </c>
      <c r="C8" s="1" t="s">
        <v>100</v>
      </c>
      <c r="D8" s="1" t="s">
        <v>129</v>
      </c>
      <c r="E8" s="3" t="s">
        <v>227</v>
      </c>
    </row>
    <row r="9" spans="1:5" ht="393.75" x14ac:dyDescent="0.4">
      <c r="A9" s="1" t="s">
        <v>3</v>
      </c>
      <c r="B9" s="1" t="s">
        <v>225</v>
      </c>
      <c r="C9" s="1" t="s">
        <v>98</v>
      </c>
      <c r="D9" s="1" t="s">
        <v>134</v>
      </c>
      <c r="E9" s="3" t="s">
        <v>228</v>
      </c>
    </row>
    <row r="10" spans="1:5" ht="356.25" x14ac:dyDescent="0.4">
      <c r="A10" s="1" t="s">
        <v>3</v>
      </c>
      <c r="B10" s="1" t="s">
        <v>225</v>
      </c>
      <c r="C10" s="1" t="s">
        <v>99</v>
      </c>
      <c r="D10" s="1" t="s">
        <v>139</v>
      </c>
      <c r="E10" s="3" t="s">
        <v>229</v>
      </c>
    </row>
    <row r="11" spans="1:5" ht="356.25" x14ac:dyDescent="0.4">
      <c r="A11" s="1" t="s">
        <v>3</v>
      </c>
      <c r="B11" s="1" t="s">
        <v>225</v>
      </c>
      <c r="C11" s="1" t="s">
        <v>101</v>
      </c>
      <c r="D11" s="1" t="s">
        <v>144</v>
      </c>
      <c r="E11" s="3" t="s">
        <v>230</v>
      </c>
    </row>
    <row r="12" spans="1:5" ht="409.5" x14ac:dyDescent="0.4">
      <c r="A12" s="1" t="s">
        <v>3</v>
      </c>
      <c r="B12" s="1" t="s">
        <v>225</v>
      </c>
      <c r="C12" s="1" t="s">
        <v>102</v>
      </c>
      <c r="D12" s="1" t="s">
        <v>151</v>
      </c>
      <c r="E12" s="3" t="s">
        <v>231</v>
      </c>
    </row>
    <row r="13" spans="1:5" ht="409.5" x14ac:dyDescent="0.4">
      <c r="A13" s="1" t="s">
        <v>3</v>
      </c>
      <c r="B13" s="1" t="s">
        <v>225</v>
      </c>
      <c r="C13" s="1" t="s">
        <v>103</v>
      </c>
      <c r="D13" s="1" t="s">
        <v>155</v>
      </c>
      <c r="E13" s="3" t="s">
        <v>232</v>
      </c>
    </row>
    <row r="14" spans="1:5" ht="409.5" x14ac:dyDescent="0.4">
      <c r="A14" s="1" t="s">
        <v>3</v>
      </c>
      <c r="B14" s="1" t="s">
        <v>225</v>
      </c>
      <c r="C14" s="1" t="s">
        <v>102</v>
      </c>
      <c r="D14" s="1" t="s">
        <v>156</v>
      </c>
      <c r="E14" s="3" t="s">
        <v>233</v>
      </c>
    </row>
    <row r="15" spans="1:5" ht="409.5" x14ac:dyDescent="0.4">
      <c r="A15" s="1" t="s">
        <v>3</v>
      </c>
      <c r="B15" s="1" t="s">
        <v>225</v>
      </c>
      <c r="C15" s="1" t="s">
        <v>104</v>
      </c>
      <c r="D15" s="1" t="s">
        <v>159</v>
      </c>
      <c r="E15" s="3" t="s">
        <v>234</v>
      </c>
    </row>
    <row r="16" spans="1:5" ht="337.5" x14ac:dyDescent="0.4">
      <c r="A16" s="1" t="s">
        <v>3</v>
      </c>
      <c r="B16" s="1" t="s">
        <v>225</v>
      </c>
      <c r="C16" s="1" t="s">
        <v>105</v>
      </c>
      <c r="D16" s="1" t="s">
        <v>166</v>
      </c>
      <c r="E16" s="3" t="s">
        <v>235</v>
      </c>
    </row>
    <row r="17" spans="1:5" ht="409.5" x14ac:dyDescent="0.4">
      <c r="A17" s="1" t="s">
        <v>3</v>
      </c>
      <c r="B17" s="1" t="s">
        <v>225</v>
      </c>
      <c r="C17" s="1" t="s">
        <v>106</v>
      </c>
      <c r="D17" s="1" t="s">
        <v>172</v>
      </c>
      <c r="E17" s="3" t="s">
        <v>236</v>
      </c>
    </row>
    <row r="18" spans="1:5" ht="409.5" x14ac:dyDescent="0.4">
      <c r="A18" s="1" t="s">
        <v>3</v>
      </c>
      <c r="B18" s="1" t="s">
        <v>225</v>
      </c>
      <c r="C18" s="1" t="s">
        <v>107</v>
      </c>
      <c r="D18" s="1" t="s">
        <v>177</v>
      </c>
      <c r="E18" s="3" t="s">
        <v>237</v>
      </c>
    </row>
    <row r="19" spans="1:5" ht="409.5" x14ac:dyDescent="0.4">
      <c r="A19" s="1" t="s">
        <v>3</v>
      </c>
      <c r="B19" s="1" t="s">
        <v>225</v>
      </c>
      <c r="C19" s="1" t="s">
        <v>108</v>
      </c>
      <c r="D19" s="1" t="s">
        <v>179</v>
      </c>
      <c r="E19" s="3" t="s">
        <v>238</v>
      </c>
    </row>
    <row r="20" spans="1:5" ht="318.75" x14ac:dyDescent="0.4">
      <c r="A20" s="1" t="s">
        <v>3</v>
      </c>
      <c r="B20" s="1" t="s">
        <v>225</v>
      </c>
      <c r="C20" s="1" t="s">
        <v>109</v>
      </c>
      <c r="D20" s="1" t="s">
        <v>186</v>
      </c>
      <c r="E20" s="3" t="s">
        <v>239</v>
      </c>
    </row>
    <row r="21" spans="1:5" ht="409.5" x14ac:dyDescent="0.4">
      <c r="A21" s="1" t="s">
        <v>3</v>
      </c>
      <c r="B21" s="1" t="s">
        <v>225</v>
      </c>
      <c r="C21" s="1" t="s">
        <v>110</v>
      </c>
      <c r="D21" s="1" t="s">
        <v>188</v>
      </c>
      <c r="E21" s="3" t="s">
        <v>240</v>
      </c>
    </row>
    <row r="22" spans="1:5" ht="318.75" x14ac:dyDescent="0.4">
      <c r="A22" s="1" t="s">
        <v>3</v>
      </c>
      <c r="B22" s="1" t="s">
        <v>225</v>
      </c>
      <c r="C22" s="1" t="s">
        <v>111</v>
      </c>
      <c r="D22" s="1" t="s">
        <v>194</v>
      </c>
      <c r="E22" s="3" t="s">
        <v>241</v>
      </c>
    </row>
    <row r="23" spans="1:5" ht="356.25" x14ac:dyDescent="0.4">
      <c r="A23" s="1" t="s">
        <v>3</v>
      </c>
      <c r="B23" s="1" t="s">
        <v>225</v>
      </c>
      <c r="C23" s="1" t="s">
        <v>112</v>
      </c>
      <c r="D23" s="1" t="s">
        <v>199</v>
      </c>
      <c r="E23" s="3" t="s">
        <v>242</v>
      </c>
    </row>
    <row r="24" spans="1:5" ht="318.75" x14ac:dyDescent="0.4">
      <c r="A24" s="1" t="s">
        <v>3</v>
      </c>
      <c r="B24" s="1" t="s">
        <v>225</v>
      </c>
      <c r="C24" s="1" t="s">
        <v>113</v>
      </c>
      <c r="D24" s="1" t="s">
        <v>203</v>
      </c>
      <c r="E24" s="3" t="s">
        <v>243</v>
      </c>
    </row>
    <row r="25" spans="1:5" ht="318.75" x14ac:dyDescent="0.4">
      <c r="A25" s="1" t="s">
        <v>3</v>
      </c>
      <c r="B25" s="1" t="s">
        <v>225</v>
      </c>
      <c r="C25" s="1" t="s">
        <v>115</v>
      </c>
      <c r="D25" s="1" t="s">
        <v>207</v>
      </c>
      <c r="E25" s="3" t="s">
        <v>244</v>
      </c>
    </row>
    <row r="26" spans="1:5" ht="409.5" x14ac:dyDescent="0.4">
      <c r="A26" s="1" t="s">
        <v>3</v>
      </c>
      <c r="B26" s="1" t="s">
        <v>225</v>
      </c>
      <c r="C26" s="1" t="s">
        <v>116</v>
      </c>
      <c r="D26" s="1" t="s">
        <v>213</v>
      </c>
      <c r="E26" s="3" t="s">
        <v>245</v>
      </c>
    </row>
    <row r="27" spans="1:5" ht="318.75" x14ac:dyDescent="0.4">
      <c r="A27" s="1" t="s">
        <v>3</v>
      </c>
      <c r="B27" s="1" t="s">
        <v>225</v>
      </c>
      <c r="C27" s="1" t="s">
        <v>114</v>
      </c>
      <c r="D27" s="1" t="s">
        <v>217</v>
      </c>
      <c r="E27" s="3" t="s">
        <v>244</v>
      </c>
    </row>
    <row r="28" spans="1:5" ht="409.5" x14ac:dyDescent="0.4">
      <c r="A28" s="1" t="s">
        <v>3</v>
      </c>
      <c r="B28" s="1" t="s">
        <v>225</v>
      </c>
      <c r="C28" s="1" t="s">
        <v>117</v>
      </c>
      <c r="D28" s="1" t="s">
        <v>223</v>
      </c>
      <c r="E28" s="3" t="s">
        <v>246</v>
      </c>
    </row>
    <row r="29" spans="1:5" ht="56.25" x14ac:dyDescent="0.4">
      <c r="A29" s="1" t="s">
        <v>3</v>
      </c>
      <c r="B29" s="1" t="s">
        <v>225</v>
      </c>
      <c r="C29" s="1" t="s">
        <v>247</v>
      </c>
      <c r="D29" s="1" t="s">
        <v>253</v>
      </c>
      <c r="E29" s="3" t="s">
        <v>254</v>
      </c>
    </row>
    <row r="30" spans="1:5" ht="56.25" x14ac:dyDescent="0.4">
      <c r="A30" s="1" t="s">
        <v>3</v>
      </c>
      <c r="B30" s="1" t="s">
        <v>225</v>
      </c>
      <c r="C30" s="1" t="s">
        <v>248</v>
      </c>
      <c r="D30" s="1" t="s">
        <v>253</v>
      </c>
      <c r="E30" s="3" t="s">
        <v>254</v>
      </c>
    </row>
    <row r="31" spans="1:5" ht="56.25" x14ac:dyDescent="0.4">
      <c r="A31" s="1" t="s">
        <v>3</v>
      </c>
      <c r="B31" s="1" t="s">
        <v>225</v>
      </c>
      <c r="C31" s="1" t="s">
        <v>249</v>
      </c>
      <c r="D31" s="1" t="s">
        <v>253</v>
      </c>
      <c r="E31" s="3" t="s">
        <v>254</v>
      </c>
    </row>
    <row r="32" spans="1:5" ht="281.25" x14ac:dyDescent="0.4">
      <c r="A32" s="1" t="s">
        <v>3</v>
      </c>
      <c r="B32" s="1" t="s">
        <v>225</v>
      </c>
      <c r="C32" s="1" t="s">
        <v>250</v>
      </c>
      <c r="D32" s="1" t="s">
        <v>253</v>
      </c>
      <c r="E32" s="3" t="s">
        <v>255</v>
      </c>
    </row>
    <row r="33" spans="1:5" ht="56.25" x14ac:dyDescent="0.4">
      <c r="A33" s="1" t="s">
        <v>3</v>
      </c>
      <c r="B33" s="1" t="s">
        <v>225</v>
      </c>
      <c r="C33" s="1" t="s">
        <v>251</v>
      </c>
      <c r="D33" s="1" t="s">
        <v>253</v>
      </c>
      <c r="E33" s="3" t="s">
        <v>254</v>
      </c>
    </row>
    <row r="34" spans="1:5" ht="56.25" x14ac:dyDescent="0.4">
      <c r="A34" s="1" t="s">
        <v>3</v>
      </c>
      <c r="B34" s="1" t="s">
        <v>225</v>
      </c>
      <c r="C34" s="1" t="s">
        <v>252</v>
      </c>
      <c r="D34" s="1" t="s">
        <v>253</v>
      </c>
      <c r="E34" s="3" t="s">
        <v>254</v>
      </c>
    </row>
    <row r="35" spans="1:5" ht="112.5" x14ac:dyDescent="0.4">
      <c r="A35" s="1" t="s">
        <v>3</v>
      </c>
      <c r="B35" s="1" t="s">
        <v>256</v>
      </c>
      <c r="C35" s="1" t="s">
        <v>107</v>
      </c>
      <c r="D35" s="1" t="s">
        <v>177</v>
      </c>
      <c r="E35" s="3" t="s">
        <v>257</v>
      </c>
    </row>
    <row r="36" spans="1:5" ht="168.75" x14ac:dyDescent="0.4">
      <c r="A36" s="1" t="s">
        <v>3</v>
      </c>
      <c r="B36" s="1" t="s">
        <v>258</v>
      </c>
      <c r="C36" s="1" t="s">
        <v>100</v>
      </c>
      <c r="D36" s="1" t="s">
        <v>129</v>
      </c>
      <c r="E36" s="3" t="s">
        <v>259</v>
      </c>
    </row>
    <row r="37" spans="1:5" ht="409.5" x14ac:dyDescent="0.4">
      <c r="A37" s="1" t="s">
        <v>3</v>
      </c>
      <c r="B37" s="1" t="s">
        <v>269</v>
      </c>
      <c r="C37" s="1" t="s">
        <v>107</v>
      </c>
      <c r="D37" s="1" t="s">
        <v>263</v>
      </c>
      <c r="E37" s="3" t="s">
        <v>270</v>
      </c>
    </row>
    <row r="38" spans="1:5" ht="409.5" x14ac:dyDescent="0.4">
      <c r="A38" s="1" t="s">
        <v>3</v>
      </c>
      <c r="B38" s="1" t="s">
        <v>269</v>
      </c>
      <c r="C38" s="1" t="s">
        <v>261</v>
      </c>
      <c r="D38" s="1" t="s">
        <v>268</v>
      </c>
      <c r="E38" s="3" t="s">
        <v>271</v>
      </c>
    </row>
    <row r="39" spans="1:5" x14ac:dyDescent="0.4">
      <c r="A39" s="1" t="s">
        <v>3</v>
      </c>
      <c r="B39" s="1" t="s">
        <v>269</v>
      </c>
      <c r="C39" s="1" t="s">
        <v>107</v>
      </c>
      <c r="D39" s="1" t="s">
        <v>177</v>
      </c>
      <c r="E39" s="1" t="s">
        <v>91</v>
      </c>
    </row>
    <row r="40" spans="1:5" ht="409.5" x14ac:dyDescent="0.4">
      <c r="A40" s="1" t="s">
        <v>3</v>
      </c>
      <c r="B40" s="1" t="s">
        <v>274</v>
      </c>
      <c r="C40" s="1" t="s">
        <v>261</v>
      </c>
      <c r="D40" s="1" t="s">
        <v>268</v>
      </c>
      <c r="E40" s="3" t="s">
        <v>275</v>
      </c>
    </row>
    <row r="41" spans="1:5" ht="409.5" x14ac:dyDescent="0.4">
      <c r="A41" s="1" t="s">
        <v>3</v>
      </c>
      <c r="B41" s="1" t="s">
        <v>274</v>
      </c>
      <c r="C41" s="1" t="s">
        <v>117</v>
      </c>
      <c r="D41" s="1" t="s">
        <v>272</v>
      </c>
      <c r="E41" s="3" t="s">
        <v>276</v>
      </c>
    </row>
    <row r="42" spans="1:5" x14ac:dyDescent="0.4">
      <c r="A42" s="1" t="s">
        <v>3</v>
      </c>
      <c r="B42" s="1" t="s">
        <v>274</v>
      </c>
      <c r="C42" s="1" t="s">
        <v>117</v>
      </c>
      <c r="D42" s="1" t="s">
        <v>223</v>
      </c>
      <c r="E42" s="1" t="s">
        <v>91</v>
      </c>
    </row>
    <row r="43" spans="1:5" ht="56.25" x14ac:dyDescent="0.4">
      <c r="A43" s="1" t="s">
        <v>3</v>
      </c>
      <c r="B43" s="1" t="s">
        <v>274</v>
      </c>
      <c r="C43" s="1" t="s">
        <v>277</v>
      </c>
      <c r="D43" s="1" t="s">
        <v>253</v>
      </c>
      <c r="E43" s="3" t="s">
        <v>254</v>
      </c>
    </row>
    <row r="44" spans="1:5" x14ac:dyDescent="0.4">
      <c r="A44" s="1" t="s">
        <v>3</v>
      </c>
      <c r="B44" s="1" t="s">
        <v>274</v>
      </c>
      <c r="C44" s="1" t="s">
        <v>252</v>
      </c>
      <c r="D44" s="1" t="s">
        <v>253</v>
      </c>
      <c r="E44" s="1" t="s">
        <v>91</v>
      </c>
    </row>
    <row r="45" spans="1:5" ht="409.5" x14ac:dyDescent="0.4">
      <c r="A45" s="1" t="s">
        <v>3</v>
      </c>
      <c r="B45" s="1" t="s">
        <v>285</v>
      </c>
      <c r="C45" s="1" t="s">
        <v>261</v>
      </c>
      <c r="D45" s="1" t="s">
        <v>268</v>
      </c>
      <c r="E45" s="3" t="s">
        <v>275</v>
      </c>
    </row>
    <row r="46" spans="1:5" ht="262.5" x14ac:dyDescent="0.4">
      <c r="A46" s="1" t="s">
        <v>3</v>
      </c>
      <c r="B46" s="1" t="s">
        <v>285</v>
      </c>
      <c r="C46" s="1" t="s">
        <v>278</v>
      </c>
      <c r="D46" s="1" t="s">
        <v>284</v>
      </c>
      <c r="E46" s="3" t="s">
        <v>286</v>
      </c>
    </row>
    <row r="47" spans="1:5" x14ac:dyDescent="0.4">
      <c r="A47" s="1" t="s">
        <v>3</v>
      </c>
      <c r="B47" s="1" t="s">
        <v>285</v>
      </c>
      <c r="C47" s="1" t="s">
        <v>110</v>
      </c>
      <c r="D47" s="1" t="s">
        <v>188</v>
      </c>
      <c r="E47" s="1" t="s">
        <v>91</v>
      </c>
    </row>
    <row r="48" spans="1:5" x14ac:dyDescent="0.4">
      <c r="A48" s="1" t="s">
        <v>3</v>
      </c>
      <c r="B48" s="1" t="s">
        <v>285</v>
      </c>
      <c r="C48" s="1" t="s">
        <v>250</v>
      </c>
      <c r="D48" s="1" t="s">
        <v>253</v>
      </c>
      <c r="E48" s="1" t="s">
        <v>91</v>
      </c>
    </row>
    <row r="49" spans="1:5" ht="409.5" x14ac:dyDescent="0.4">
      <c r="A49" s="1" t="s">
        <v>3</v>
      </c>
      <c r="B49" s="1" t="s">
        <v>287</v>
      </c>
      <c r="C49" s="1" t="s">
        <v>261</v>
      </c>
      <c r="D49" s="1" t="s">
        <v>268</v>
      </c>
      <c r="E49" s="3" t="s">
        <v>275</v>
      </c>
    </row>
    <row r="50" spans="1:5" ht="409.5" x14ac:dyDescent="0.4">
      <c r="A50" s="1" t="s">
        <v>3</v>
      </c>
      <c r="B50" s="1" t="s">
        <v>289</v>
      </c>
      <c r="C50" s="1" t="s">
        <v>261</v>
      </c>
      <c r="D50" s="1" t="s">
        <v>268</v>
      </c>
      <c r="E50" s="3" t="s">
        <v>275</v>
      </c>
    </row>
    <row r="51" spans="1:5" ht="262.5" x14ac:dyDescent="0.4">
      <c r="A51" s="1" t="s">
        <v>3</v>
      </c>
      <c r="B51" s="1" t="s">
        <v>289</v>
      </c>
      <c r="C51" s="1" t="s">
        <v>278</v>
      </c>
      <c r="D51" s="1" t="s">
        <v>288</v>
      </c>
      <c r="E51" s="3" t="s">
        <v>286</v>
      </c>
    </row>
    <row r="52" spans="1:5" x14ac:dyDescent="0.4">
      <c r="A52" s="1" t="s">
        <v>3</v>
      </c>
      <c r="B52" s="1" t="s">
        <v>289</v>
      </c>
      <c r="C52" s="1" t="s">
        <v>278</v>
      </c>
      <c r="D52" s="1" t="s">
        <v>284</v>
      </c>
      <c r="E52" s="1" t="s">
        <v>91</v>
      </c>
    </row>
    <row r="53" spans="1:5" ht="409.5" x14ac:dyDescent="0.4">
      <c r="A53" s="1" t="s">
        <v>3</v>
      </c>
      <c r="B53" s="1" t="s">
        <v>290</v>
      </c>
      <c r="C53" s="1" t="s">
        <v>261</v>
      </c>
      <c r="D53" s="1" t="s">
        <v>268</v>
      </c>
      <c r="E53" s="3" t="s">
        <v>275</v>
      </c>
    </row>
    <row r="54" spans="1:5" ht="409.5" x14ac:dyDescent="0.4">
      <c r="A54" s="1" t="s">
        <v>3</v>
      </c>
      <c r="B54" s="1" t="s">
        <v>295</v>
      </c>
      <c r="C54" s="1" t="s">
        <v>261</v>
      </c>
      <c r="D54" s="1" t="s">
        <v>268</v>
      </c>
      <c r="E54" s="3" t="s">
        <v>275</v>
      </c>
    </row>
    <row r="55" spans="1:5" ht="337.5" x14ac:dyDescent="0.4">
      <c r="A55" s="1" t="s">
        <v>3</v>
      </c>
      <c r="B55" s="1" t="s">
        <v>295</v>
      </c>
      <c r="C55" s="1" t="s">
        <v>291</v>
      </c>
      <c r="D55" s="1" t="s">
        <v>293</v>
      </c>
      <c r="E55" s="3" t="s">
        <v>296</v>
      </c>
    </row>
    <row r="56" spans="1:5" ht="337.5" x14ac:dyDescent="0.4">
      <c r="A56" s="1" t="s">
        <v>3</v>
      </c>
      <c r="B56" s="1" t="s">
        <v>295</v>
      </c>
      <c r="C56" s="1" t="s">
        <v>292</v>
      </c>
      <c r="D56" s="1" t="s">
        <v>294</v>
      </c>
      <c r="E56" s="3" t="s">
        <v>297</v>
      </c>
    </row>
    <row r="57" spans="1:5" ht="409.5" x14ac:dyDescent="0.4">
      <c r="A57" s="1" t="s">
        <v>3</v>
      </c>
      <c r="B57" s="1" t="s">
        <v>298</v>
      </c>
      <c r="C57" s="1" t="s">
        <v>261</v>
      </c>
      <c r="D57" s="1" t="s">
        <v>268</v>
      </c>
      <c r="E57" s="3" t="s">
        <v>275</v>
      </c>
    </row>
    <row r="58" spans="1:5" ht="409.5" x14ac:dyDescent="0.4">
      <c r="A58" s="1" t="s">
        <v>3</v>
      </c>
      <c r="B58" s="1" t="s">
        <v>299</v>
      </c>
      <c r="C58" s="1" t="s">
        <v>261</v>
      </c>
      <c r="D58" s="1" t="s">
        <v>268</v>
      </c>
      <c r="E58" s="3" t="s">
        <v>275</v>
      </c>
    </row>
    <row r="59" spans="1:5" ht="409.5" x14ac:dyDescent="0.4">
      <c r="A59" s="1" t="s">
        <v>3</v>
      </c>
      <c r="B59" s="1" t="s">
        <v>300</v>
      </c>
      <c r="C59" s="1" t="s">
        <v>261</v>
      </c>
      <c r="D59" s="1" t="s">
        <v>268</v>
      </c>
      <c r="E59" s="3" t="s">
        <v>275</v>
      </c>
    </row>
    <row r="60" spans="1:5" ht="409.5" x14ac:dyDescent="0.4">
      <c r="A60" s="1" t="s">
        <v>3</v>
      </c>
      <c r="B60" s="1" t="s">
        <v>301</v>
      </c>
      <c r="C60" s="1" t="s">
        <v>261</v>
      </c>
      <c r="D60" s="1" t="s">
        <v>268</v>
      </c>
      <c r="E60" s="3" t="s">
        <v>275</v>
      </c>
    </row>
    <row r="61" spans="1:5" ht="318.75" x14ac:dyDescent="0.4">
      <c r="A61" s="1" t="s">
        <v>3</v>
      </c>
      <c r="B61" s="1" t="s">
        <v>305</v>
      </c>
      <c r="C61" s="1" t="s">
        <v>43</v>
      </c>
      <c r="D61" s="1" t="s">
        <v>304</v>
      </c>
      <c r="E61" s="3" t="s">
        <v>306</v>
      </c>
    </row>
    <row r="62" spans="1:5" x14ac:dyDescent="0.4">
      <c r="A62" s="1" t="s">
        <v>3</v>
      </c>
      <c r="B62" s="1" t="s">
        <v>305</v>
      </c>
      <c r="C62" s="1" t="s">
        <v>43</v>
      </c>
      <c r="D62" s="1" t="s">
        <v>88</v>
      </c>
      <c r="E62" s="1" t="s">
        <v>91</v>
      </c>
    </row>
    <row r="63" spans="1:5" ht="318.75" x14ac:dyDescent="0.4">
      <c r="A63" s="1" t="s">
        <v>3</v>
      </c>
      <c r="B63" s="1" t="s">
        <v>308</v>
      </c>
      <c r="C63" s="1" t="s">
        <v>43</v>
      </c>
      <c r="D63" s="1" t="s">
        <v>307</v>
      </c>
      <c r="E63" s="3" t="s">
        <v>306</v>
      </c>
    </row>
    <row r="64" spans="1:5" x14ac:dyDescent="0.4">
      <c r="A64" s="1" t="s">
        <v>3</v>
      </c>
      <c r="B64" s="1" t="s">
        <v>308</v>
      </c>
      <c r="C64" s="1" t="s">
        <v>43</v>
      </c>
      <c r="D64" s="1" t="s">
        <v>304</v>
      </c>
      <c r="E64" s="1" t="s">
        <v>91</v>
      </c>
    </row>
    <row r="65" spans="1:5" x14ac:dyDescent="0.4">
      <c r="A65" s="1" t="s">
        <v>3</v>
      </c>
      <c r="B65" s="1" t="s">
        <v>311</v>
      </c>
      <c r="C65" s="1" t="s">
        <v>108</v>
      </c>
      <c r="D65" s="1" t="s">
        <v>179</v>
      </c>
      <c r="E65" s="1" t="s">
        <v>91</v>
      </c>
    </row>
    <row r="66" spans="1:5" x14ac:dyDescent="0.4">
      <c r="A66" s="1" t="s">
        <v>3</v>
      </c>
      <c r="B66" s="1" t="s">
        <v>311</v>
      </c>
      <c r="C66" s="1" t="s">
        <v>115</v>
      </c>
      <c r="D66" s="1" t="s">
        <v>207</v>
      </c>
      <c r="E66" s="1" t="s">
        <v>91</v>
      </c>
    </row>
    <row r="67" spans="1:5" x14ac:dyDescent="0.4">
      <c r="A67" s="1" t="s">
        <v>3</v>
      </c>
      <c r="B67" s="1" t="s">
        <v>311</v>
      </c>
      <c r="C67" s="1" t="s">
        <v>292</v>
      </c>
      <c r="D67" s="1" t="s">
        <v>294</v>
      </c>
      <c r="E67" s="1" t="s">
        <v>91</v>
      </c>
    </row>
    <row r="68" spans="1:5" x14ac:dyDescent="0.4">
      <c r="A68" s="1" t="s">
        <v>3</v>
      </c>
      <c r="B68" s="1" t="s">
        <v>311</v>
      </c>
      <c r="C68" s="1" t="s">
        <v>249</v>
      </c>
      <c r="D68" s="1" t="s">
        <v>253</v>
      </c>
      <c r="E68" s="1" t="s">
        <v>91</v>
      </c>
    </row>
    <row r="69" spans="1:5" ht="93.75" x14ac:dyDescent="0.4">
      <c r="A69" s="1" t="s">
        <v>3</v>
      </c>
      <c r="B69" s="1" t="s">
        <v>312</v>
      </c>
      <c r="C69" s="1" t="s">
        <v>39</v>
      </c>
      <c r="D69" s="1" t="s">
        <v>1</v>
      </c>
      <c r="E69" s="3" t="s">
        <v>313</v>
      </c>
    </row>
    <row r="70" spans="1:5" x14ac:dyDescent="0.4">
      <c r="A70" s="1" t="s">
        <v>3</v>
      </c>
      <c r="B70" s="1" t="s">
        <v>314</v>
      </c>
      <c r="C70" s="1" t="s">
        <v>291</v>
      </c>
      <c r="D70" s="1" t="s">
        <v>293</v>
      </c>
      <c r="E70" s="1" t="s">
        <v>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77C6-212E-4141-B9D1-C309BEB96261}">
  <dimension ref="A1:I5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36</v>
      </c>
      <c r="B1" s="2" t="s">
        <v>10</v>
      </c>
      <c r="C1" s="2" t="s">
        <v>11</v>
      </c>
      <c r="D1" s="2" t="s">
        <v>28</v>
      </c>
      <c r="E1" s="2" t="s">
        <v>25</v>
      </c>
      <c r="F1" s="2" t="s">
        <v>23</v>
      </c>
      <c r="G1" s="2" t="s">
        <v>24</v>
      </c>
      <c r="H1" s="2" t="s">
        <v>37</v>
      </c>
      <c r="I1" s="2" t="s">
        <v>30</v>
      </c>
    </row>
    <row r="2" spans="1:9" x14ac:dyDescent="0.4">
      <c r="A2" s="2" t="s">
        <v>247</v>
      </c>
      <c r="B2" s="2" t="s">
        <v>118</v>
      </c>
      <c r="C2" s="2" t="s">
        <v>145</v>
      </c>
      <c r="D2" s="2" t="s">
        <v>152</v>
      </c>
      <c r="E2" s="2" t="s">
        <v>1</v>
      </c>
      <c r="F2" s="2" t="s">
        <v>1</v>
      </c>
      <c r="G2" s="2" t="s">
        <v>1</v>
      </c>
      <c r="H2" s="2" t="s">
        <v>7</v>
      </c>
      <c r="I2" s="2" t="s">
        <v>1</v>
      </c>
    </row>
    <row r="3" spans="1:9" x14ac:dyDescent="0.4">
      <c r="A3" s="2" t="s">
        <v>248</v>
      </c>
      <c r="B3" s="2" t="s">
        <v>118</v>
      </c>
      <c r="C3" s="2" t="s">
        <v>173</v>
      </c>
      <c r="D3" s="2" t="s">
        <v>178</v>
      </c>
      <c r="E3" s="2" t="s">
        <v>1</v>
      </c>
      <c r="F3" s="2" t="s">
        <v>1</v>
      </c>
      <c r="G3" s="2" t="s">
        <v>1</v>
      </c>
      <c r="H3" s="2" t="s">
        <v>187</v>
      </c>
      <c r="I3" s="2" t="s">
        <v>1</v>
      </c>
    </row>
    <row r="4" spans="1:9" x14ac:dyDescent="0.4">
      <c r="A4" s="2" t="s">
        <v>251</v>
      </c>
      <c r="B4" s="2" t="s">
        <v>118</v>
      </c>
      <c r="C4" s="2" t="s">
        <v>208</v>
      </c>
      <c r="D4" s="2" t="s">
        <v>214</v>
      </c>
      <c r="E4" s="2" t="s">
        <v>1</v>
      </c>
      <c r="F4" s="2" t="s">
        <v>1</v>
      </c>
      <c r="G4" s="2" t="s">
        <v>1</v>
      </c>
      <c r="H4" s="2" t="s">
        <v>7</v>
      </c>
      <c r="I4" s="2" t="s">
        <v>1</v>
      </c>
    </row>
    <row r="5" spans="1:9" x14ac:dyDescent="0.4">
      <c r="A5" s="2" t="s">
        <v>277</v>
      </c>
      <c r="B5" s="2" t="s">
        <v>118</v>
      </c>
      <c r="C5" s="2" t="s">
        <v>218</v>
      </c>
      <c r="D5" s="2" t="s">
        <v>224</v>
      </c>
      <c r="E5" s="2" t="s">
        <v>1</v>
      </c>
      <c r="F5" s="2" t="s">
        <v>1</v>
      </c>
      <c r="G5" s="2" t="s">
        <v>1</v>
      </c>
      <c r="H5" s="2" t="s">
        <v>7</v>
      </c>
      <c r="I5" s="2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61C3-1C9D-4042-B8C9-D6EC9B611CEF}">
  <dimension ref="A1:AC23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309</v>
      </c>
      <c r="AA1" s="2" t="s">
        <v>310</v>
      </c>
      <c r="AB1" s="2" t="s">
        <v>34</v>
      </c>
      <c r="AC1" s="2" t="s">
        <v>35</v>
      </c>
    </row>
    <row r="2" spans="1:29" x14ac:dyDescent="0.4">
      <c r="A2" s="2" t="s">
        <v>43</v>
      </c>
      <c r="B2" s="2" t="s">
        <v>48</v>
      </c>
      <c r="C2" s="2" t="s">
        <v>49</v>
      </c>
      <c r="D2" s="2" t="s">
        <v>50</v>
      </c>
      <c r="E2" s="2" t="s">
        <v>1</v>
      </c>
      <c r="F2" s="2" t="s">
        <v>51</v>
      </c>
      <c r="G2" s="2" t="s">
        <v>52</v>
      </c>
      <c r="H2" s="2" t="s">
        <v>303</v>
      </c>
      <c r="I2" s="2" t="s">
        <v>53</v>
      </c>
      <c r="K2" s="2" t="s">
        <v>54</v>
      </c>
      <c r="L2" s="2" t="s">
        <v>1</v>
      </c>
      <c r="M2" s="2" t="s">
        <v>7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307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54</v>
      </c>
      <c r="Z2" s="2" t="s">
        <v>54</v>
      </c>
      <c r="AA2" s="2" t="s">
        <v>1</v>
      </c>
      <c r="AB2" s="2" t="s">
        <v>1</v>
      </c>
      <c r="AC2" s="2" t="s">
        <v>1</v>
      </c>
    </row>
    <row r="3" spans="1:29" x14ac:dyDescent="0.4">
      <c r="A3" s="2" t="s">
        <v>97</v>
      </c>
      <c r="B3" s="2" t="s">
        <v>118</v>
      </c>
      <c r="C3" s="2" t="s">
        <v>119</v>
      </c>
      <c r="D3" s="2" t="s">
        <v>120</v>
      </c>
      <c r="E3" s="2" t="s">
        <v>7</v>
      </c>
      <c r="F3" s="2" t="s">
        <v>121</v>
      </c>
      <c r="G3" s="2" t="s">
        <v>122</v>
      </c>
      <c r="H3" s="2" t="s">
        <v>123</v>
      </c>
      <c r="I3" s="2" t="s">
        <v>124</v>
      </c>
      <c r="K3" s="2" t="s">
        <v>54</v>
      </c>
      <c r="L3" s="2" t="s">
        <v>1</v>
      </c>
      <c r="M3" s="2" t="s">
        <v>1</v>
      </c>
      <c r="N3" s="2" t="s">
        <v>125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126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54</v>
      </c>
      <c r="Z3" s="2" t="s">
        <v>54</v>
      </c>
      <c r="AA3" s="2" t="s">
        <v>1</v>
      </c>
      <c r="AB3" s="2" t="s">
        <v>1</v>
      </c>
      <c r="AC3" s="2" t="s">
        <v>7</v>
      </c>
    </row>
    <row r="4" spans="1:29" x14ac:dyDescent="0.4">
      <c r="A4" s="2" t="s">
        <v>100</v>
      </c>
      <c r="B4" s="2" t="s">
        <v>118</v>
      </c>
      <c r="C4" s="2" t="s">
        <v>119</v>
      </c>
      <c r="D4" s="2" t="s">
        <v>127</v>
      </c>
      <c r="E4" s="2" t="s">
        <v>7</v>
      </c>
      <c r="F4" s="2" t="s">
        <v>128</v>
      </c>
      <c r="G4" s="2" t="s">
        <v>52</v>
      </c>
      <c r="H4" s="2" t="s">
        <v>87</v>
      </c>
      <c r="I4" s="2" t="s">
        <v>53</v>
      </c>
      <c r="K4" s="2" t="s">
        <v>54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129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54</v>
      </c>
      <c r="Z4" s="2" t="s">
        <v>54</v>
      </c>
      <c r="AA4" s="2" t="s">
        <v>1</v>
      </c>
      <c r="AB4" s="2" t="s">
        <v>1</v>
      </c>
      <c r="AC4" s="2" t="s">
        <v>1</v>
      </c>
    </row>
    <row r="5" spans="1:29" x14ac:dyDescent="0.4">
      <c r="A5" s="2" t="s">
        <v>98</v>
      </c>
      <c r="B5" s="2" t="s">
        <v>118</v>
      </c>
      <c r="C5" s="2" t="s">
        <v>119</v>
      </c>
      <c r="D5" s="2" t="s">
        <v>130</v>
      </c>
      <c r="E5" s="2" t="s">
        <v>7</v>
      </c>
      <c r="F5" s="2" t="s">
        <v>131</v>
      </c>
      <c r="G5" s="2" t="s">
        <v>122</v>
      </c>
      <c r="H5" s="2" t="s">
        <v>132</v>
      </c>
      <c r="I5" s="2" t="s">
        <v>124</v>
      </c>
      <c r="K5" s="2" t="s">
        <v>54</v>
      </c>
      <c r="L5" s="2" t="s">
        <v>1</v>
      </c>
      <c r="M5" s="2" t="s">
        <v>1</v>
      </c>
      <c r="N5" s="2" t="s">
        <v>133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134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54</v>
      </c>
      <c r="Z5" s="2" t="s">
        <v>54</v>
      </c>
      <c r="AA5" s="2" t="s">
        <v>1</v>
      </c>
      <c r="AB5" s="2" t="s">
        <v>1</v>
      </c>
      <c r="AC5" s="2" t="s">
        <v>7</v>
      </c>
    </row>
    <row r="6" spans="1:29" x14ac:dyDescent="0.4">
      <c r="A6" s="2" t="s">
        <v>99</v>
      </c>
      <c r="B6" s="2" t="s">
        <v>118</v>
      </c>
      <c r="C6" s="2" t="s">
        <v>119</v>
      </c>
      <c r="D6" s="2" t="s">
        <v>135</v>
      </c>
      <c r="E6" s="2" t="s">
        <v>7</v>
      </c>
      <c r="F6" s="2" t="s">
        <v>136</v>
      </c>
      <c r="G6" s="2" t="s">
        <v>122</v>
      </c>
      <c r="H6" s="2" t="s">
        <v>137</v>
      </c>
      <c r="I6" s="2" t="s">
        <v>124</v>
      </c>
      <c r="K6" s="2" t="s">
        <v>54</v>
      </c>
      <c r="L6" s="2" t="s">
        <v>1</v>
      </c>
      <c r="M6" s="2" t="s">
        <v>1</v>
      </c>
      <c r="N6" s="2" t="s">
        <v>138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139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54</v>
      </c>
      <c r="Z6" s="2" t="s">
        <v>54</v>
      </c>
      <c r="AA6" s="2" t="s">
        <v>1</v>
      </c>
      <c r="AB6" s="2" t="s">
        <v>1</v>
      </c>
      <c r="AC6" s="2" t="s">
        <v>7</v>
      </c>
    </row>
    <row r="7" spans="1:29" x14ac:dyDescent="0.4">
      <c r="A7" s="2" t="s">
        <v>101</v>
      </c>
      <c r="B7" s="2" t="s">
        <v>118</v>
      </c>
      <c r="C7" s="2" t="s">
        <v>119</v>
      </c>
      <c r="D7" s="2" t="s">
        <v>140</v>
      </c>
      <c r="E7" s="2" t="s">
        <v>7</v>
      </c>
      <c r="F7" s="2" t="s">
        <v>141</v>
      </c>
      <c r="G7" s="2" t="s">
        <v>122</v>
      </c>
      <c r="H7" s="2" t="s">
        <v>142</v>
      </c>
      <c r="I7" s="2" t="s">
        <v>124</v>
      </c>
      <c r="K7" s="2" t="s">
        <v>54</v>
      </c>
      <c r="L7" s="2" t="s">
        <v>1</v>
      </c>
      <c r="M7" s="2" t="s">
        <v>1</v>
      </c>
      <c r="N7" s="2" t="s">
        <v>143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144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54</v>
      </c>
      <c r="Z7" s="2" t="s">
        <v>54</v>
      </c>
      <c r="AA7" s="2" t="s">
        <v>1</v>
      </c>
      <c r="AB7" s="2" t="s">
        <v>1</v>
      </c>
      <c r="AC7" s="2" t="s">
        <v>7</v>
      </c>
    </row>
    <row r="8" spans="1:29" x14ac:dyDescent="0.4">
      <c r="A8" s="2" t="s">
        <v>102</v>
      </c>
      <c r="B8" s="2" t="s">
        <v>118</v>
      </c>
      <c r="C8" s="2" t="s">
        <v>145</v>
      </c>
      <c r="D8" s="2" t="s">
        <v>146</v>
      </c>
      <c r="E8" s="2" t="s">
        <v>147</v>
      </c>
      <c r="F8" s="2" t="s">
        <v>148</v>
      </c>
      <c r="G8" s="2" t="s">
        <v>122</v>
      </c>
      <c r="H8" s="2" t="s">
        <v>149</v>
      </c>
      <c r="I8" s="2" t="s">
        <v>124</v>
      </c>
      <c r="K8" s="2" t="s">
        <v>150</v>
      </c>
      <c r="L8" s="2" t="s">
        <v>151</v>
      </c>
      <c r="M8" s="2" t="s">
        <v>1</v>
      </c>
      <c r="N8" s="2" t="s">
        <v>125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151</v>
      </c>
      <c r="T8" s="2" t="s">
        <v>152</v>
      </c>
      <c r="U8" s="2" t="s">
        <v>1</v>
      </c>
      <c r="V8" s="2" t="s">
        <v>1</v>
      </c>
      <c r="W8" s="2" t="s">
        <v>1</v>
      </c>
      <c r="X8" s="2" t="s">
        <v>54</v>
      </c>
      <c r="Z8" s="2" t="s">
        <v>54</v>
      </c>
      <c r="AA8" s="2" t="s">
        <v>1</v>
      </c>
      <c r="AB8" s="2" t="s">
        <v>1</v>
      </c>
      <c r="AC8" s="2" t="s">
        <v>7</v>
      </c>
    </row>
    <row r="9" spans="1:29" x14ac:dyDescent="0.4">
      <c r="A9" s="2" t="s">
        <v>103</v>
      </c>
      <c r="B9" s="2" t="s">
        <v>118</v>
      </c>
      <c r="C9" s="2" t="s">
        <v>145</v>
      </c>
      <c r="D9" s="2" t="s">
        <v>135</v>
      </c>
      <c r="E9" s="2" t="s">
        <v>147</v>
      </c>
      <c r="F9" s="2" t="s">
        <v>153</v>
      </c>
      <c r="G9" s="2" t="s">
        <v>122</v>
      </c>
      <c r="H9" s="2" t="s">
        <v>154</v>
      </c>
      <c r="I9" s="2" t="s">
        <v>124</v>
      </c>
      <c r="K9" s="2" t="s">
        <v>150</v>
      </c>
      <c r="L9" s="2" t="s">
        <v>155</v>
      </c>
      <c r="M9" s="2" t="s">
        <v>1</v>
      </c>
      <c r="N9" s="2" t="s">
        <v>143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155</v>
      </c>
      <c r="T9" s="2" t="s">
        <v>152</v>
      </c>
      <c r="U9" s="2" t="s">
        <v>1</v>
      </c>
      <c r="V9" s="2" t="s">
        <v>1</v>
      </c>
      <c r="W9" s="2" t="s">
        <v>1</v>
      </c>
      <c r="X9" s="2" t="s">
        <v>54</v>
      </c>
      <c r="Z9" s="2" t="s">
        <v>54</v>
      </c>
      <c r="AA9" s="2" t="s">
        <v>1</v>
      </c>
      <c r="AB9" s="2" t="s">
        <v>1</v>
      </c>
      <c r="AC9" s="2" t="s">
        <v>7</v>
      </c>
    </row>
    <row r="10" spans="1:29" x14ac:dyDescent="0.4">
      <c r="A10" s="2" t="s">
        <v>102</v>
      </c>
      <c r="B10" s="2" t="s">
        <v>118</v>
      </c>
      <c r="C10" s="2" t="s">
        <v>145</v>
      </c>
      <c r="D10" s="2" t="s">
        <v>146</v>
      </c>
      <c r="E10" s="2" t="s">
        <v>147</v>
      </c>
      <c r="F10" s="2" t="s">
        <v>148</v>
      </c>
      <c r="G10" s="2" t="s">
        <v>122</v>
      </c>
      <c r="H10" s="2" t="s">
        <v>149</v>
      </c>
      <c r="I10" s="2" t="s">
        <v>124</v>
      </c>
      <c r="K10" s="2" t="s">
        <v>150</v>
      </c>
      <c r="L10" s="2" t="s">
        <v>156</v>
      </c>
      <c r="M10" s="2" t="s">
        <v>1</v>
      </c>
      <c r="N10" s="2" t="s">
        <v>125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156</v>
      </c>
      <c r="T10" s="2" t="s">
        <v>152</v>
      </c>
      <c r="U10" s="2" t="s">
        <v>1</v>
      </c>
      <c r="V10" s="2" t="s">
        <v>1</v>
      </c>
      <c r="W10" s="2" t="s">
        <v>1</v>
      </c>
      <c r="X10" s="2" t="s">
        <v>54</v>
      </c>
      <c r="Z10" s="2" t="s">
        <v>54</v>
      </c>
      <c r="AA10" s="2" t="s">
        <v>1</v>
      </c>
      <c r="AB10" s="2" t="s">
        <v>1</v>
      </c>
      <c r="AC10" s="2" t="s">
        <v>7</v>
      </c>
    </row>
    <row r="11" spans="1:29" x14ac:dyDescent="0.4">
      <c r="A11" s="2" t="s">
        <v>104</v>
      </c>
      <c r="B11" s="2" t="s">
        <v>118</v>
      </c>
      <c r="C11" s="2" t="s">
        <v>145</v>
      </c>
      <c r="D11" s="2" t="s">
        <v>140</v>
      </c>
      <c r="E11" s="2" t="s">
        <v>147</v>
      </c>
      <c r="F11" s="2" t="s">
        <v>157</v>
      </c>
      <c r="G11" s="2" t="s">
        <v>122</v>
      </c>
      <c r="H11" s="2" t="s">
        <v>158</v>
      </c>
      <c r="I11" s="2" t="s">
        <v>124</v>
      </c>
      <c r="K11" s="2" t="s">
        <v>150</v>
      </c>
      <c r="L11" s="2" t="s">
        <v>159</v>
      </c>
      <c r="M11" s="2" t="s">
        <v>1</v>
      </c>
      <c r="N11" s="2" t="s">
        <v>143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159</v>
      </c>
      <c r="T11" s="2" t="s">
        <v>152</v>
      </c>
      <c r="U11" s="2" t="s">
        <v>1</v>
      </c>
      <c r="V11" s="2" t="s">
        <v>1</v>
      </c>
      <c r="W11" s="2" t="s">
        <v>1</v>
      </c>
      <c r="X11" s="2" t="s">
        <v>54</v>
      </c>
      <c r="Z11" s="2" t="s">
        <v>54</v>
      </c>
      <c r="AA11" s="2" t="s">
        <v>1</v>
      </c>
      <c r="AB11" s="2" t="s">
        <v>1</v>
      </c>
      <c r="AC11" s="2" t="s">
        <v>7</v>
      </c>
    </row>
    <row r="12" spans="1:29" x14ac:dyDescent="0.4">
      <c r="A12" s="2" t="s">
        <v>105</v>
      </c>
      <c r="B12" s="2" t="s">
        <v>118</v>
      </c>
      <c r="C12" s="2" t="s">
        <v>160</v>
      </c>
      <c r="D12" s="2" t="s">
        <v>161</v>
      </c>
      <c r="E12" s="2" t="s">
        <v>162</v>
      </c>
      <c r="F12" s="2" t="s">
        <v>163</v>
      </c>
      <c r="G12" s="2" t="s">
        <v>122</v>
      </c>
      <c r="H12" s="2" t="s">
        <v>164</v>
      </c>
      <c r="I12" s="2" t="s">
        <v>124</v>
      </c>
      <c r="K12" s="2" t="s">
        <v>54</v>
      </c>
      <c r="L12" s="2" t="s">
        <v>1</v>
      </c>
      <c r="M12" s="2" t="s">
        <v>1</v>
      </c>
      <c r="N12" s="2" t="s">
        <v>165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166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54</v>
      </c>
      <c r="Z12" s="2" t="s">
        <v>54</v>
      </c>
      <c r="AA12" s="2" t="s">
        <v>1</v>
      </c>
      <c r="AB12" s="2" t="s">
        <v>1</v>
      </c>
      <c r="AC12" s="2" t="s">
        <v>7</v>
      </c>
    </row>
    <row r="13" spans="1:29" x14ac:dyDescent="0.4">
      <c r="A13" s="2" t="s">
        <v>106</v>
      </c>
      <c r="B13" s="2" t="s">
        <v>118</v>
      </c>
      <c r="C13" s="2" t="s">
        <v>119</v>
      </c>
      <c r="D13" s="2" t="s">
        <v>167</v>
      </c>
      <c r="E13" s="2" t="s">
        <v>7</v>
      </c>
      <c r="F13" s="2" t="s">
        <v>168</v>
      </c>
      <c r="G13" s="2" t="s">
        <v>122</v>
      </c>
      <c r="H13" s="2" t="s">
        <v>169</v>
      </c>
      <c r="I13" s="2" t="s">
        <v>124</v>
      </c>
      <c r="J13" s="2" t="s">
        <v>170</v>
      </c>
      <c r="K13" s="2" t="s">
        <v>54</v>
      </c>
      <c r="L13" s="2" t="s">
        <v>1</v>
      </c>
      <c r="M13" s="2" t="s">
        <v>1</v>
      </c>
      <c r="N13" s="2" t="s">
        <v>171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172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54</v>
      </c>
      <c r="Z13" s="2" t="s">
        <v>54</v>
      </c>
      <c r="AA13" s="2" t="s">
        <v>1</v>
      </c>
      <c r="AB13" s="2" t="s">
        <v>1</v>
      </c>
      <c r="AC13" s="2" t="s">
        <v>7</v>
      </c>
    </row>
    <row r="14" spans="1:29" x14ac:dyDescent="0.4">
      <c r="A14" s="2" t="s">
        <v>107</v>
      </c>
      <c r="B14" s="2" t="s">
        <v>118</v>
      </c>
      <c r="C14" s="2" t="s">
        <v>173</v>
      </c>
      <c r="D14" s="2" t="s">
        <v>174</v>
      </c>
      <c r="E14" s="2" t="s">
        <v>165</v>
      </c>
      <c r="F14" s="2" t="s">
        <v>175</v>
      </c>
      <c r="G14" s="2" t="s">
        <v>122</v>
      </c>
      <c r="H14" s="2" t="s">
        <v>176</v>
      </c>
      <c r="I14" s="2" t="s">
        <v>124</v>
      </c>
      <c r="K14" s="2" t="s">
        <v>150</v>
      </c>
      <c r="L14" s="2" t="s">
        <v>262</v>
      </c>
      <c r="M14" s="2" t="s">
        <v>7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263</v>
      </c>
      <c r="T14" s="2" t="s">
        <v>178</v>
      </c>
      <c r="U14" s="2" t="s">
        <v>1</v>
      </c>
      <c r="V14" s="2" t="s">
        <v>1</v>
      </c>
      <c r="W14" s="2" t="s">
        <v>1</v>
      </c>
      <c r="X14" s="2" t="s">
        <v>54</v>
      </c>
      <c r="Z14" s="2" t="s">
        <v>54</v>
      </c>
      <c r="AA14" s="2" t="s">
        <v>1</v>
      </c>
      <c r="AB14" s="2" t="s">
        <v>1</v>
      </c>
      <c r="AC14" s="2" t="s">
        <v>1</v>
      </c>
    </row>
    <row r="15" spans="1:29" x14ac:dyDescent="0.4">
      <c r="A15" s="2" t="s">
        <v>261</v>
      </c>
      <c r="B15" s="2" t="s">
        <v>118</v>
      </c>
      <c r="C15" s="2" t="s">
        <v>173</v>
      </c>
      <c r="D15" s="2" t="s">
        <v>264</v>
      </c>
      <c r="E15" s="2" t="s">
        <v>165</v>
      </c>
      <c r="F15" s="2" t="s">
        <v>265</v>
      </c>
      <c r="G15" s="2" t="s">
        <v>122</v>
      </c>
      <c r="H15" s="2" t="s">
        <v>266</v>
      </c>
      <c r="I15" s="2" t="s">
        <v>124</v>
      </c>
      <c r="J15" s="2" t="s">
        <v>302</v>
      </c>
      <c r="K15" s="2" t="s">
        <v>150</v>
      </c>
      <c r="L15" s="2" t="s">
        <v>267</v>
      </c>
      <c r="M15" s="2" t="s">
        <v>7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268</v>
      </c>
      <c r="T15" s="2" t="s">
        <v>178</v>
      </c>
      <c r="U15" s="2" t="s">
        <v>1</v>
      </c>
      <c r="V15" s="2" t="s">
        <v>1</v>
      </c>
      <c r="W15" s="2" t="s">
        <v>1</v>
      </c>
      <c r="X15" s="2" t="s">
        <v>54</v>
      </c>
      <c r="Z15" s="2" t="s">
        <v>54</v>
      </c>
      <c r="AA15" s="2" t="s">
        <v>1</v>
      </c>
      <c r="AB15" s="2" t="s">
        <v>1</v>
      </c>
      <c r="AC15" s="2" t="s">
        <v>1</v>
      </c>
    </row>
    <row r="16" spans="1:29" x14ac:dyDescent="0.4">
      <c r="A16" s="2" t="s">
        <v>109</v>
      </c>
      <c r="B16" s="2" t="s">
        <v>180</v>
      </c>
      <c r="C16" s="2" t="s">
        <v>181</v>
      </c>
      <c r="D16" s="2" t="s">
        <v>182</v>
      </c>
      <c r="E16" s="2" t="s">
        <v>183</v>
      </c>
      <c r="F16" s="2" t="s">
        <v>184</v>
      </c>
      <c r="G16" s="2" t="s">
        <v>122</v>
      </c>
      <c r="H16" s="2" t="s">
        <v>185</v>
      </c>
      <c r="I16" s="2" t="s">
        <v>124</v>
      </c>
      <c r="K16" s="2" t="s">
        <v>54</v>
      </c>
      <c r="L16" s="2" t="s">
        <v>1</v>
      </c>
      <c r="M16" s="2" t="s">
        <v>1</v>
      </c>
      <c r="N16" s="2" t="s">
        <v>138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186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54</v>
      </c>
      <c r="Z16" s="2" t="s">
        <v>54</v>
      </c>
      <c r="AA16" s="2" t="s">
        <v>1</v>
      </c>
      <c r="AB16" s="2" t="s">
        <v>1</v>
      </c>
      <c r="AC16" s="2" t="s">
        <v>7</v>
      </c>
    </row>
    <row r="17" spans="1:29" x14ac:dyDescent="0.4">
      <c r="A17" s="2" t="s">
        <v>278</v>
      </c>
      <c r="B17" s="2" t="s">
        <v>180</v>
      </c>
      <c r="C17" s="2" t="s">
        <v>279</v>
      </c>
      <c r="D17" s="2" t="s">
        <v>280</v>
      </c>
      <c r="E17" s="2" t="s">
        <v>281</v>
      </c>
      <c r="F17" s="2" t="s">
        <v>282</v>
      </c>
      <c r="G17" s="2" t="s">
        <v>122</v>
      </c>
      <c r="H17" s="2" t="s">
        <v>283</v>
      </c>
      <c r="I17" s="2" t="s">
        <v>124</v>
      </c>
      <c r="K17" s="2" t="s">
        <v>54</v>
      </c>
      <c r="L17" s="2" t="s">
        <v>1</v>
      </c>
      <c r="M17" s="2" t="s">
        <v>7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288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54</v>
      </c>
      <c r="Z17" s="2" t="s">
        <v>54</v>
      </c>
      <c r="AA17" s="2" t="s">
        <v>1</v>
      </c>
      <c r="AB17" s="2" t="s">
        <v>1</v>
      </c>
      <c r="AC17" s="2" t="s">
        <v>1</v>
      </c>
    </row>
    <row r="18" spans="1:29" x14ac:dyDescent="0.4">
      <c r="A18" s="2" t="s">
        <v>111</v>
      </c>
      <c r="B18" s="2" t="s">
        <v>118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52</v>
      </c>
      <c r="H18" s="2" t="s">
        <v>193</v>
      </c>
      <c r="I18" s="2" t="s">
        <v>53</v>
      </c>
      <c r="K18" s="2" t="s">
        <v>54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194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54</v>
      </c>
      <c r="Z18" s="2" t="s">
        <v>54</v>
      </c>
      <c r="AA18" s="2" t="s">
        <v>1</v>
      </c>
      <c r="AB18" s="2" t="s">
        <v>1</v>
      </c>
      <c r="AC18" s="2" t="s">
        <v>1</v>
      </c>
    </row>
    <row r="19" spans="1:29" x14ac:dyDescent="0.4">
      <c r="A19" s="2" t="s">
        <v>112</v>
      </c>
      <c r="B19" s="2" t="s">
        <v>180</v>
      </c>
      <c r="C19" s="2" t="s">
        <v>181</v>
      </c>
      <c r="D19" s="2" t="s">
        <v>195</v>
      </c>
      <c r="E19" s="2" t="s">
        <v>196</v>
      </c>
      <c r="F19" s="2" t="s">
        <v>197</v>
      </c>
      <c r="G19" s="2" t="s">
        <v>122</v>
      </c>
      <c r="H19" s="2" t="s">
        <v>198</v>
      </c>
      <c r="I19" s="2" t="s">
        <v>124</v>
      </c>
      <c r="K19" s="2" t="s">
        <v>54</v>
      </c>
      <c r="L19" s="2" t="s">
        <v>1</v>
      </c>
      <c r="M19" s="2" t="s">
        <v>1</v>
      </c>
      <c r="N19" s="2" t="s">
        <v>143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199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54</v>
      </c>
      <c r="Z19" s="2" t="s">
        <v>54</v>
      </c>
      <c r="AA19" s="2" t="s">
        <v>1</v>
      </c>
      <c r="AB19" s="2" t="s">
        <v>1</v>
      </c>
      <c r="AC19" s="2" t="s">
        <v>7</v>
      </c>
    </row>
    <row r="20" spans="1:29" x14ac:dyDescent="0.4">
      <c r="A20" s="2" t="s">
        <v>113</v>
      </c>
      <c r="B20" s="2" t="s">
        <v>118</v>
      </c>
      <c r="C20" s="2" t="s">
        <v>189</v>
      </c>
      <c r="D20" s="2" t="s">
        <v>200</v>
      </c>
      <c r="E20" s="2" t="s">
        <v>191</v>
      </c>
      <c r="F20" s="2" t="s">
        <v>201</v>
      </c>
      <c r="G20" s="2" t="s">
        <v>122</v>
      </c>
      <c r="H20" s="2" t="s">
        <v>202</v>
      </c>
      <c r="I20" s="2" t="s">
        <v>124</v>
      </c>
      <c r="K20" s="2" t="s">
        <v>54</v>
      </c>
      <c r="L20" s="2" t="s">
        <v>1</v>
      </c>
      <c r="M20" s="2" t="s">
        <v>1</v>
      </c>
      <c r="N20" s="2" t="s">
        <v>138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203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54</v>
      </c>
      <c r="Z20" s="2" t="s">
        <v>54</v>
      </c>
      <c r="AA20" s="2" t="s">
        <v>1</v>
      </c>
      <c r="AB20" s="2" t="s">
        <v>1</v>
      </c>
      <c r="AC20" s="2" t="s">
        <v>7</v>
      </c>
    </row>
    <row r="21" spans="1:29" x14ac:dyDescent="0.4">
      <c r="A21" s="2" t="s">
        <v>116</v>
      </c>
      <c r="B21" s="2" t="s">
        <v>118</v>
      </c>
      <c r="C21" s="2" t="s">
        <v>208</v>
      </c>
      <c r="D21" s="2" t="s">
        <v>209</v>
      </c>
      <c r="E21" s="2" t="s">
        <v>210</v>
      </c>
      <c r="F21" s="2" t="s">
        <v>211</v>
      </c>
      <c r="G21" s="2" t="s">
        <v>52</v>
      </c>
      <c r="H21" s="2" t="s">
        <v>212</v>
      </c>
      <c r="I21" s="2" t="s">
        <v>53</v>
      </c>
      <c r="K21" s="2" t="s">
        <v>150</v>
      </c>
      <c r="L21" s="2" t="s">
        <v>213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213</v>
      </c>
      <c r="T21" s="2" t="s">
        <v>214</v>
      </c>
      <c r="U21" s="2" t="s">
        <v>1</v>
      </c>
      <c r="V21" s="2" t="s">
        <v>1</v>
      </c>
      <c r="W21" s="2" t="s">
        <v>1</v>
      </c>
      <c r="X21" s="2" t="s">
        <v>54</v>
      </c>
      <c r="Z21" s="2" t="s">
        <v>54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114</v>
      </c>
      <c r="B22" s="2" t="s">
        <v>180</v>
      </c>
      <c r="C22" s="2" t="s">
        <v>204</v>
      </c>
      <c r="D22" s="2" t="s">
        <v>215</v>
      </c>
      <c r="E22" s="2" t="s">
        <v>205</v>
      </c>
      <c r="F22" s="2" t="s">
        <v>216</v>
      </c>
      <c r="G22" s="2" t="s">
        <v>52</v>
      </c>
      <c r="H22" s="2" t="s">
        <v>206</v>
      </c>
      <c r="I22" s="2" t="s">
        <v>53</v>
      </c>
      <c r="K22" s="2" t="s">
        <v>54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217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54</v>
      </c>
      <c r="Z22" s="2" t="s">
        <v>54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117</v>
      </c>
      <c r="B23" s="2" t="s">
        <v>118</v>
      </c>
      <c r="C23" s="2" t="s">
        <v>218</v>
      </c>
      <c r="D23" s="2" t="s">
        <v>219</v>
      </c>
      <c r="E23" s="2" t="s">
        <v>220</v>
      </c>
      <c r="F23" s="2" t="s">
        <v>221</v>
      </c>
      <c r="G23" s="2" t="s">
        <v>122</v>
      </c>
      <c r="H23" s="2" t="s">
        <v>222</v>
      </c>
      <c r="I23" s="2" t="s">
        <v>124</v>
      </c>
      <c r="K23" s="2" t="s">
        <v>150</v>
      </c>
      <c r="L23" s="2" t="s">
        <v>272</v>
      </c>
      <c r="M23" s="2" t="s">
        <v>1</v>
      </c>
      <c r="N23" s="2" t="s">
        <v>273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272</v>
      </c>
      <c r="T23" s="2" t="s">
        <v>224</v>
      </c>
      <c r="U23" s="2" t="s">
        <v>1</v>
      </c>
      <c r="V23" s="2" t="s">
        <v>1</v>
      </c>
      <c r="W23" s="2" t="s">
        <v>1</v>
      </c>
      <c r="X23" s="2" t="s">
        <v>54</v>
      </c>
      <c r="Z23" s="2" t="s">
        <v>54</v>
      </c>
      <c r="AA23" s="2" t="s">
        <v>1</v>
      </c>
      <c r="AB23" s="2" t="s">
        <v>1</v>
      </c>
      <c r="AC23" s="2" t="s">
        <v>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B298-1F2A-45CE-BB89-AF2FE5F63348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58</v>
      </c>
    </row>
    <row r="3" spans="1:1" x14ac:dyDescent="0.4">
      <c r="A3" s="2" t="s">
        <v>2</v>
      </c>
    </row>
    <row r="11" spans="1:1" x14ac:dyDescent="0.4">
      <c r="A11" s="2" t="s">
        <v>1</v>
      </c>
    </row>
    <row r="12" spans="1:1" x14ac:dyDescent="0.4">
      <c r="A12" s="2" t="s">
        <v>2</v>
      </c>
    </row>
    <row r="13" spans="1:1" x14ac:dyDescent="0.4">
      <c r="A13" s="2" t="s">
        <v>2</v>
      </c>
    </row>
    <row r="14" spans="1:1" x14ac:dyDescent="0.4">
      <c r="A14" s="2" t="s">
        <v>7</v>
      </c>
    </row>
    <row r="15" spans="1:1" x14ac:dyDescent="0.4">
      <c r="A15" s="2" t="s">
        <v>7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8</v>
      </c>
    </row>
    <row r="20" spans="1:3" x14ac:dyDescent="0.4">
      <c r="A20" s="2" t="s">
        <v>1</v>
      </c>
    </row>
    <row r="31" spans="1:3" x14ac:dyDescent="0.4">
      <c r="A31" s="2" t="s">
        <v>1</v>
      </c>
      <c r="B31" s="2" t="s">
        <v>1</v>
      </c>
      <c r="C31" s="2" t="s">
        <v>2</v>
      </c>
    </row>
    <row r="32" spans="1:3" x14ac:dyDescent="0.4">
      <c r="A32" s="2" t="s">
        <v>1</v>
      </c>
      <c r="B32" s="2" t="s">
        <v>1</v>
      </c>
      <c r="C32" s="2"/>
    </row>
    <row r="33" spans="1:3" x14ac:dyDescent="0.4">
      <c r="A33" s="2" t="s">
        <v>1</v>
      </c>
      <c r="B33" s="2"/>
      <c r="C33" s="2"/>
    </row>
    <row r="34" spans="1:3" x14ac:dyDescent="0.4">
      <c r="A34" s="2" t="s">
        <v>1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51" spans="1:1" x14ac:dyDescent="0.4">
      <c r="A51" s="2" t="s">
        <v>315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DA92-4630-4EC7-BA40-BC9E61AE39B5}">
  <dimension ref="A1:BA49"/>
  <sheetViews>
    <sheetView tabSelected="1" view="pageBreakPreview" zoomScale="115" zoomScaleNormal="100" zoomScaleSheetLayoutView="115" workbookViewId="0">
      <selection activeCell="BB5" sqref="BB5"/>
    </sheetView>
  </sheetViews>
  <sheetFormatPr defaultColWidth="2.25" defaultRowHeight="18.75" x14ac:dyDescent="0.4"/>
  <cols>
    <col min="1" max="6" width="2.25" style="4"/>
    <col min="7" max="18" width="2.25" style="5"/>
    <col min="19" max="19" width="2.25" style="4"/>
    <col min="20" max="26" width="2.25" style="6"/>
    <col min="27" max="29" width="2.25" style="7"/>
    <col min="30" max="31" width="1" style="7" customWidth="1"/>
    <col min="32" max="36" width="2.25" style="7"/>
    <col min="37" max="53" width="2.25" style="6" hidden="1" customWidth="1"/>
    <col min="54" max="16384" width="2.25" style="6"/>
  </cols>
  <sheetData>
    <row r="1" spans="1:53" x14ac:dyDescent="0.4"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3" ht="15" customHeight="1" x14ac:dyDescent="0.4">
      <c r="B2" s="19" t="s">
        <v>41</v>
      </c>
      <c r="U2" s="121" t="s">
        <v>42</v>
      </c>
      <c r="V2" s="121"/>
      <c r="W2" s="121"/>
      <c r="X2" s="122"/>
      <c r="Y2" s="122"/>
      <c r="Z2" s="120" t="s">
        <v>43</v>
      </c>
      <c r="AA2" s="120"/>
      <c r="AB2" s="120"/>
      <c r="AC2" s="120"/>
      <c r="AD2" s="9"/>
      <c r="AE2" s="9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x14ac:dyDescent="0.4">
      <c r="B3" s="117" t="s">
        <v>44</v>
      </c>
      <c r="C3" s="117"/>
      <c r="D3" s="117"/>
      <c r="E3" s="117"/>
      <c r="F3" s="117"/>
      <c r="G3" s="11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 x14ac:dyDescent="0.4">
      <c r="B4" s="117"/>
      <c r="C4" s="117"/>
      <c r="D4" s="117"/>
      <c r="E4" s="117"/>
      <c r="F4" s="117"/>
      <c r="G4" s="117"/>
      <c r="R4" s="10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:53" s="13" customFormat="1" ht="18.75" customHeight="1" x14ac:dyDescent="0.4">
      <c r="A5" s="11"/>
      <c r="B5" s="63" t="s">
        <v>45</v>
      </c>
      <c r="C5" s="64"/>
      <c r="D5" s="64"/>
      <c r="E5" s="64"/>
      <c r="F5" s="64"/>
      <c r="G5" s="22" t="s">
        <v>97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114" t="s">
        <v>66</v>
      </c>
      <c r="T5" s="114"/>
      <c r="U5" s="115"/>
      <c r="V5" s="20" t="s">
        <v>62</v>
      </c>
      <c r="W5" s="21"/>
      <c r="X5" s="21"/>
      <c r="Y5" s="21"/>
      <c r="Z5" s="21"/>
      <c r="AA5" s="118" t="s">
        <v>100</v>
      </c>
      <c r="AB5" s="118"/>
      <c r="AC5" s="118"/>
      <c r="AD5" s="118"/>
      <c r="AE5" s="118"/>
      <c r="AF5" s="118"/>
      <c r="AG5" s="118"/>
      <c r="AH5" s="118"/>
      <c r="AI5" s="118"/>
      <c r="AJ5" s="119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3" s="13" customFormat="1" ht="18.75" customHeight="1" x14ac:dyDescent="0.4">
      <c r="A6" s="11"/>
      <c r="B6" s="63" t="s">
        <v>46</v>
      </c>
      <c r="C6" s="64"/>
      <c r="D6" s="64"/>
      <c r="E6" s="64"/>
      <c r="F6" s="64"/>
      <c r="G6" s="110" t="s">
        <v>98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1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3" s="13" customFormat="1" ht="18.75" customHeight="1" x14ac:dyDescent="0.4">
      <c r="A7" s="11"/>
      <c r="B7" s="77" t="s">
        <v>47</v>
      </c>
      <c r="C7" s="78"/>
      <c r="D7" s="78"/>
      <c r="E7" s="78"/>
      <c r="F7" s="78"/>
      <c r="G7" s="112" t="s">
        <v>99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78" t="s">
        <v>63</v>
      </c>
      <c r="W7" s="78"/>
      <c r="X7" s="78"/>
      <c r="Y7" s="78"/>
      <c r="Z7" s="78"/>
      <c r="AA7" s="112" t="s">
        <v>101</v>
      </c>
      <c r="AB7" s="112"/>
      <c r="AC7" s="112"/>
      <c r="AD7" s="112"/>
      <c r="AE7" s="112"/>
      <c r="AF7" s="112"/>
      <c r="AG7" s="112"/>
      <c r="AH7" s="112"/>
      <c r="AI7" s="112"/>
      <c r="AJ7" s="113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</row>
    <row r="8" spans="1:53" ht="9" customHeight="1" x14ac:dyDescent="0.4">
      <c r="B8" s="11"/>
      <c r="C8" s="11"/>
      <c r="D8" s="11"/>
      <c r="E8" s="11"/>
      <c r="F8" s="11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6"/>
      <c r="T8" s="16"/>
      <c r="U8" s="13"/>
      <c r="V8" s="13"/>
      <c r="W8" s="13"/>
      <c r="X8" s="13"/>
      <c r="Y8" s="13"/>
      <c r="Z8" s="13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spans="1:53" s="13" customFormat="1" ht="18.75" customHeight="1" x14ac:dyDescent="0.4">
      <c r="A9" s="11"/>
      <c r="B9" s="63" t="s">
        <v>64</v>
      </c>
      <c r="C9" s="64"/>
      <c r="D9" s="64"/>
      <c r="E9" s="64"/>
      <c r="F9" s="64"/>
      <c r="G9" s="110" t="s">
        <v>102</v>
      </c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40" t="s">
        <v>66</v>
      </c>
      <c r="T9" s="40"/>
      <c r="U9" s="40"/>
      <c r="V9" s="64" t="s">
        <v>67</v>
      </c>
      <c r="W9" s="64"/>
      <c r="X9" s="64"/>
      <c r="Y9" s="64"/>
      <c r="Z9" s="64"/>
      <c r="AA9" s="110" t="s">
        <v>103</v>
      </c>
      <c r="AB9" s="110"/>
      <c r="AC9" s="110"/>
      <c r="AD9" s="110"/>
      <c r="AE9" s="110"/>
      <c r="AF9" s="110"/>
      <c r="AG9" s="110"/>
      <c r="AH9" s="110"/>
      <c r="AI9" s="110"/>
      <c r="AJ9" s="111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:53" s="13" customFormat="1" ht="18.75" customHeight="1" x14ac:dyDescent="0.4">
      <c r="A10" s="11"/>
      <c r="B10" s="77" t="s">
        <v>65</v>
      </c>
      <c r="C10" s="78"/>
      <c r="D10" s="78"/>
      <c r="E10" s="78"/>
      <c r="F10" s="78"/>
      <c r="G10" s="112" t="s">
        <v>102</v>
      </c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6" t="s">
        <v>66</v>
      </c>
      <c r="T10" s="116"/>
      <c r="U10" s="116"/>
      <c r="V10" s="78" t="s">
        <v>67</v>
      </c>
      <c r="W10" s="78"/>
      <c r="X10" s="78"/>
      <c r="Y10" s="78"/>
      <c r="Z10" s="78"/>
      <c r="AA10" s="112" t="s">
        <v>104</v>
      </c>
      <c r="AB10" s="112"/>
      <c r="AC10" s="112"/>
      <c r="AD10" s="112"/>
      <c r="AE10" s="112"/>
      <c r="AF10" s="112"/>
      <c r="AG10" s="112"/>
      <c r="AH10" s="112"/>
      <c r="AI10" s="112"/>
      <c r="AJ10" s="113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:53" ht="9" customHeight="1" x14ac:dyDescent="0.4">
      <c r="B11" s="11"/>
      <c r="C11" s="11"/>
      <c r="D11" s="11"/>
      <c r="E11" s="11"/>
      <c r="F11" s="11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1"/>
      <c r="T11" s="13"/>
      <c r="U11" s="13"/>
      <c r="V11" s="13"/>
      <c r="W11" s="13"/>
      <c r="X11" s="13"/>
      <c r="Y11" s="13"/>
      <c r="Z11" s="13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 spans="1:53" ht="18.75" customHeight="1" x14ac:dyDescent="0.4">
      <c r="B12" s="20" t="s">
        <v>68</v>
      </c>
      <c r="C12" s="21"/>
      <c r="D12" s="21"/>
      <c r="E12" s="21"/>
      <c r="F12" s="21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5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 spans="1:53" ht="9" customHeight="1" x14ac:dyDescent="0.4">
      <c r="B13" s="11"/>
      <c r="C13" s="11"/>
      <c r="D13" s="11"/>
      <c r="E13" s="11"/>
      <c r="F13" s="11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1"/>
      <c r="T13" s="13"/>
      <c r="U13" s="13"/>
      <c r="V13" s="13"/>
      <c r="W13" s="13"/>
      <c r="X13" s="13"/>
      <c r="Y13" s="13"/>
      <c r="Z13" s="13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 spans="1:53" ht="18.75" customHeight="1" x14ac:dyDescent="0.4">
      <c r="B14" s="20" t="s">
        <v>69</v>
      </c>
      <c r="C14" s="21"/>
      <c r="D14" s="21"/>
      <c r="E14" s="21"/>
      <c r="F14" s="97"/>
      <c r="G14" s="101" t="s">
        <v>105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3"/>
      <c r="T14" s="20" t="s">
        <v>72</v>
      </c>
      <c r="U14" s="21"/>
      <c r="V14" s="21"/>
      <c r="W14" s="21"/>
      <c r="X14" s="97"/>
      <c r="Y14" s="101" t="s">
        <v>106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3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 spans="1:53" ht="18.75" customHeight="1" x14ac:dyDescent="0.4">
      <c r="B15" s="20" t="s">
        <v>70</v>
      </c>
      <c r="C15" s="21"/>
      <c r="D15" s="21"/>
      <c r="E15" s="21"/>
      <c r="F15" s="97"/>
      <c r="G15" s="107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9"/>
      <c r="T15" s="98" t="s">
        <v>73</v>
      </c>
      <c r="U15" s="99"/>
      <c r="V15" s="99"/>
      <c r="W15" s="99"/>
      <c r="X15" s="100"/>
      <c r="Y15" s="102" t="str">
        <f>IF(AK15="","",AK15&amp;" "&amp;AL15)</f>
        <v>##患者情報.感染症(+)(-)(不明).感染症 ##患者情報.感染症(+)(-)(不明).感染症結果</v>
      </c>
      <c r="Z15" s="103"/>
      <c r="AA15" s="103"/>
      <c r="AB15" s="103"/>
      <c r="AC15" s="103"/>
      <c r="AD15" s="103"/>
      <c r="AE15" s="104" t="str">
        <f>IF(AK17="","",AK17&amp;" "&amp;AL17)</f>
        <v/>
      </c>
      <c r="AF15" s="105"/>
      <c r="AG15" s="105"/>
      <c r="AH15" s="105"/>
      <c r="AI15" s="105"/>
      <c r="AJ15" s="106"/>
      <c r="AK15" s="18" t="s">
        <v>260</v>
      </c>
      <c r="AL15" s="18" t="s">
        <v>261</v>
      </c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 spans="1:53" ht="18.75" customHeight="1" x14ac:dyDescent="0.4">
      <c r="B16" s="20" t="s">
        <v>71</v>
      </c>
      <c r="C16" s="21"/>
      <c r="D16" s="21"/>
      <c r="E16" s="21"/>
      <c r="F16" s="97"/>
      <c r="G16" s="10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3"/>
      <c r="T16" s="98"/>
      <c r="U16" s="99"/>
      <c r="V16" s="99"/>
      <c r="W16" s="99"/>
      <c r="X16" s="100"/>
      <c r="Y16" s="102" t="str">
        <f>IF(AK16="","",AK16&amp;" "&amp;AL16)</f>
        <v/>
      </c>
      <c r="Z16" s="103"/>
      <c r="AA16" s="103"/>
      <c r="AB16" s="103"/>
      <c r="AC16" s="103"/>
      <c r="AD16" s="103"/>
      <c r="AE16" s="104" t="str">
        <f>IF(AK18="","",AK18&amp;" "&amp;AL18)</f>
        <v/>
      </c>
      <c r="AF16" s="105"/>
      <c r="AG16" s="105"/>
      <c r="AH16" s="105"/>
      <c r="AI16" s="105"/>
      <c r="AJ16" s="106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 spans="2:53" ht="9" customHeight="1" x14ac:dyDescent="0.4">
      <c r="B17" s="11"/>
      <c r="C17" s="11"/>
      <c r="D17" s="11"/>
      <c r="E17" s="11"/>
      <c r="F17" s="11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1"/>
      <c r="T17" s="13"/>
      <c r="U17" s="13"/>
      <c r="V17" s="13"/>
      <c r="W17" s="13"/>
      <c r="X17" s="13"/>
      <c r="Y17" s="13"/>
      <c r="Z17" s="13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</row>
    <row r="18" spans="2:53" ht="18.75" customHeight="1" x14ac:dyDescent="0.4">
      <c r="B18" s="75" t="s">
        <v>74</v>
      </c>
      <c r="C18" s="76"/>
      <c r="D18" s="76"/>
      <c r="E18" s="76"/>
      <c r="F18" s="76"/>
      <c r="G18" s="91" t="s">
        <v>109</v>
      </c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3"/>
      <c r="V18" s="75" t="s">
        <v>92</v>
      </c>
      <c r="W18" s="76"/>
      <c r="X18" s="76"/>
      <c r="Y18" s="76"/>
      <c r="Z18" s="76"/>
      <c r="AA18" s="79" t="str" cm="1">
        <f t="array" ref="AA18">_xlfn.TEXTJOIN("・", TRUE, IF(AO18:AS18&lt;&gt;"", AO18:AS18, ""))</f>
        <v>#・#・指・示・.</v>
      </c>
      <c r="AB18" s="80"/>
      <c r="AC18" s="80"/>
      <c r="AD18" s="80"/>
      <c r="AE18" s="80"/>
      <c r="AF18" s="80"/>
      <c r="AG18" s="80"/>
      <c r="AH18" s="80"/>
      <c r="AI18" s="80"/>
      <c r="AJ18" s="81"/>
      <c r="AK18" s="8"/>
      <c r="AL18" s="8"/>
      <c r="AM18" s="8"/>
      <c r="AN18" s="18" t="s">
        <v>278</v>
      </c>
      <c r="AO18" s="8" t="str">
        <f>IF(LEN($AN18) &gt;= 1, MID($AN18, 1, 1), "")</f>
        <v>#</v>
      </c>
      <c r="AP18" s="8" t="str">
        <f>IF(LEN($AN18) &gt;= 2, MID($AN18, 2, 1), "")</f>
        <v>#</v>
      </c>
      <c r="AQ18" s="8" t="str">
        <f>IF(LEN($AN18) &gt;= 3, MID($AN18, 3, 1), "")</f>
        <v>指</v>
      </c>
      <c r="AR18" s="8" t="str">
        <f>IF(LEN($AN18) &gt;= 4, MID($AN18, 4, 1), "")</f>
        <v>示</v>
      </c>
      <c r="AS18" s="8" t="str">
        <f>IF(LEN($AN18) &gt;= 5, MID($AN18, 5, 1), "")</f>
        <v>.</v>
      </c>
      <c r="AT18" s="8"/>
      <c r="AU18" s="8"/>
      <c r="AV18" s="8"/>
      <c r="AW18" s="8"/>
      <c r="AX18" s="8"/>
      <c r="AY18" s="8"/>
      <c r="AZ18" s="8"/>
      <c r="BA18" s="8"/>
    </row>
    <row r="19" spans="2:53" ht="18.75" customHeight="1" x14ac:dyDescent="0.4">
      <c r="B19" s="65" t="s">
        <v>75</v>
      </c>
      <c r="C19" s="66"/>
      <c r="D19" s="66"/>
      <c r="E19" s="66"/>
      <c r="F19" s="66"/>
      <c r="G19" s="94" t="s">
        <v>111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6"/>
      <c r="V19" s="65" t="s">
        <v>93</v>
      </c>
      <c r="W19" s="66"/>
      <c r="X19" s="66"/>
      <c r="Y19" s="66"/>
      <c r="Z19" s="66"/>
      <c r="AA19" s="82" t="s">
        <v>112</v>
      </c>
      <c r="AB19" s="83"/>
      <c r="AC19" s="83"/>
      <c r="AD19" s="83"/>
      <c r="AE19" s="83"/>
      <c r="AF19" s="83"/>
      <c r="AG19" s="83"/>
      <c r="AH19" s="83"/>
      <c r="AI19" s="83"/>
      <c r="AJ19" s="84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 spans="2:53" ht="18.75" customHeight="1" x14ac:dyDescent="0.4">
      <c r="B20" s="65" t="s">
        <v>76</v>
      </c>
      <c r="C20" s="66"/>
      <c r="D20" s="66"/>
      <c r="E20" s="66"/>
      <c r="F20" s="66"/>
      <c r="G20" s="82" t="s">
        <v>113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4"/>
      <c r="V20" s="65" t="s">
        <v>94</v>
      </c>
      <c r="W20" s="66"/>
      <c r="X20" s="66"/>
      <c r="Y20" s="66"/>
      <c r="Z20" s="66"/>
      <c r="AA20" s="85"/>
      <c r="AB20" s="86"/>
      <c r="AC20" s="86"/>
      <c r="AD20" s="86"/>
      <c r="AE20" s="86"/>
      <c r="AF20" s="86"/>
      <c r="AG20" s="86"/>
      <c r="AH20" s="86"/>
      <c r="AI20" s="86"/>
      <c r="AJ20" s="87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</row>
    <row r="21" spans="2:53" ht="18.75" customHeight="1" x14ac:dyDescent="0.4">
      <c r="B21" s="77" t="s">
        <v>77</v>
      </c>
      <c r="C21" s="78"/>
      <c r="D21" s="78"/>
      <c r="E21" s="78"/>
      <c r="F21" s="78"/>
      <c r="G21" s="88" t="s">
        <v>116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90"/>
      <c r="V21" s="77" t="s">
        <v>95</v>
      </c>
      <c r="W21" s="78"/>
      <c r="X21" s="78"/>
      <c r="Y21" s="78"/>
      <c r="Z21" s="78"/>
      <c r="AA21" s="88" t="s">
        <v>114</v>
      </c>
      <c r="AB21" s="89"/>
      <c r="AC21" s="89"/>
      <c r="AD21" s="89"/>
      <c r="AE21" s="89"/>
      <c r="AF21" s="89"/>
      <c r="AG21" s="89"/>
      <c r="AH21" s="89"/>
      <c r="AI21" s="89"/>
      <c r="AJ21" s="90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 spans="2:53" ht="9" customHeight="1" x14ac:dyDescent="0.4">
      <c r="B22" s="11"/>
      <c r="C22" s="11"/>
      <c r="D22" s="11"/>
      <c r="E22" s="11"/>
      <c r="F22" s="11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1"/>
      <c r="T22" s="13"/>
      <c r="U22" s="13"/>
      <c r="V22" s="13"/>
      <c r="W22" s="13"/>
      <c r="X22" s="13"/>
      <c r="Y22" s="13"/>
      <c r="Z22" s="13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 spans="2:53" ht="18.75" customHeight="1" x14ac:dyDescent="0.4">
      <c r="B23" s="50" t="s">
        <v>78</v>
      </c>
      <c r="C23" s="51"/>
      <c r="D23" s="51"/>
      <c r="E23" s="51"/>
      <c r="F23" s="51"/>
      <c r="G23" s="54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8" t="s">
        <v>79</v>
      </c>
      <c r="W23" s="59"/>
      <c r="X23" s="59"/>
      <c r="Y23" s="59"/>
      <c r="Z23" s="60"/>
      <c r="AA23" s="55"/>
      <c r="AB23" s="55"/>
      <c r="AC23" s="55"/>
      <c r="AD23" s="55"/>
      <c r="AE23" s="55"/>
      <c r="AF23" s="55"/>
      <c r="AG23" s="55"/>
      <c r="AH23" s="55"/>
      <c r="AI23" s="55"/>
      <c r="AJ23" s="61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 spans="2:53" ht="18.75" customHeight="1" x14ac:dyDescent="0.4">
      <c r="B24" s="52"/>
      <c r="C24" s="53"/>
      <c r="D24" s="53"/>
      <c r="E24" s="53"/>
      <c r="F24" s="53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27"/>
      <c r="W24" s="28"/>
      <c r="X24" s="28"/>
      <c r="Y24" s="28"/>
      <c r="Z24" s="29"/>
      <c r="AA24" s="57"/>
      <c r="AB24" s="57"/>
      <c r="AC24" s="57"/>
      <c r="AD24" s="57"/>
      <c r="AE24" s="57"/>
      <c r="AF24" s="57"/>
      <c r="AG24" s="57"/>
      <c r="AH24" s="57"/>
      <c r="AI24" s="57"/>
      <c r="AJ24" s="62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2:53" ht="9" customHeight="1" x14ac:dyDescent="0.4">
      <c r="B25" s="11"/>
      <c r="C25" s="11"/>
      <c r="D25" s="11"/>
      <c r="E25" s="11"/>
      <c r="F25" s="11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1"/>
      <c r="T25" s="11"/>
      <c r="U25" s="13"/>
      <c r="V25" s="13"/>
      <c r="W25" s="13"/>
      <c r="X25" s="13"/>
      <c r="Y25" s="13"/>
      <c r="Z25" s="13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 spans="2:53" ht="18.75" customHeight="1" x14ac:dyDescent="0.4">
      <c r="B26" s="63" t="s">
        <v>80</v>
      </c>
      <c r="C26" s="64"/>
      <c r="D26" s="64"/>
      <c r="E26" s="64"/>
      <c r="F26" s="64"/>
      <c r="G26" s="68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70"/>
      <c r="V26" s="71" t="s">
        <v>82</v>
      </c>
      <c r="W26" s="71"/>
      <c r="X26" s="71"/>
      <c r="Y26" s="71"/>
      <c r="Z26" s="71"/>
      <c r="AA26" s="54"/>
      <c r="AB26" s="55"/>
      <c r="AC26" s="55"/>
      <c r="AD26" s="55"/>
      <c r="AE26" s="55"/>
      <c r="AF26" s="55"/>
      <c r="AG26" s="55"/>
      <c r="AH26" s="55"/>
      <c r="AI26" s="55"/>
      <c r="AJ26" s="61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 spans="2:53" ht="18.75" customHeight="1" x14ac:dyDescent="0.4">
      <c r="B27" s="65" t="s">
        <v>81</v>
      </c>
      <c r="C27" s="66"/>
      <c r="D27" s="66"/>
      <c r="E27" s="66"/>
      <c r="F27" s="67"/>
      <c r="G27" s="72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4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2:53" ht="18.75" customHeight="1" x14ac:dyDescent="0.4">
      <c r="B28" s="24" t="s">
        <v>83</v>
      </c>
      <c r="C28" s="25"/>
      <c r="D28" s="25"/>
      <c r="E28" s="25"/>
      <c r="F28" s="26"/>
      <c r="G28" s="30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2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2:53" ht="18.75" customHeight="1" x14ac:dyDescent="0.4">
      <c r="B29" s="27"/>
      <c r="C29" s="28"/>
      <c r="D29" s="28"/>
      <c r="E29" s="28"/>
      <c r="F29" s="29"/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5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2:53" ht="9" customHeight="1" x14ac:dyDescent="0.4">
      <c r="B30" s="11"/>
      <c r="C30" s="11"/>
      <c r="D30" s="11"/>
      <c r="E30" s="11"/>
      <c r="F30" s="11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1"/>
      <c r="T30" s="13"/>
      <c r="U30" s="13"/>
      <c r="V30" s="13"/>
      <c r="W30" s="13"/>
      <c r="X30" s="13"/>
      <c r="Y30" s="13"/>
      <c r="Z30" s="13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 spans="2:53" ht="18.75" customHeight="1" x14ac:dyDescent="0.4">
      <c r="B31" s="36" t="s">
        <v>84</v>
      </c>
      <c r="C31" s="36"/>
      <c r="D31" s="36"/>
      <c r="E31" s="36"/>
      <c r="F31" s="36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6" t="s">
        <v>85</v>
      </c>
      <c r="W31" s="36"/>
      <c r="X31" s="36"/>
      <c r="Y31" s="36"/>
      <c r="Z31" s="36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</row>
    <row r="32" spans="2:53" ht="9" customHeight="1" x14ac:dyDescent="0.4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2:53" ht="15" customHeight="1" x14ac:dyDescent="0.4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1" t="s">
        <v>96</v>
      </c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3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</row>
    <row r="34" spans="2:53" ht="12.95" customHeight="1" x14ac:dyDescent="0.4"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4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</row>
    <row r="35" spans="2:53" ht="12.95" customHeight="1" x14ac:dyDescent="0.4"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4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</row>
    <row r="36" spans="2:53" ht="12.95" customHeight="1" x14ac:dyDescent="0.4"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4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</row>
    <row r="37" spans="2:53" ht="12.95" customHeight="1" x14ac:dyDescent="0.4"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4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</row>
    <row r="38" spans="2:53" ht="12.95" customHeight="1" x14ac:dyDescent="0.4"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4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</row>
    <row r="39" spans="2:53" ht="12.95" customHeight="1" x14ac:dyDescent="0.4"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4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</row>
    <row r="40" spans="2:53" ht="12.95" customHeight="1" x14ac:dyDescent="0.4"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4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</row>
    <row r="41" spans="2:53" ht="12.95" customHeight="1" x14ac:dyDescent="0.4"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4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8"/>
    </row>
    <row r="42" spans="2:53" ht="12.95" customHeight="1" x14ac:dyDescent="0.4"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4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8"/>
    </row>
    <row r="43" spans="2:53" ht="12.95" customHeight="1" x14ac:dyDescent="0.4"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4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8"/>
    </row>
    <row r="44" spans="2:53" ht="12.95" customHeight="1" x14ac:dyDescent="0.4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4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8"/>
    </row>
    <row r="45" spans="2:53" ht="12.95" customHeight="1" x14ac:dyDescent="0.4"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4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8"/>
    </row>
    <row r="46" spans="2:53" ht="12.95" customHeight="1" x14ac:dyDescent="0.4"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4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8"/>
    </row>
    <row r="47" spans="2:53" ht="12.95" customHeight="1" x14ac:dyDescent="0.4"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4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8"/>
    </row>
    <row r="48" spans="2:53" ht="12.95" customHeight="1" x14ac:dyDescent="0.4">
      <c r="B48" s="46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6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9"/>
    </row>
    <row r="49" spans="2:36" ht="18.75" customHeight="1" x14ac:dyDescent="0.4">
      <c r="B49" s="20" t="s">
        <v>86</v>
      </c>
      <c r="C49" s="21"/>
      <c r="D49" s="21"/>
      <c r="E49" s="21"/>
      <c r="F49" s="21"/>
      <c r="G49" s="22" t="s">
        <v>117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3"/>
    </row>
  </sheetData>
  <mergeCells count="80">
    <mergeCell ref="B3:G4"/>
    <mergeCell ref="B5:F5"/>
    <mergeCell ref="B6:F6"/>
    <mergeCell ref="AA5:AJ5"/>
    <mergeCell ref="Z2:AC2"/>
    <mergeCell ref="U2:W2"/>
    <mergeCell ref="X2:Y2"/>
    <mergeCell ref="B7:F7"/>
    <mergeCell ref="V5:Z5"/>
    <mergeCell ref="G6:AJ6"/>
    <mergeCell ref="G7:U7"/>
    <mergeCell ref="V7:Z7"/>
    <mergeCell ref="AA7:AJ7"/>
    <mergeCell ref="S5:U5"/>
    <mergeCell ref="G5:R5"/>
    <mergeCell ref="V9:Z9"/>
    <mergeCell ref="V10:Z10"/>
    <mergeCell ref="AA9:AJ9"/>
    <mergeCell ref="AA10:AJ10"/>
    <mergeCell ref="B12:F12"/>
    <mergeCell ref="G12:AJ12"/>
    <mergeCell ref="B9:F9"/>
    <mergeCell ref="B10:F10"/>
    <mergeCell ref="G9:R9"/>
    <mergeCell ref="G10:R10"/>
    <mergeCell ref="S9:U9"/>
    <mergeCell ref="S10:U10"/>
    <mergeCell ref="B14:F14"/>
    <mergeCell ref="B15:F15"/>
    <mergeCell ref="B16:F16"/>
    <mergeCell ref="G14:S14"/>
    <mergeCell ref="G15:S15"/>
    <mergeCell ref="G16:S16"/>
    <mergeCell ref="T14:X14"/>
    <mergeCell ref="T15:X16"/>
    <mergeCell ref="Y14:AJ14"/>
    <mergeCell ref="Y15:AD15"/>
    <mergeCell ref="AE15:AJ15"/>
    <mergeCell ref="Y16:AD16"/>
    <mergeCell ref="AE16:AJ16"/>
    <mergeCell ref="B18:F18"/>
    <mergeCell ref="B19:F19"/>
    <mergeCell ref="B20:F20"/>
    <mergeCell ref="B21:F21"/>
    <mergeCell ref="G18:U18"/>
    <mergeCell ref="G19:U19"/>
    <mergeCell ref="G20:U20"/>
    <mergeCell ref="G21:U21"/>
    <mergeCell ref="V18:Z18"/>
    <mergeCell ref="V19:Z19"/>
    <mergeCell ref="V20:Z20"/>
    <mergeCell ref="V21:Z21"/>
    <mergeCell ref="AA18:AJ18"/>
    <mergeCell ref="AA19:AJ19"/>
    <mergeCell ref="AA20:AJ20"/>
    <mergeCell ref="AA21:AJ21"/>
    <mergeCell ref="B26:F26"/>
    <mergeCell ref="B27:F27"/>
    <mergeCell ref="G26:U26"/>
    <mergeCell ref="V26:Z26"/>
    <mergeCell ref="AA26:AJ26"/>
    <mergeCell ref="G27:AJ27"/>
    <mergeCell ref="B23:F24"/>
    <mergeCell ref="G23:U23"/>
    <mergeCell ref="G24:U24"/>
    <mergeCell ref="V23:Z24"/>
    <mergeCell ref="AA23:AJ23"/>
    <mergeCell ref="AA24:AJ24"/>
    <mergeCell ref="B49:F49"/>
    <mergeCell ref="G49:AJ49"/>
    <mergeCell ref="B28:F29"/>
    <mergeCell ref="G28:AJ29"/>
    <mergeCell ref="B31:F31"/>
    <mergeCell ref="G31:U31"/>
    <mergeCell ref="V31:Z31"/>
    <mergeCell ref="AA31:AJ31"/>
    <mergeCell ref="B33:U33"/>
    <mergeCell ref="V33:AJ33"/>
    <mergeCell ref="B34:U48"/>
    <mergeCell ref="V34:AJ48"/>
  </mergeCells>
  <phoneticPr fontId="1"/>
  <pageMargins left="0.7" right="0.7" top="0.75" bottom="0.75" header="0.3" footer="0.3"/>
  <pageSetup paperSize="9" scale="9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2AF6DEC2-CF04-4189-90E6-A6A10BC1B201}"/>
</file>

<file path=customXml/itemProps2.xml><?xml version="1.0" encoding="utf-8"?>
<ds:datastoreItem xmlns:ds="http://schemas.openxmlformats.org/officeDocument/2006/customXml" ds:itemID="{CEC6B7C1-8D39-40FC-9915-3E801862D3C6}"/>
</file>

<file path=customXml/itemProps3.xml><?xml version="1.0" encoding="utf-8"?>
<ds:datastoreItem xmlns:ds="http://schemas.openxmlformats.org/officeDocument/2006/customXml" ds:itemID="{83A40A79-BF56-41AB-81DF-64DDA1137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2025-10-16T23:36:23Z</cp:lastPrinted>
  <dcterms:created xsi:type="dcterms:W3CDTF">2025-06-24T01:48:47Z</dcterms:created>
  <dcterms:modified xsi:type="dcterms:W3CDTF">2025-10-21T01:59:36Z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