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55100\Desktop\紹介状workデータ\(標準)紹介状_008\20251021 0951_NKKSBR\"/>
    </mc:Choice>
  </mc:AlternateContent>
  <xr:revisionPtr revIDLastSave="0" documentId="13_ncr:1_{E65680FA-801C-4EFA-85A7-B2F851CB31CE}" xr6:coauthVersionLast="47" xr6:coauthVersionMax="47" xr10:uidLastSave="{00000000-0000-0000-0000-000000000000}"/>
  <bookViews>
    <workbookView xWindow="28680" yWindow="0" windowWidth="29040" windowHeight="15720" firstSheet="4" activeTab="4" xr2:uid="{7E29122C-D321-4795-A5AC-49B61E4FDFB8}"/>
  </bookViews>
  <sheets>
    <sheet name="更新履歴" sheetId="6" state="veryHidden" r:id="rId1"/>
    <sheet name="グループ" sheetId="5" state="veryHidden" r:id="rId2"/>
    <sheet name="パラメータ" sheetId="4" state="veryHidden" r:id="rId3"/>
    <sheet name="設定" sheetId="3" state="veryHidden" r:id="rId4"/>
    <sheet name="レイアウト" sheetId="2" r:id="rId5"/>
  </sheets>
  <definedNames>
    <definedName name="_xlnm.Print_Area" localSheetId="4">レイアウト!$A$1:$W$44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2" l="1"/>
  <c r="Q5" i="2"/>
  <c r="C5" i="2" s="1"/>
  <c r="E16" i="2"/>
  <c r="E15" i="2"/>
  <c r="E14" i="2"/>
  <c r="C16" i="2"/>
  <c r="C15" i="2"/>
  <c r="V13" i="2"/>
  <c r="U13" i="2"/>
  <c r="J13" i="2" s="1" a="1"/>
  <c r="J13" i="2" s="1"/>
  <c r="T13" i="2"/>
  <c r="S13" i="2"/>
  <c r="R13" i="2"/>
  <c r="Q13" i="2"/>
  <c r="P13" i="2"/>
  <c r="I39" i="2"/>
  <c r="I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<sst xmlns="http://schemas.openxmlformats.org/spreadsheetml/2006/main" count="4593" uniqueCount="798">
  <si>
    <t>ReferralLetter</t>
  </si>
  <si>
    <t/>
  </si>
  <si>
    <t>0</t>
  </si>
  <si>
    <t>255100</t>
  </si>
  <si>
    <t>2025/05/12 08:42:03</t>
  </si>
  <si>
    <t>帳票設定</t>
  </si>
  <si>
    <t xml:space="preserve">有り_x000D_
</t>
  </si>
  <si>
    <t>1</t>
  </si>
  <si>
    <t>N</t>
  </si>
  <si>
    <t>DataPath</t>
  </si>
  <si>
    <t>DataCategory</t>
  </si>
  <si>
    <t>DataClass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</si>
  <si>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</si>
  <si>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</si>
  <si>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</si>
  <si>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</si>
  <si>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</si>
  <si>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</si>
  <si>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</si>
  <si>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</si>
  <si>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</si>
  <si>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</si>
  <si>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</si>
  <si>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FilterData</t>
  </si>
  <si>
    <t>FilterType</t>
  </si>
  <si>
    <t>IsNewPage</t>
  </si>
  <si>
    <t>LabelItem</t>
  </si>
  <si>
    <t>CellAddress</t>
  </si>
  <si>
    <t>GroupName</t>
  </si>
  <si>
    <t>FilterState</t>
  </si>
  <si>
    <t>IsInTemplete</t>
  </si>
  <si>
    <t>ParticularInfo</t>
  </si>
  <si>
    <t>IsCalcResult</t>
  </si>
  <si>
    <t>FormatCondition</t>
  </si>
  <si>
    <t>IsImage</t>
  </si>
  <si>
    <t>RowCount</t>
  </si>
  <si>
    <t>GroupPath</t>
  </si>
  <si>
    <t>RepeatCount</t>
  </si>
  <si>
    <t>2025/05/12 09:12:30</t>
  </si>
  <si>
    <t>集計設定</t>
  </si>
  <si>
    <t xml:space="preserve">縦の合計: ⇒ 0_x000D_
横の合計: ⇒ 0_x000D_
</t>
  </si>
  <si>
    <t>紹介状</t>
    <rPh sb="0" eb="3">
      <t>ショウカイジョウ</t>
    </rPh>
    <phoneticPr fontId="1"/>
  </si>
  <si>
    <t>フリガナ</t>
    <phoneticPr fontId="1"/>
  </si>
  <si>
    <t>19372</t>
  </si>
  <si>
    <t>2025/05/12 09:24:36</t>
  </si>
  <si>
    <t>定期日常点検・交換部品記録簿設定</t>
  </si>
  <si>
    <t xml:space="preserve">帳票区分:1 ⇒ _x000D_
</t>
  </si>
  <si>
    <t>名前</t>
    <rPh sb="0" eb="2">
      <t>ナマエ</t>
    </rPh>
    <phoneticPr fontId="1"/>
  </si>
  <si>
    <t>住所</t>
    <rPh sb="0" eb="2">
      <t>ジュウショ</t>
    </rPh>
    <phoneticPr fontId="1"/>
  </si>
  <si>
    <t>年齢</t>
    <rPh sb="0" eb="2">
      <t>ネンレイ</t>
    </rPh>
    <phoneticPr fontId="1"/>
  </si>
  <si>
    <t>性別</t>
    <rPh sb="0" eb="2">
      <t>セイベツ</t>
    </rPh>
    <phoneticPr fontId="1"/>
  </si>
  <si>
    <t>電話番号</t>
    <rPh sb="0" eb="4">
      <t>デンワバンゴウ</t>
    </rPh>
    <phoneticPr fontId="1"/>
  </si>
  <si>
    <t>原疾患</t>
    <rPh sb="0" eb="3">
      <t>ゲンシッカン</t>
    </rPh>
    <phoneticPr fontId="1"/>
  </si>
  <si>
    <t>透析導入日</t>
    <rPh sb="0" eb="2">
      <t>トウセキ</t>
    </rPh>
    <rPh sb="2" eb="5">
      <t>ドウニュウビ</t>
    </rPh>
    <phoneticPr fontId="1"/>
  </si>
  <si>
    <t>導入施設</t>
    <rPh sb="0" eb="4">
      <t>ドウニュウシセツ</t>
    </rPh>
    <phoneticPr fontId="1"/>
  </si>
  <si>
    <t>血液型</t>
    <rPh sb="0" eb="3">
      <t>ケツエキガタ</t>
    </rPh>
    <phoneticPr fontId="1"/>
  </si>
  <si>
    <t>感染症</t>
    <rPh sb="0" eb="3">
      <t>カンセンショウ</t>
    </rPh>
    <phoneticPr fontId="1"/>
  </si>
  <si>
    <t>禁忌</t>
    <rPh sb="0" eb="2">
      <t>キンキ</t>
    </rPh>
    <phoneticPr fontId="1"/>
  </si>
  <si>
    <t>アレルギー</t>
    <phoneticPr fontId="1"/>
  </si>
  <si>
    <t>投与薬剤</t>
    <rPh sb="0" eb="4">
      <t>トウヨヤクザイ</t>
    </rPh>
    <phoneticPr fontId="1"/>
  </si>
  <si>
    <t>治療方法</t>
    <rPh sb="0" eb="4">
      <t>チリョウホウホウ</t>
    </rPh>
    <phoneticPr fontId="1"/>
  </si>
  <si>
    <t>ダイアライザ</t>
    <phoneticPr fontId="1"/>
  </si>
  <si>
    <t>透析液</t>
    <rPh sb="0" eb="3">
      <t>トウセキエキ</t>
    </rPh>
    <phoneticPr fontId="1"/>
  </si>
  <si>
    <t>透析日</t>
    <rPh sb="0" eb="3">
      <t>トウセキビ</t>
    </rPh>
    <phoneticPr fontId="1"/>
  </si>
  <si>
    <t>透析時間</t>
    <rPh sb="0" eb="4">
      <t>トウセキジカン</t>
    </rPh>
    <phoneticPr fontId="1"/>
  </si>
  <si>
    <t>血流量</t>
    <rPh sb="0" eb="3">
      <t>ケツリュウリョウ</t>
    </rPh>
    <phoneticPr fontId="1"/>
  </si>
  <si>
    <t>抗凝固剤</t>
    <rPh sb="0" eb="1">
      <t>コウ</t>
    </rPh>
    <rPh sb="1" eb="4">
      <t>ギョウコザイ</t>
    </rPh>
    <phoneticPr fontId="1"/>
  </si>
  <si>
    <t>ワンショット</t>
    <phoneticPr fontId="1"/>
  </si>
  <si>
    <t>持続</t>
    <rPh sb="0" eb="2">
      <t>ジゾク</t>
    </rPh>
    <phoneticPr fontId="1"/>
  </si>
  <si>
    <t>持続総量</t>
    <rPh sb="0" eb="4">
      <t>ジゾクソウリョウ</t>
    </rPh>
    <phoneticPr fontId="1"/>
  </si>
  <si>
    <t>DW</t>
    <phoneticPr fontId="1"/>
  </si>
  <si>
    <t>CTR</t>
    <phoneticPr fontId="1"/>
  </si>
  <si>
    <t>CTR測定時体重</t>
    <rPh sb="3" eb="6">
      <t>ソクテイジ</t>
    </rPh>
    <rPh sb="6" eb="8">
      <t>タイジュウ</t>
    </rPh>
    <phoneticPr fontId="1"/>
  </si>
  <si>
    <t>バスキュラーアクセス</t>
    <phoneticPr fontId="1"/>
  </si>
  <si>
    <t>造設日</t>
    <rPh sb="0" eb="1">
      <t>ゾウ</t>
    </rPh>
    <rPh sb="1" eb="2">
      <t>セツ</t>
    </rPh>
    <rPh sb="2" eb="3">
      <t>ニチ</t>
    </rPh>
    <phoneticPr fontId="1"/>
  </si>
  <si>
    <t>穿刺A針</t>
    <rPh sb="0" eb="1">
      <t>ウガ</t>
    </rPh>
    <rPh sb="1" eb="2">
      <t>サ</t>
    </rPh>
    <rPh sb="3" eb="4">
      <t>ハリ</t>
    </rPh>
    <phoneticPr fontId="1"/>
  </si>
  <si>
    <t>穿刺V針</t>
    <phoneticPr fontId="1"/>
  </si>
  <si>
    <t>##指示.VA情報.画像</t>
  </si>
  <si>
    <t>指示</t>
  </si>
  <si>
    <t>VA情報</t>
  </si>
  <si>
    <t>画像</t>
  </si>
  <si>
    <t>208</t>
  </si>
  <si>
    <t>data1_pic1_file_path</t>
  </si>
  <si>
    <t>byte[]</t>
  </si>
  <si>
    <t>placeholder.jpg</t>
  </si>
  <si>
    <t>G/標準</t>
  </si>
  <si>
    <t>False</t>
  </si>
  <si>
    <t>&lt;SelectSetting&gt;&lt;Item tag="Category" checkState="Checked" /&gt;&lt;/SelectSetting&gt;</t>
  </si>
  <si>
    <t>Category</t>
  </si>
  <si>
    <t>F27:J33</t>
  </si>
  <si>
    <t>true</t>
  </si>
  <si>
    <t>2025/05/12 09:57:54</t>
  </si>
  <si>
    <t xml:space="preserve">新規追加_x000D_
改頁しない_x000D_
プレビューデータ:placeholder.jpg_x000D_
書式:G/標準_x000D_
抽出条件:&lt;SelectSetting&gt;&lt;Item tag="Category" checkState="Checked" /&gt;&lt;/SelectSetting&gt;_x000D_
縮小しない_x000D_
テンプレート内外:_x000D_
</t>
  </si>
  <si>
    <t>2025/05/12 09:57:55</t>
  </si>
  <si>
    <t>2025/05/12 10:05:05</t>
  </si>
  <si>
    <t>内服薬・検査結果は、別紙参照願います</t>
    <rPh sb="0" eb="3">
      <t>ナイフクヤク</t>
    </rPh>
    <rPh sb="4" eb="8">
      <t>ケンサケッカ</t>
    </rPh>
    <rPh sb="10" eb="15">
      <t>ベッシサンショウネガ</t>
    </rPh>
    <phoneticPr fontId="1"/>
  </si>
  <si>
    <t>今後とも宜しくお願い申し上げます。</t>
    <rPh sb="0" eb="2">
      <t>コンゴ</t>
    </rPh>
    <rPh sb="4" eb="5">
      <t>ヨロ</t>
    </rPh>
    <rPh sb="8" eb="9">
      <t>ネガ</t>
    </rPh>
    <rPh sb="10" eb="11">
      <t>モウ</t>
    </rPh>
    <rPh sb="12" eb="13">
      <t>ア</t>
    </rPh>
    <phoneticPr fontId="1"/>
  </si>
  <si>
    <t>郵便番号</t>
    <rPh sb="0" eb="4">
      <t>ユウビンバンゴウ</t>
    </rPh>
    <phoneticPr fontId="1"/>
  </si>
  <si>
    <t>所在地</t>
    <rPh sb="0" eb="3">
      <t>ショザイチ</t>
    </rPh>
    <phoneticPr fontId="1"/>
  </si>
  <si>
    <t>電話番号</t>
    <rPh sb="0" eb="4">
      <t>デンワバンゴウ</t>
    </rPh>
    <phoneticPr fontId="1"/>
  </si>
  <si>
    <t>FAX</t>
    <phoneticPr fontId="1"/>
  </si>
  <si>
    <t>記載者</t>
    <rPh sb="0" eb="3">
      <t>キサイシャ</t>
    </rPh>
    <phoneticPr fontId="1"/>
  </si>
  <si>
    <t>E27:I33</t>
  </si>
  <si>
    <t>2025/05/12 10:16:42</t>
  </si>
  <si>
    <t>削除</t>
  </si>
  <si>
    <t>2025/05/12 10:25:17</t>
  </si>
  <si>
    <t>2025/05/12 10:55:22</t>
  </si>
  <si>
    <t>##患者情報.本人情報.フリガナ</t>
  </si>
  <si>
    <t>##患者情報.本人情報.患者名</t>
  </si>
  <si>
    <t>生年月日</t>
  </si>
  <si>
    <t>生年月日</t>
    <rPh sb="0" eb="2">
      <t>セイネン</t>
    </rPh>
    <rPh sb="2" eb="4">
      <t>ガッピ</t>
    </rPh>
    <phoneticPr fontId="1"/>
  </si>
  <si>
    <t>〒</t>
    <phoneticPr fontId="1"/>
  </si>
  <si>
    <t>##患者情報.本人情報.郵便番号</t>
  </si>
  <si>
    <t>##患者情報.本人情報.住所</t>
  </si>
  <si>
    <t>##患者情報.本人情報.電話番号1</t>
  </si>
  <si>
    <t>##患者情報.本人情報.生年月日</t>
  </si>
  <si>
    <t>##患者情報.本人情報.年齢</t>
  </si>
  <si>
    <t>##患者情報.本人情報.性別</t>
  </si>
  <si>
    <t>##患者情報.連絡先.電話番号1</t>
  </si>
  <si>
    <t>緊急連絡先</t>
    <rPh sb="0" eb="2">
      <t>キンキュウ</t>
    </rPh>
    <rPh sb="2" eb="5">
      <t>レンラクサキ</t>
    </rPh>
    <phoneticPr fontId="1"/>
  </si>
  <si>
    <t>##患者情報.連絡先.電話番号1</t>
    <phoneticPr fontId="1"/>
  </si>
  <si>
    <t>患者情報</t>
  </si>
  <si>
    <t>本人情報</t>
  </si>
  <si>
    <t>フリガナ</t>
  </si>
  <si>
    <t>pat_name_kana</t>
  </si>
  <si>
    <t>string</t>
  </si>
  <si>
    <t>ニッキソウ　タロウ</t>
  </si>
  <si>
    <t>C3</t>
  </si>
  <si>
    <t>pat_birthday</t>
  </si>
  <si>
    <t>DateTime</t>
  </si>
  <si>
    <t>yyyy/mm/dd</t>
  </si>
  <si>
    <t>E3:E4</t>
  </si>
  <si>
    <t>年齢</t>
  </si>
  <si>
    <t>pat_age</t>
  </si>
  <si>
    <t>decimal</t>
  </si>
  <si>
    <t>70</t>
  </si>
  <si>
    <t>G3:G4</t>
  </si>
  <si>
    <t>性別</t>
  </si>
  <si>
    <t>pat_sex</t>
  </si>
  <si>
    <t>男性</t>
  </si>
  <si>
    <t>I3:I4</t>
  </si>
  <si>
    <t>患者名</t>
  </si>
  <si>
    <t>pat_name</t>
  </si>
  <si>
    <t>日機装　太郎</t>
  </si>
  <si>
    <t>C4</t>
  </si>
  <si>
    <t>郵便番号</t>
  </si>
  <si>
    <t>pat_zip</t>
  </si>
  <si>
    <t>150-8677</t>
  </si>
  <si>
    <t>L5</t>
  </si>
  <si>
    <t>住所</t>
  </si>
  <si>
    <t>pat_address</t>
  </si>
  <si>
    <t>東京都渋谷区恵比寿3-43-2 日機装第１別館１F</t>
  </si>
  <si>
    <t>C6:D7</t>
  </si>
  <si>
    <t>連絡先</t>
  </si>
  <si>
    <t>電話番号1</t>
  </si>
  <si>
    <t>40</t>
  </si>
  <si>
    <t>tel1</t>
  </si>
  <si>
    <t>03-9876-5432</t>
  </si>
  <si>
    <t>True</t>
  </si>
  <si>
    <t>L6</t>
  </si>
  <si>
    <t>患者情報.連絡先</t>
  </si>
  <si>
    <t>pat_tel1</t>
  </si>
  <si>
    <t>03-1234-5678</t>
  </si>
  <si>
    <t>C8:D8</t>
  </si>
  <si>
    <t>2025/06/20 08:52:30</t>
  </si>
  <si>
    <t xml:space="preserve">新規追加_x000D_
改頁しない_x000D_
プレビューデータ:ニッキソウ　タロウ_x000D_
書式:G/標準_x000D_
縮小しない_x000D_
テンプレート内外:_x000D_
</t>
  </si>
  <si>
    <t xml:space="preserve">新規追加_x000D_
改頁しない_x000D_
プレビューデータ:1945/01/01_x000D_
書式:yyyy/mm/dd_x000D_
縮小しない_x000D_
テンプレート内外:_x000D_
</t>
  </si>
  <si>
    <t xml:space="preserve">新規追加_x000D_
改頁しない_x000D_
プレビューデータ:70_x000D_
書式:0_x000D_
縮小しない_x000D_
テンプレート内外:_x000D_
</t>
  </si>
  <si>
    <t xml:space="preserve">新規追加_x000D_
改頁しない_x000D_
プレビューデータ:男性_x000D_
書式:G/標準_x000D_
データ変換:&lt;convTable cls=""&gt;&lt;conv code="0" item="不明" disp="不明" /&gt;&lt;conv code="1" item="男性" disp="男" /&gt;&lt;conv code="2" item="女性" disp="女" /&gt;&lt;/convTable&gt;_x000D_
縮小しない_x000D_
テンプレート内外:_x000D_
</t>
  </si>
  <si>
    <t xml:space="preserve">新規追加_x000D_
改頁しない_x000D_
プレビューデータ:日機装　太郎_x000D_
書式:G/標準_x000D_
縮小しない_x000D_
テンプレート内外:_x000D_
</t>
  </si>
  <si>
    <t xml:space="preserve">新規追加_x000D_
改頁しない_x000D_
プレビューデータ:150-8677_x000D_
書式:G/標準_x000D_
縮小しない_x000D_
テンプレート内外:_x000D_
</t>
  </si>
  <si>
    <t xml:space="preserve">新規追加_x000D_
改頁しない_x000D_
プレビューデータ:東京都渋谷区恵比寿3-43-2 日機装第１別館１F_x000D_
書式:G/標準_x000D_
縮小しない_x000D_
テンプレート内外:_x000D_
</t>
  </si>
  <si>
    <t xml:space="preserve">新規追加_x000D_
改頁しない_x000D_
繰返場所:L6_x000D_
グループ名:患者情報.連絡先_x000D_
プレビューデータ:03-9876-5432_x000D_
書式:G/標準_x000D_
縮小しない_x000D_
テンプレート内外:_x000D_
</t>
  </si>
  <si>
    <t xml:space="preserve">新規追加_x000D_
改頁しない_x000D_
プレビューデータ:03-1234-5678_x000D_
書式:G/標準_x000D_
縮小しない_x000D_
テンプレート内外:_x000D_
</t>
  </si>
  <si>
    <t>患者情報.連絡先.患者情報.連絡先.L6</t>
  </si>
  <si>
    <t>グループ</t>
  </si>
  <si>
    <t xml:space="preserve">改頁しない_x000D_
</t>
  </si>
  <si>
    <t>2025/06/20 08:54:35</t>
  </si>
  <si>
    <t xml:space="preserve">設定変更_x000D_
プレビューデータ:1945/01/01 ⇒ 2025/06/20_x000D_
縮小しない_x000D_
</t>
  </si>
  <si>
    <t>##患者情報.原疾患.病名</t>
  </si>
  <si>
    <t>##患者情報.診療情報.透析導入日</t>
  </si>
  <si>
    <t>##患者情報.診療情報.透析導入施設</t>
  </si>
  <si>
    <t>##患者情報.本人情報.血液型ABORH</t>
  </si>
  <si>
    <t>##患者情報.感染症(+)(-).感染症</t>
  </si>
  <si>
    <t>##患者情報.禁忌・アレルギー.禁忌アレルギー区分</t>
  </si>
  <si>
    <t>##指示.修正内容.投与薬剤（修正後）</t>
  </si>
  <si>
    <t>##指示.透析条件.治療方法</t>
  </si>
  <si>
    <t>##指示.透析条件.ダイアライザ</t>
  </si>
  <si>
    <t>##指示.透析条件.透析液</t>
  </si>
  <si>
    <t>##指示.透析予定.透析日</t>
  </si>
  <si>
    <t>##=[##指示.透析条件.透析時間(分)]/60</t>
  </si>
  <si>
    <t>##=[##指示.透析条件.透析時間(分)]/60</t>
    <phoneticPr fontId="1"/>
  </si>
  <si>
    <t>時間</t>
    <rPh sb="0" eb="2">
      <t>ジカン</t>
    </rPh>
    <phoneticPr fontId="1"/>
  </si>
  <si>
    <t>##指示.透析条件.血流量</t>
  </si>
  <si>
    <t>mL/min</t>
    <phoneticPr fontId="1"/>
  </si>
  <si>
    <t>##指示.透析条件.抗凝固剤</t>
  </si>
  <si>
    <t>##指示.透析条件.抗凝固剤ワンショット量</t>
  </si>
  <si>
    <t>##指示.透析条件.抗凝固剤単位</t>
  </si>
  <si>
    <t>##指示.透析条件.抗凝固剤持続速度</t>
  </si>
  <si>
    <t>##指示.透析条件.抗凝固剤持続速度単位</t>
  </si>
  <si>
    <t>##指示.透析条件.抗凝固剤持続総量</t>
  </si>
  <si>
    <t>##指示.透析条件.DW</t>
  </si>
  <si>
    <t>Kg</t>
    <phoneticPr fontId="1"/>
  </si>
  <si>
    <t>##患者情報.身体情報(昇順).CTR</t>
  </si>
  <si>
    <t>%</t>
    <phoneticPr fontId="1"/>
  </si>
  <si>
    <t>原疾患</t>
  </si>
  <si>
    <t>病名</t>
  </si>
  <si>
    <t>26</t>
  </si>
  <si>
    <t>disease_name</t>
  </si>
  <si>
    <t>慢性糸球体腎炎</t>
  </si>
  <si>
    <t>C10:D10</t>
  </si>
  <si>
    <t>透析条件</t>
  </si>
  <si>
    <t>治療方法</t>
  </si>
  <si>
    <t>5</t>
  </si>
  <si>
    <t>treatment_name</t>
  </si>
  <si>
    <t>HDF</t>
  </si>
  <si>
    <t>F10:I10</t>
  </si>
  <si>
    <t>診療情報</t>
  </si>
  <si>
    <t>透析導入日</t>
  </si>
  <si>
    <t>19</t>
  </si>
  <si>
    <t>dialysis_start_date</t>
  </si>
  <si>
    <t>C11:D11</t>
  </si>
  <si>
    <t>ダイアライザ</t>
  </si>
  <si>
    <t>dialyzer</t>
  </si>
  <si>
    <t>FDX-120GW</t>
  </si>
  <si>
    <t>F11:I11</t>
  </si>
  <si>
    <t>透析導入施設</t>
  </si>
  <si>
    <t>facility_name</t>
  </si>
  <si>
    <t>日機装病院</t>
  </si>
  <si>
    <t>C12:D12</t>
  </si>
  <si>
    <t>透析液</t>
  </si>
  <si>
    <t>45</t>
  </si>
  <si>
    <t>dialysate_name</t>
  </si>
  <si>
    <t>Dドライ3.0S</t>
  </si>
  <si>
    <t>F12:I12</t>
  </si>
  <si>
    <t>血液型ABORH</t>
  </si>
  <si>
    <t>pat_blood_type_abo_rh</t>
  </si>
  <si>
    <t>A型 Rh-</t>
  </si>
  <si>
    <t>C13:D13</t>
  </si>
  <si>
    <t>F13:I13</t>
  </si>
  <si>
    <t>感染症</t>
  </si>
  <si>
    <t>infection_name</t>
  </si>
  <si>
    <t>Hbc抗体</t>
  </si>
  <si>
    <t>C14</t>
  </si>
  <si>
    <t>7</t>
  </si>
  <si>
    <t>F14:H14</t>
  </si>
  <si>
    <t>血流量</t>
  </si>
  <si>
    <t>blood_flow</t>
  </si>
  <si>
    <t>180</t>
  </si>
  <si>
    <t>F15:H15</t>
  </si>
  <si>
    <t>抗凝固剤</t>
  </si>
  <si>
    <t>anti_coagulant_name</t>
  </si>
  <si>
    <t>1234567</t>
  </si>
  <si>
    <t>F16:I16</t>
  </si>
  <si>
    <t>禁忌・アレルギー</t>
  </si>
  <si>
    <t>22</t>
  </si>
  <si>
    <t>C17:D18</t>
  </si>
  <si>
    <t>患者情報.禁忌・アレルギー</t>
  </si>
  <si>
    <t>抗凝固剤ワンショット量</t>
  </si>
  <si>
    <t>anti_coagulant_one_shot_amount</t>
  </si>
  <si>
    <t>1000</t>
  </si>
  <si>
    <t>F17:H17</t>
  </si>
  <si>
    <t>抗凝固剤単位</t>
  </si>
  <si>
    <t>anti_coagulant_sustained_amount_unit</t>
  </si>
  <si>
    <t>U</t>
  </si>
  <si>
    <t>I17</t>
  </si>
  <si>
    <t>抗凝固剤持続速度</t>
  </si>
  <si>
    <t>anti_coagulant_sustained_speed</t>
  </si>
  <si>
    <t>500</t>
  </si>
  <si>
    <t>F18:H18</t>
  </si>
  <si>
    <t>抗凝固剤持続速度単位</t>
  </si>
  <si>
    <t>anti_coagulant_sustained_speed_unit</t>
  </si>
  <si>
    <t>U/h</t>
  </si>
  <si>
    <t>I18</t>
  </si>
  <si>
    <t>C19:D19</t>
  </si>
  <si>
    <t>抗凝固剤持続総量</t>
  </si>
  <si>
    <t>anti_coagulant_sustained_amount</t>
  </si>
  <si>
    <t>2000</t>
  </si>
  <si>
    <t>F19:H19</t>
  </si>
  <si>
    <t>I19</t>
  </si>
  <si>
    <t>DW</t>
  </si>
  <si>
    <t>dw</t>
  </si>
  <si>
    <t>55.00</t>
  </si>
  <si>
    <t>0.00</t>
  </si>
  <si>
    <t>F20:H20</t>
  </si>
  <si>
    <t>CTR</t>
  </si>
  <si>
    <t>ctr</t>
  </si>
  <si>
    <t>35.05</t>
  </si>
  <si>
    <t>F21:H21</t>
  </si>
  <si>
    <t>2025/06/20 09:13:45</t>
  </si>
  <si>
    <t xml:space="preserve">新規追加_x000D_
改頁しない_x000D_
プレビューデータ:慢性糸球体腎炎_x000D_
書式:G/標準_x000D_
縮小しない_x000D_
テンプレート内外:_x000D_
</t>
  </si>
  <si>
    <t xml:space="preserve">新規追加_x000D_
改頁しない_x000D_
プレビューデータ:HDF_x000D_
書式:G/標準_x000D_
縮小しない_x000D_
テンプレート内外:_x000D_
</t>
  </si>
  <si>
    <t xml:space="preserve">新規追加_x000D_
改頁しない_x000D_
プレビューデータ:2000/02/10_x000D_
書式:yyyy/mm/dd_x000D_
縮小しない_x000D_
テンプレート内外:_x000D_
</t>
  </si>
  <si>
    <t xml:space="preserve">新規追加_x000D_
改頁しない_x000D_
プレビューデータ:FDX-120GW_x000D_
書式:G/標準_x000D_
縮小しない_x000D_
テンプレート内外:_x000D_
</t>
  </si>
  <si>
    <t xml:space="preserve">新規追加_x000D_
表示文字数:20_x000D_
改頁しない_x000D_
プレビューデータ:日機装病院_x000D_
書式:G/標準_x000D_
縮小しない_x000D_
テンプレート内外:_x000D_
</t>
  </si>
  <si>
    <t xml:space="preserve">新規追加_x000D_
改頁しない_x000D_
プレビューデータ:Dドライ3.0S_x000D_
書式:G/標準_x000D_
縮小しない_x000D_
テンプレート内外:_x000D_
</t>
  </si>
  <si>
    <t xml:space="preserve">新規追加_x000D_
表示文字数:20_x000D_
改頁しない_x000D_
プレビューデータ:A型 Rh-_x000D_
書式:G/標準_x000D_
データ変換:&lt;convTable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/&gt;&lt;/convTable&gt;_x000D_
縮小しない_x000D_
テンプレート内外:_x000D_
</t>
  </si>
  <si>
    <t xml:space="preserve">新規追加_x000D_
改頁しない_x000D_
プレビューデータ:金曜日_x000D_
書式:aaa_x000D_
縮小しない_x000D_
テンプレート内外:_x000D_
</t>
  </si>
  <si>
    <t xml:space="preserve">新規追加_x000D_
改頁しない_x000D_
繰返場所:C14,C15,C16,D14,D15,D16_x000D_
グループ名:患者情報.感染症(+)(-)_x000D_
プレビューデータ:Hbc抗体_x000D_
書式:G/標準_x000D_
縮小しない_x000D_
テンプレート内外:_x000D_
</t>
  </si>
  <si>
    <t xml:space="preserve">新規追加_x000D_
改頁しない_x000D_
プレビューデータ:7_x000D_
書式:G/標準_x000D_
縮小しない_x000D_
テンプレート内外:_x000D_
</t>
  </si>
  <si>
    <t xml:space="preserve">新規追加_x000D_
改頁しない_x000D_
プレビューデータ:180_x000D_
書式:0_x000D_
縮小しない_x000D_
テンプレート内外:_x000D_
</t>
  </si>
  <si>
    <t xml:space="preserve">新規追加_x000D_
改頁しない_x000D_
プレビューデータ:1234567_x000D_
書式:G/標準_x000D_
縮小しない_x000D_
テンプレート内外:_x000D_
</t>
  </si>
  <si>
    <t xml:space="preserve">新規追加_x000D_
改頁しない_x000D_
繰返場所:C17:D18_x000D_
グループ名:患者情報.禁忌・アレルギー_x000D_
プレビューデータ:禁忌_x000D_
書式:G/標準_x000D_
データ変換:&lt;convTable cls="禁忌アレルギー区分"&gt;&lt;conv code="1" item="禁忌" disp="禁忌" /&gt;&lt;conv code="2" item="アレルギー" disp="アレルギー" /&gt;&lt;/convTable&gt;_x000D_
縮小しない_x000D_
テンプレート内外:_x000D_
</t>
  </si>
  <si>
    <t xml:space="preserve">新規追加_x000D_
改頁しない_x000D_
プレビューデータ:1000_x000D_
書式:0_x000D_
縮小しない_x000D_
テンプレート内外:_x000D_
</t>
  </si>
  <si>
    <t xml:space="preserve">新規追加_x000D_
改頁しない_x000D_
プレビューデータ:U_x000D_
書式:G/標準_x000D_
縮小しない_x000D_
テンプレート内外:_x000D_
</t>
  </si>
  <si>
    <t xml:space="preserve">新規追加_x000D_
改頁しない_x000D_
プレビューデータ:500_x000D_
書式:0_x000D_
縮小しない_x000D_
テンプレート内外:_x000D_
</t>
  </si>
  <si>
    <t xml:space="preserve">新規追加_x000D_
改頁しない_x000D_
プレビューデータ:U/h_x000D_
書式:G/標準_x000D_
縮小しない_x000D_
テンプレート内外:_x000D_
</t>
  </si>
  <si>
    <t xml:space="preserve">新規追加_x000D_
改頁しない_x000D_
繰返場所:C19:D19,C20:D20,C21:D21,C22:D22,C23:D23,C24:D24,C25:D25_x000D_
グループ名:指示.修正内容_x000D_
プレビューデータ:〇_x000D_
書式:G/標準_x000D_
縮小しない_x000D_
テンプレート内外:_x000D_
</t>
  </si>
  <si>
    <t xml:space="preserve">新規追加_x000D_
改頁しない_x000D_
プレビューデータ:2000_x000D_
書式:0_x000D_
縮小しない_x000D_
テンプレート内外:_x000D_
</t>
  </si>
  <si>
    <t xml:space="preserve">新規追加_x000D_
改頁しない_x000D_
プレビューデータ:55.00_x000D_
書式:0.00_x000D_
縮小しない_x000D_
テンプレート内外:_x000D_
</t>
  </si>
  <si>
    <t xml:space="preserve">新規追加_x000D_
改頁しない_x000D_
繰返場所:F21:H21_x000D_
グループ名:患者情報.身体情報(昇順)_x000D_
プレビューデータ:35.05_x000D_
書式:0.00_x000D_
縮小しない_x000D_
テンプレート内外:_x000D_
</t>
  </si>
  <si>
    <t>患者情報.感染症(+)(-).患者情報.感染症(+)(-).C14</t>
  </si>
  <si>
    <t>患者情報.禁忌・アレルギー.患者情報.禁忌・アレルギー.C17:D18</t>
  </si>
  <si>
    <t>指示.修正内容.指示.修正内容.C19:D19</t>
  </si>
  <si>
    <t>患者情報.身体情報(昇順).患者情報.身体情報(昇順).F21:H21</t>
  </si>
  <si>
    <t>Kg</t>
    <phoneticPr fontId="1"/>
  </si>
  <si>
    <t>##指示.透析条件.VA</t>
  </si>
  <si>
    <t>##指示.VA情報.造設日</t>
  </si>
  <si>
    <t>##指示.透析条件.穿刺針A針名称</t>
  </si>
  <si>
    <t>##指示.透析条件.穿刺針V針名称</t>
  </si>
  <si>
    <t>##施設.施設情報.施設名</t>
  </si>
  <si>
    <t>##施設.施設情報.住所</t>
  </si>
  <si>
    <t>##施設.施設情報.電話番号1</t>
  </si>
  <si>
    <t>##施設.施設情報.郵便番号</t>
  </si>
  <si>
    <t>〒</t>
    <phoneticPr fontId="1"/>
  </si>
  <si>
    <t>##施設.施設情報.FAX1</t>
  </si>
  <si>
    <t>##印刷情報.共通情報.印刷日時</t>
  </si>
  <si>
    <t>##印刷情報.共通情報.ログイン者</t>
  </si>
  <si>
    <t>VA</t>
  </si>
  <si>
    <t>va_name</t>
  </si>
  <si>
    <t>左手前腕内シャント化静脈</t>
  </si>
  <si>
    <t>F23:I23</t>
  </si>
  <si>
    <t>造設日</t>
  </si>
  <si>
    <t>make_start_date</t>
  </si>
  <si>
    <t>F24:I24</t>
  </si>
  <si>
    <t>穿刺針A針名称</t>
  </si>
  <si>
    <t>puncture_needle_a_name</t>
  </si>
  <si>
    <t>穿刺針A針</t>
  </si>
  <si>
    <t>F25:I25</t>
  </si>
  <si>
    <t>穿刺針V針名称</t>
  </si>
  <si>
    <t>puncture_needle_v_name</t>
  </si>
  <si>
    <t>穿刺針V針</t>
  </si>
  <si>
    <t>F26:I26</t>
  </si>
  <si>
    <t>施設</t>
  </si>
  <si>
    <t>施設情報</t>
  </si>
  <si>
    <t>300</t>
  </si>
  <si>
    <t>zipcd</t>
  </si>
  <si>
    <t>321－0966</t>
  </si>
  <si>
    <t>K36</t>
  </si>
  <si>
    <t>false</t>
  </si>
  <si>
    <t>施設名</t>
  </si>
  <si>
    <t>大塚医院</t>
  </si>
  <si>
    <t>C37</t>
  </si>
  <si>
    <t>address</t>
  </si>
  <si>
    <t>宇都宮市今泉５－３－５</t>
  </si>
  <si>
    <t>E37:F37</t>
  </si>
  <si>
    <t>phone_no1</t>
  </si>
  <si>
    <t>028-621-7600</t>
  </si>
  <si>
    <t>E38:F38</t>
  </si>
  <si>
    <t>FAX1</t>
  </si>
  <si>
    <t>fax_no1</t>
  </si>
  <si>
    <t>H38:I38</t>
  </si>
  <si>
    <t>印刷情報</t>
  </si>
  <si>
    <t>共通情報</t>
  </si>
  <si>
    <t>印刷日時</t>
  </si>
  <si>
    <t>prt_dt</t>
  </si>
  <si>
    <t>D39</t>
  </si>
  <si>
    <t>ログイン者</t>
  </si>
  <si>
    <t>login</t>
  </si>
  <si>
    <t>確認テスト</t>
  </si>
  <si>
    <t>H39:I39</t>
  </si>
  <si>
    <t>2025/06/20 09:20:15</t>
  </si>
  <si>
    <t xml:space="preserve">設定変更_x000D_
データ変換:&lt;convTable cls=""&gt;&lt;conv code="1" item="禁忌" disp="禁忌" /&gt;&lt;conv code="2" item="アレルギー" disp="アレルギー" /&gt;&lt;/convTable&gt; ⇒ &lt;convTable cls="禁忌アレルギー区分"&gt;&lt;conv code="1" item="禁忌" disp="禁忌" /&gt;&lt;conv code="2" item="アレルギー" disp="アレルギー" /&gt;&lt;/convTable&gt;_x000D_
</t>
  </si>
  <si>
    <t xml:space="preserve">設定変更_x000D_
書式:0 ⇒ 0.00_x000D_
</t>
  </si>
  <si>
    <t xml:space="preserve">新規追加_x000D_
表示文字数:20_x000D_
改頁しない_x000D_
プレビューデータ:左手前腕内シャント化静脈_x000D_
書式:G/標準_x000D_
縮小しない_x000D_
テンプレート内外:_x000D_
</t>
  </si>
  <si>
    <t xml:space="preserve">新規追加_x000D_
改頁しない_x000D_
プレビューデータ:2011/05/20_x000D_
書式:yyyy/mm/dd_x000D_
縮小しない_x000D_
テンプレート内外:_x000D_
</t>
  </si>
  <si>
    <t xml:space="preserve">新規追加_x000D_
表示文字数:20_x000D_
改頁しない_x000D_
プレビューデータ:穿刺針A針_x000D_
書式:G/標準_x000D_
縮小しない_x000D_
テンプレート内外:_x000D_
</t>
  </si>
  <si>
    <t xml:space="preserve">新規追加_x000D_
表示文字数:20_x000D_
改頁しない_x000D_
プレビューデータ:穿刺針V針_x000D_
書式:G/標準_x000D_
縮小しない_x000D_
テンプレート内外:_x000D_
</t>
  </si>
  <si>
    <t xml:space="preserve">新規追加_x000D_
改頁しない_x000D_
プレビューデータ:321－0966_x000D_
書式:G/標準_x000D_
縮小しない_x000D_
テンプレート内外:_x000D_
</t>
  </si>
  <si>
    <t xml:space="preserve">新規追加_x000D_
改頁しない_x000D_
プレビューデータ:大塚医院_x000D_
書式:G/標準_x000D_
縮小しない_x000D_
テンプレート内外:_x000D_
</t>
  </si>
  <si>
    <t xml:space="preserve">新規追加_x000D_
改頁しない_x000D_
プレビューデータ:宇都宮市今泉５－３－５_x000D_
書式:G/標準_x000D_
縮小しない_x000D_
テンプレート内外:_x000D_
</t>
  </si>
  <si>
    <t xml:space="preserve">新規追加_x000D_
改頁しない_x000D_
プレビューデータ:028-621-7600_x000D_
書式:G/標準_x000D_
縮小しない_x000D_
テンプレート内外:_x000D_
</t>
  </si>
  <si>
    <t xml:space="preserve">新規追加_x000D_
改頁しない_x000D_
プレビューデータ:_x000D_
書式:G/標準_x000D_
縮小しない_x000D_
テンプレート内外:_x000D_
</t>
  </si>
  <si>
    <t xml:space="preserve">新規追加_x000D_
改頁しない_x000D_
プレビューデータ:2025/06/20_x000D_
書式:yyyy/mm/dd_x000D_
縮小しない_x000D_
テンプレート内外:_x000D_
</t>
  </si>
  <si>
    <t xml:space="preserve">新規追加_x000D_
改頁しない_x000D_
プレビューデータ:確認テスト_x000D_
書式:G/標準_x000D_
縮小しない_x000D_
テンプレート内外:_x000D_
</t>
  </si>
  <si>
    <t>B37:C37</t>
  </si>
  <si>
    <t>E37:I37</t>
  </si>
  <si>
    <t>2025/06/20 09:22:45</t>
  </si>
  <si>
    <t>C3:D3</t>
  </si>
  <si>
    <t>F3:F4</t>
  </si>
  <si>
    <t>H3:H4</t>
  </si>
  <si>
    <t>J3:J4</t>
  </si>
  <si>
    <t>C4:D4</t>
  </si>
  <si>
    <t>M5</t>
  </si>
  <si>
    <t>C6:E7</t>
  </si>
  <si>
    <t>M6</t>
  </si>
  <si>
    <t>C8:E8</t>
  </si>
  <si>
    <t>C10:E10</t>
  </si>
  <si>
    <t>G10:J10</t>
  </si>
  <si>
    <t>C11:E11</t>
  </si>
  <si>
    <t>G11:J11</t>
  </si>
  <si>
    <t>C12:E12</t>
  </si>
  <si>
    <t>G12:J12</t>
  </si>
  <si>
    <t>C13:E13</t>
  </si>
  <si>
    <t>G13:J13</t>
  </si>
  <si>
    <t>G14:I14</t>
  </si>
  <si>
    <t>G15:I15</t>
  </si>
  <si>
    <t>G16:J16</t>
  </si>
  <si>
    <t>C17:E18</t>
  </si>
  <si>
    <t>G17:I17</t>
  </si>
  <si>
    <t>J17</t>
  </si>
  <si>
    <t>G18:I18</t>
  </si>
  <si>
    <t>J18</t>
  </si>
  <si>
    <t>C19:E19</t>
  </si>
  <si>
    <t>G19:I19</t>
  </si>
  <si>
    <t>J19</t>
  </si>
  <si>
    <t>G20:I20</t>
  </si>
  <si>
    <t>G21:I21</t>
  </si>
  <si>
    <t>G23:J23</t>
  </si>
  <si>
    <t>G24:J24</t>
  </si>
  <si>
    <t>G25:J25</t>
  </si>
  <si>
    <t>G26:J26</t>
  </si>
  <si>
    <t>L36</t>
  </si>
  <si>
    <t>B37:D37</t>
  </si>
  <si>
    <t>F37:J37</t>
  </si>
  <si>
    <t>F38:G38</t>
  </si>
  <si>
    <t>I38:J38</t>
  </si>
  <si>
    <t>D39:E39</t>
  </si>
  <si>
    <t>I39:J39</t>
  </si>
  <si>
    <t>2025/06/20 09:27:21</t>
  </si>
  <si>
    <t xml:space="preserve">新規追加_x000D_
改頁しない_x000D_
プレビューデータ:男性_x000D_
書式:G/標準_x000D_
データ変換:&lt;convTable cls="性別"&gt;&lt;conv code="0" item="不明" disp="不明" /&gt;&lt;conv code="1" item="男性" disp="男性" /&gt;&lt;conv code="2" item="女性" disp="女性" /&gt;&lt;/convTable&gt;_x000D_
縮小しない_x000D_
テンプレート内外:_x000D_
</t>
  </si>
  <si>
    <t xml:space="preserve">新規追加_x000D_
改頁しない_x000D_
繰返場所:M6_x000D_
グループ名:患者情報.連絡先_x000D_
プレビューデータ:03-9876-5432_x000D_
書式:G/標準_x000D_
縮小しない_x000D_
テンプレート内外:_x000D_
</t>
  </si>
  <si>
    <t xml:space="preserve">新規追加_x000D_
表示文字数:31_x000D_
改頁しない_x000D_
プレビューデータ:日機装病院_x000D_
書式:G/標準_x000D_
縮小しない_x000D_
テンプレート内外:_x000D_
</t>
  </si>
  <si>
    <t xml:space="preserve">新規追加_x000D_
表示文字数:31_x000D_
改頁しない_x000D_
プレビューデータ:A型 Rh-_x000D_
書式:G/標準_x000D_
データ変換:&lt;convTable cls="血液型ABORH"&gt;&lt;conv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/&gt;&lt;/convTable&gt;_x000D_
縮小しない_x000D_
テンプレート内外:_x000D_
</t>
  </si>
  <si>
    <t xml:space="preserve">新規追加_x000D_
改頁しない_x000D_
プレビューデータ:aaa_x000D_
書式:aaa_x000D_
縮小しない_x000D_
テンプレート内外:_x000D_
</t>
  </si>
  <si>
    <t xml:space="preserve">新規追加_x000D_
改頁しない_x000D_
繰返場所:C17:E18_x000D_
グループ名:患者情報.禁忌・アレルギー_x000D_
プレビューデータ:禁忌_x000D_
書式:G/標準_x000D_
データ変換:&lt;convTable cls="禁忌アレルギー区分"&gt;&lt;conv code="1" item="禁忌" disp="禁忌" /&gt;&lt;conv code="2" item="アレルギー" disp="アレルギー" /&gt;&lt;/convTable&gt;_x000D_
縮小しない_x000D_
テンプレート内外:_x000D_
</t>
  </si>
  <si>
    <t xml:space="preserve">新規追加_x000D_
改頁しない_x000D_
プレビューデータ:500_x000D_
書式:0.00_x000D_
縮小しない_x000D_
テンプレート内外:_x000D_
</t>
  </si>
  <si>
    <t xml:space="preserve">新規追加_x000D_
改頁しない_x000D_
繰返場所:C19:E19_x000D_
グループ名:指示.修正内容_x000D_
プレビューデータ:〇_x000D_
書式:G/標準_x000D_
縮小しない_x000D_
テンプレート内外:_x000D_
</t>
  </si>
  <si>
    <t xml:space="preserve">新規追加_x000D_
改頁しない_x000D_
繰返場所:G21:I21_x000D_
グループ名:患者情報.身体情報(昇順)_x000D_
プレビューデータ:35.05_x000D_
書式:0.00_x000D_
縮小しない_x000D_
テンプレート内外:_x000D_
</t>
  </si>
  <si>
    <t>患者情報.連絡先.患者情報.連絡先.M6</t>
  </si>
  <si>
    <t>患者情報.禁忌・アレルギー.患者情報.禁忌・アレルギー.C17:E18</t>
  </si>
  <si>
    <t>指示.修正内容.指示.修正内容.C19:E19</t>
  </si>
  <si>
    <t>患者情報.身体情報(昇順).患者情報.身体情報(昇順).G21:I21</t>
  </si>
  <si>
    <t>2025/06/20 09:27:22</t>
  </si>
  <si>
    <t>2025/06/20 09:30:59</t>
  </si>
  <si>
    <t xml:space="preserve">設定変更_x000D_
データ変換:&lt;convTable cls=""&gt;&lt;conv code="0" item="不明" disp="不明" /&gt;&lt;conv code="1" item="男性" disp="男性" /&gt;&lt;conv code="2" item="女性" disp="女性" /&gt;&lt;/convTable&gt; ⇒ &lt;convTable cls="性別"&gt;&lt;conv code="0" item="不明" disp="不明" /&gt;&lt;conv code="1" item="男性" disp="男性" /&gt;&lt;conv code="2" item="女性" disp="女性" /&gt;&lt;/convTable&gt;_x000D_
</t>
  </si>
  <si>
    <t xml:space="preserve">設定変更_x000D_
データ変換:&lt;convTable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 ⇒ &lt;convTable cls="血液型ABORH"&gt;&lt;conv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/&gt;&lt;/convTable&gt;_x000D_
</t>
  </si>
  <si>
    <t>2025/06/20 09:33:35</t>
  </si>
  <si>
    <t>2025/06/20 09:34:41</t>
  </si>
  <si>
    <t>D39:G39</t>
  </si>
  <si>
    <t>2025/06/20 09:53:41</t>
  </si>
  <si>
    <t>2025/06/20 09:55:21</t>
  </si>
  <si>
    <t>##実績.体重情報.CTR測定時体重</t>
  </si>
  <si>
    <t>実績</t>
  </si>
  <si>
    <t>体重情報</t>
  </si>
  <si>
    <t>CTR測定時体重</t>
  </si>
  <si>
    <t>3</t>
  </si>
  <si>
    <t>ctr_weight</t>
  </si>
  <si>
    <t>55.05</t>
  </si>
  <si>
    <t>G22:I22</t>
  </si>
  <si>
    <t>2025/06/20 10:05:11</t>
  </si>
  <si>
    <t xml:space="preserve">設定変更_x000D_
繰返場所:C19:E19 ⇒ C19:E19,C20:E20,C21:E21,C22:E22,C23:E23,C24:E24,C25:E25_x000D_
</t>
  </si>
  <si>
    <t xml:space="preserve">新規追加_x000D_
改頁しない_x000D_
プレビューデータ:55.05_x000D_
書式:0.00_x000D_
縮小しない_x000D_
テンプレート内外:_x000D_
</t>
  </si>
  <si>
    <t>##指示.投薬.薬剤名</t>
  </si>
  <si>
    <t>投薬</t>
  </si>
  <si>
    <t>薬剤名</t>
  </si>
  <si>
    <t>4</t>
  </si>
  <si>
    <t>medi_name</t>
  </si>
  <si>
    <t>テスト薬剤１</t>
  </si>
  <si>
    <t>&lt;SelectSetting&gt;&lt;Item tag="Medicine" checkState="Checked" /&gt;&lt;/SelectSetting&gt;</t>
  </si>
  <si>
    <t>Medicine</t>
  </si>
  <si>
    <t>指示.投薬</t>
  </si>
  <si>
    <t>2025/06/20 10:08:05</t>
  </si>
  <si>
    <t xml:space="preserve">設定変更_x000D_
グループ名:指示.修正内容 ⇒ 指示.投薬_x000D_
プレビューデータ:〇 ⇒ テスト薬剤１_x000D_
抽出条件: ⇒ &lt;SelectSetting&gt;&lt;Item tag="Medicine" checkState="Checked" /&gt;&lt;/SelectSetting&gt;_x000D_
</t>
  </si>
  <si>
    <t>指示.投薬.指示.投薬.C19:E19</t>
  </si>
  <si>
    <t>2025/06/20 10:08:06</t>
  </si>
  <si>
    <t xml:space="preserve">改頁しない_x000D_
抽出条件:&lt;SelectSetting&gt;&lt;Item tag="Medicine" checkState="Checked" /&gt;&lt;/SelectSetting&gt;_x000D_
</t>
  </si>
  <si>
    <t>##指示.透析パターン.透析パターン曜日</t>
  </si>
  <si>
    <t>透析パターン</t>
  </si>
  <si>
    <t>透析パターン曜日</t>
  </si>
  <si>
    <t>202</t>
  </si>
  <si>
    <t>treat_week</t>
  </si>
  <si>
    <t>月</t>
  </si>
  <si>
    <t>2025/06/20 10:15:42</t>
  </si>
  <si>
    <t xml:space="preserve">設定変更_x000D_
表示文字数: ⇒ 20_x000D_
プレビューデータ:aaa ⇒ 月_x000D_
書式:aaa ⇒ G/標準_x000D_
</t>
  </si>
  <si>
    <t>2025/06/20 10:20:39</t>
  </si>
  <si>
    <t xml:space="preserve">設定変更_x000D_
書式:0.00 ⇒ 0_x000D_
</t>
  </si>
  <si>
    <t>2025/06/20 10:25:28</t>
  </si>
  <si>
    <t xml:space="preserve">設定変更_x000D_
データ変換:&lt;convTable cls=""&gt;&lt;conv code="0" item="不明" disp="不明" /&gt;&lt;conv code="1" item="男性" disp="男性" /&gt;&lt;conv code="2" item="女性" disp="女性" /&gt;&lt;/convTable&gt; ⇒ &lt;convTable cls=""&gt;&lt;conv code="0" item="不明" disp="不明" /&gt;&lt;conv code="1" item="男性" disp="男" /&gt;&lt;conv code="2" item="女性" disp="女" /&gt;&lt;/convTable&gt;_x000D_
</t>
  </si>
  <si>
    <t xml:space="preserve">設定変更_x000D_
縮小しない_x000D_
</t>
  </si>
  <si>
    <t xml:space="preserve">設定変更_x000D_
表示文字数:31 ⇒ _x000D_
縮小しない_x000D_
</t>
  </si>
  <si>
    <t>##患者情報.感染症(+)(-)(不明).感染症</t>
  </si>
  <si>
    <t>##患者情報.感染症(+)(-)(不明).感染症結果</t>
  </si>
  <si>
    <t>L13</t>
  </si>
  <si>
    <t>感染症(+)(-)(不明)</t>
  </si>
  <si>
    <t>25</t>
  </si>
  <si>
    <t>K14</t>
  </si>
  <si>
    <t>患者情報.感染症(+)(-)(不明)</t>
  </si>
  <si>
    <t>感染症結果</t>
  </si>
  <si>
    <t>infect</t>
  </si>
  <si>
    <t>(不明)</t>
  </si>
  <si>
    <t>L14</t>
  </si>
  <si>
    <t>2025/07/08 15:25:44</t>
  </si>
  <si>
    <t xml:space="preserve">新規追加_x000D_
改頁しない_x000D_
プレビューデータ:月_x000D_
書式:G/標準_x000D_
縮小しない_x000D_
テンプレート内外:_x000D_
</t>
  </si>
  <si>
    <t xml:space="preserve">新規追加_x000D_
改頁しない_x000D_
繰返場所:K14,K15,K16,K17,K18,K19_x000D_
グループ名:患者情報.感染症(+)(-)(不明)_x000D_
プレビューデータ:Hbc抗体_x000D_
書式:G/標準_x000D_
縮小しない_x000D_
テンプレート内外:_x000D_
</t>
  </si>
  <si>
    <t xml:space="preserve">新規追加_x000D_
改頁しない_x000D_
繰返場所:L14,L15,L16,L17,L18,L19_x000D_
グループ名:患者情報.感染症(+)(-)(不明)_x000D_
プレビューデータ:(不明)_x000D_
書式:G/標準_x000D_
データ変換:&lt;convTable cls="感染症結果"&gt;&lt;conv code="0" item="不明" disp="不明" /&gt;&lt;conv code="1" item="(-)" disp="(-)" /&gt;&lt;conv code="2" item="(+)" disp="(+)" /&gt;&lt;/convTable&gt;_x000D_
縮小しない_x000D_
テンプレート内外:_x000D_
</t>
  </si>
  <si>
    <t>患者情報.感染症(+)(-)(不明).患者情報.感染症(+)(-)(不明).K14</t>
  </si>
  <si>
    <t>2025/07/08 15:28:01</t>
  </si>
  <si>
    <t xml:space="preserve">設定変更_x000D_
プレビューデータ:2025/06/20 ⇒ 2025/07/08_x000D_
</t>
  </si>
  <si>
    <t xml:space="preserve">設定変更_x000D_
データ変換:&lt;convTable cls=""&gt;&lt;conv code="0" item="不明" disp="不明" /&gt;&lt;conv code="1" item="(-)" disp="(-)" /&gt;&lt;conv code="2" item="(+)" disp="(+)" /&gt;&lt;/convTable&gt; ⇒ &lt;convTable cls="感染症結果"&gt;&lt;conv code="0" item="不明" disp="不明" /&gt;&lt;conv code="1" item="(-)" disp="(-)" /&gt;&lt;conv code="2" item="(+)" disp="(+)" /&gt;&lt;/convTable&gt;_x000D_
</t>
  </si>
  <si>
    <t>2025/07/09 09:03:11</t>
  </si>
  <si>
    <t xml:space="preserve">設定変更_x000D_
表示文字数: ⇒ _x000D_
縮小しない_x000D_
</t>
  </si>
  <si>
    <t>2025/07/09 09:05:11</t>
  </si>
  <si>
    <t xml:space="preserve">設定変更_x000D_
表示文字数: ⇒ _x000D_
</t>
  </si>
  <si>
    <t>2025/07/09 09:11:48</t>
  </si>
  <si>
    <t>2025/07/09 09:19:23</t>
  </si>
  <si>
    <t>2025/07/09 09:21:41</t>
  </si>
  <si>
    <t>[&lt;=999]000;[&lt;=9999]000-00;000-0000</t>
  </si>
  <si>
    <t>2025/07/09 09:24:54</t>
  </si>
  <si>
    <t xml:space="preserve">設定変更_x000D_
書式:G/標準 ⇒ [&lt;=999]000;[&lt;=9999]000-00;000-0000_x000D_
</t>
  </si>
  <si>
    <t>2025/07/09 09:31:44</t>
  </si>
  <si>
    <t>2025/07/09 09:33:03</t>
  </si>
  <si>
    <t>C17:E17</t>
  </si>
  <si>
    <t>2025/07/09 09:36:27</t>
  </si>
  <si>
    <t xml:space="preserve">新規追加_x000D_
改頁しない_x000D_
繰返場所:C17:E17,C18:E18_x000D_
グループ名:患者情報.禁忌・アレルギー_x000D_
プレビューデータ:禁忌_x000D_
書式:G/標準_x000D_
データ変換:&lt;convTable cls="禁忌アレルギー区分"&gt;&lt;conv code="1" item="禁忌" disp="禁忌" /&gt;&lt;conv code="2" item="アレルギー" disp="アレルギー" /&gt;&lt;/convTable&gt;_x000D_
縮小しない_x000D_
テンプレート内外:_x000D_
</t>
  </si>
  <si>
    <t>患者情報.禁忌・アレルギー.患者情報.禁忌・アレルギー.C17:E17</t>
  </si>
  <si>
    <t>2025/07/09 09:38:02</t>
  </si>
  <si>
    <t>2025/07/09 09:38:55</t>
  </si>
  <si>
    <t>##患者情報.禁忌・アレルギー.内容</t>
  </si>
  <si>
    <t>##患者情報.禁忌・アレルギー.内容</t>
    <phoneticPr fontId="1"/>
  </si>
  <si>
    <t>内容</t>
  </si>
  <si>
    <t>content</t>
  </si>
  <si>
    <t>テスト薬剤（禁忌・アレルギー）</t>
  </si>
  <si>
    <t>2025/07/09 09:40:09</t>
  </si>
  <si>
    <t xml:space="preserve">設定変更_x000D_
繰返場所:C17:E17,C18:E18 ⇒ C17:E17_x000D_
プレビューデータ:禁忌 ⇒ テスト薬剤（禁忌・アレルギー）_x000D_
データ変換:&lt;convTable cls=""&gt;&lt;conv code="1" item="禁忌" disp="禁忌" /&gt;&lt;conv code="2" item="アレルギー" disp="アレルギー" /&gt;&lt;/convTable&gt; ⇒ _x000D_
</t>
  </si>
  <si>
    <t>2025/07/09 09:41:24</t>
  </si>
  <si>
    <t>2025/07/09 09:42:47</t>
  </si>
  <si>
    <t>K3:K4</t>
  </si>
  <si>
    <t>N5</t>
  </si>
  <si>
    <t>C6:F7</t>
  </si>
  <si>
    <t>N6</t>
  </si>
  <si>
    <t>C8:F8</t>
  </si>
  <si>
    <t>C10:F10</t>
  </si>
  <si>
    <t>H10:K10</t>
  </si>
  <si>
    <t>C11:F11</t>
  </si>
  <si>
    <t>H11:K11</t>
  </si>
  <si>
    <t>C12:F12</t>
  </si>
  <si>
    <t>H12:K12</t>
  </si>
  <si>
    <t>C13:F13</t>
  </si>
  <si>
    <t>M13</t>
  </si>
  <si>
    <t>H14:J14</t>
  </si>
  <si>
    <t>M14</t>
  </si>
  <si>
    <t>H15:J15</t>
  </si>
  <si>
    <t>H16:K16</t>
  </si>
  <si>
    <t>C17:F17</t>
  </si>
  <si>
    <t>H17:J17</t>
  </si>
  <si>
    <t>K17</t>
  </si>
  <si>
    <t>H18:J18</t>
  </si>
  <si>
    <t>K18</t>
  </si>
  <si>
    <t>C19:F19</t>
  </si>
  <si>
    <t>H19:J19</t>
  </si>
  <si>
    <t>K19</t>
  </si>
  <si>
    <t>H20:J20</t>
  </si>
  <si>
    <t>H21:J21</t>
  </si>
  <si>
    <t>H22:J22</t>
  </si>
  <si>
    <t>H23:K23</t>
  </si>
  <si>
    <t>H24:K24</t>
  </si>
  <si>
    <t>H25:K25</t>
  </si>
  <si>
    <t>H26:K26</t>
  </si>
  <si>
    <t>G27:K33</t>
  </si>
  <si>
    <t>M36</t>
  </si>
  <si>
    <t>G37:K37</t>
  </si>
  <si>
    <t>G38:H38</t>
  </si>
  <si>
    <t>J38:K38</t>
  </si>
  <si>
    <t>D39:H39</t>
  </si>
  <si>
    <t>J39:K39</t>
  </si>
  <si>
    <t>2025/07/09 09:46:29</t>
  </si>
  <si>
    <t xml:space="preserve">新規追加_x000D_
改頁しない_x000D_
プレビューデータ:2025/07/09_x000D_
書式:yyyy/mm/dd_x000D_
縮小しない_x000D_
テンプレート内外:_x000D_
</t>
  </si>
  <si>
    <t xml:space="preserve">新規追加_x000D_
改頁しない_x000D_
プレビューデータ:150-8677_x000D_
書式:[&lt;=999]000;[&lt;=9999]000-00;000-0000_x000D_
縮小しない_x000D_
テンプレート内外:_x000D_
</t>
  </si>
  <si>
    <t xml:space="preserve">新規追加_x000D_
表示文字数:27_x000D_
改頁しない_x000D_
プレビューデータ:東京都渋谷区恵比寿3-43-2 日機装第１別館１F_x000D_
書式:G/標準_x000D_
縮小しない_x000D_
テンプレート内外:_x000D_
</t>
  </si>
  <si>
    <t xml:space="preserve">新規追加_x000D_
改頁しない_x000D_
繰返場所:N6_x000D_
グループ名:患者情報.連絡先_x000D_
プレビューデータ:03-9876-5432_x000D_
書式:G/標準_x000D_
縮小しない_x000D_
テンプレート内外:_x000D_
</t>
  </si>
  <si>
    <t xml:space="preserve">新規追加_x000D_
改頁しない_x000D_
プレビューデータ:日機装病院_x000D_
書式:G/標準_x000D_
縮小しない_x000D_
テンプレート内外:_x000D_
</t>
  </si>
  <si>
    <t xml:space="preserve">新規追加_x000D_
改頁しない_x000D_
プレビューデータ:A型 Rh-_x000D_
書式:G/標準_x000D_
データ変換:&lt;convTable cls="血液型ABORH"&gt;&lt;conv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/&gt;&lt;/convTable&gt;_x000D_
縮小しない_x000D_
テンプレート内外:_x000D_
</t>
  </si>
  <si>
    <t xml:space="preserve">設定変更_x000D_
繰返場所:L14,L15,L16,L17,L18,L19 ⇒ L14_x000D_
プレビューデータ:(不明) ⇒ Hbc抗体_x000D_
データ変換:&lt;convTable cls=""&gt;&lt;conv code="0" item="不明" disp="不明" /&gt;&lt;conv code="1" item="(-)" disp="(-)" /&gt;&lt;conv code="2" item="(+)" disp="(+)" /&gt;&lt;/convTable&gt; ⇒ _x000D_
</t>
  </si>
  <si>
    <t xml:space="preserve">新規追加_x000D_
改頁しない_x000D_
繰返場所:M14_x000D_
グループ名:患者情報.感染症(+)(-)(不明)_x000D_
プレビューデータ:(不明)_x000D_
書式:G/標準_x000D_
データ変換:&lt;convTable cls="感染症結果"&gt;&lt;conv code="0" item="不明" disp="不明" /&gt;&lt;conv code="1" item="(-)" disp="(-)" /&gt;&lt;conv code="2" item="(+)" disp="(+)" /&gt;&lt;/convTable&gt;_x000D_
縮小しない_x000D_
テンプレート内外:_x000D_
</t>
  </si>
  <si>
    <t xml:space="preserve">新規追加_x000D_
改頁しない_x000D_
繰返場所:C17:F17,C18:F18_x000D_
グループ名:患者情報.禁忌・アレルギー_x000D_
プレビューデータ:テスト薬剤（禁忌・アレルギー）_x000D_
書式:G/標準_x000D_
縮小しない_x000D_
テンプレート内外:_x000D_
</t>
  </si>
  <si>
    <t xml:space="preserve">新規追加_x000D_
改頁しない_x000D_
プレビューデータ:1000_x000D_
書式:0.00_x000D_
縮小しない_x000D_
テンプレート内外:_x000D_
</t>
  </si>
  <si>
    <t xml:space="preserve">新規追加_x000D_
改頁しない_x000D_
繰返場所:C19:F19,C20:F20,C21:F21,C22:F22,C23:F23,C24:F24,C25:F25_x000D_
グループ名:指示.投薬_x000D_
プレビューデータ:テスト薬剤１_x000D_
書式:G/標準_x000D_
抽出条件:&lt;SelectSetting&gt;&lt;Item tag="Medicine" checkState="Checked" /&gt;&lt;/SelectSetting&gt;_x000D_
縮小しない_x000D_
テンプレート内外:_x000D_
</t>
  </si>
  <si>
    <t xml:space="preserve">新規追加_x000D_
改頁しない_x000D_
プレビューデータ:2000_x000D_
書式:0.00_x000D_
縮小しない_x000D_
テンプレート内外:_x000D_
</t>
  </si>
  <si>
    <t xml:space="preserve">新規追加_x000D_
改頁しない_x000D_
繰返場所:H21:J21_x000D_
グループ名:患者情報.身体情報(昇順)_x000D_
プレビューデータ:35.05_x000D_
書式:0_x000D_
縮小しない_x000D_
テンプレート内外:_x000D_
</t>
  </si>
  <si>
    <t>患者情報.連絡先.患者情報.連絡先.N6</t>
  </si>
  <si>
    <t>患者情報.感染症(+)(-)(不明).患者情報.感染症(+)(-)(不明).L14</t>
  </si>
  <si>
    <t>患者情報.身体情報(昇順).患者情報.身体情報(昇順).H21:J21</t>
  </si>
  <si>
    <t>患者情報.禁忌・アレルギー.患者情報.禁忌・アレルギー.C17:F17</t>
  </si>
  <si>
    <t>2</t>
  </si>
  <si>
    <t>指示.投薬.指示.投薬.C19:F19</t>
  </si>
  <si>
    <t>2025/07/09 09:47:37</t>
  </si>
  <si>
    <t>2025/07/09 09:48:07</t>
  </si>
  <si>
    <t xml:space="preserve">設定変更_x000D_
表示文字数:27 ⇒ _x000D_
</t>
  </si>
  <si>
    <t>2025/07/09 09:50:50</t>
  </si>
  <si>
    <t xml:space="preserve">設定変更_x000D_
データ変換:&lt;convTable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 ⇒ 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/&gt;&lt;/convTable&gt;_x000D_
</t>
  </si>
  <si>
    <t xml:space="preserve">設定変更_x000D_
繰返場所:L14 ⇒ L14,L15,L16,L17,L18,L19_x000D_
</t>
  </si>
  <si>
    <t xml:space="preserve">設定変更_x000D_
繰返場所:M14 ⇒ M14,M15,M16,M17,M18,M19_x000D_
データ変換:&lt;convTable cls=""&gt;&lt;conv code="0" item="不明" disp="不明" /&gt;&lt;conv code="1" item="(-)" disp="(-)" /&gt;&lt;conv code="2" item="(+)" disp="(+)" /&gt;&lt;/convTable&gt; ⇒ &lt;convTable cls="感染症結果"&gt;&lt;conv code="0" item="不明" disp="不明" /&gt;&lt;conv code="1" item="(-)" disp="(-)" /&gt;&lt;conv code="2" item="(+)" disp="(+)" /&gt;&lt;/convTable&gt;_x000D_
</t>
  </si>
  <si>
    <t>2025/07/09 09:53:20</t>
  </si>
  <si>
    <t>なお、ご不明な点がありましたら、下記まで連絡をお願い申し上げます。</t>
    <rPh sb="4" eb="6">
      <t>フメイ</t>
    </rPh>
    <rPh sb="7" eb="8">
      <t>テン</t>
    </rPh>
    <rPh sb="16" eb="18">
      <t>カキ</t>
    </rPh>
    <rPh sb="20" eb="22">
      <t>レンラク</t>
    </rPh>
    <rPh sb="24" eb="25">
      <t>ネガ</t>
    </rPh>
    <rPh sb="26" eb="27">
      <t>モウ</t>
    </rPh>
    <rPh sb="28" eb="29">
      <t>ア</t>
    </rPh>
    <phoneticPr fontId="1"/>
  </si>
  <si>
    <t>2025/07/09 09:56:09</t>
  </si>
  <si>
    <t>2025/07/09 10:00:45</t>
  </si>
  <si>
    <t>##指示.透析条件.抗凝固剤総量</t>
  </si>
  <si>
    <t>H16:I16</t>
  </si>
  <si>
    <t>J16</t>
  </si>
  <si>
    <t>K16</t>
  </si>
  <si>
    <t>2025/07/09 15:38:28</t>
  </si>
  <si>
    <t xml:space="preserve">新規追加_x000D_
改頁しない_x000D_
プレビューデータ:3000_x000D_
書式:0_x000D_
縮小しない_x000D_
テンプレート内外:_x000D_
</t>
  </si>
  <si>
    <t>2025/07/09 15:47:24</t>
  </si>
  <si>
    <t>2025/07/10 10:54:45</t>
  </si>
  <si>
    <t>##患者情報.身体情報(降順).DW</t>
  </si>
  <si>
    <t>##患者情報.身体情報(降順).CTR</t>
  </si>
  <si>
    <t>CanBarCode</t>
  </si>
  <si>
    <t>BarCode</t>
  </si>
  <si>
    <t>身体情報(降順)</t>
  </si>
  <si>
    <t>39</t>
  </si>
  <si>
    <t>患者情報.身体情報(降順)</t>
  </si>
  <si>
    <t>2025/10/10 15:24:48</t>
  </si>
  <si>
    <t xml:space="preserve">設定変更_x000D_
繰返場所: ⇒ H20:J20_x000D_
グループ名: ⇒ 患者情報.身体情報(降順)_x000D_
</t>
  </si>
  <si>
    <t xml:space="preserve">設定変更_x000D_
グループ名:患者情報.身体情報(昇順) ⇒ 患者情報.身体情報(降順)_x000D_
書式:0 ⇒ 0.00_x000D_
</t>
  </si>
  <si>
    <t>患者情報.身体情報(降順).患者情報.身体情報(降順).H20:J20</t>
  </si>
  <si>
    <t>2025/10/10 15:24:49</t>
  </si>
  <si>
    <t xml:space="preserve">出力値のない列は省略する設定: ⇒ 0_x000D_
</t>
  </si>
  <si>
    <t>C3:E3</t>
  </si>
  <si>
    <t>2025/10/10</t>
  </si>
  <si>
    <t>L3:L4</t>
  </si>
  <si>
    <t>C4:E4</t>
  </si>
  <si>
    <t>O5</t>
  </si>
  <si>
    <t>C6:G7</t>
  </si>
  <si>
    <t>O6</t>
  </si>
  <si>
    <t>C8:G8</t>
  </si>
  <si>
    <t>C10:G10</t>
  </si>
  <si>
    <t>I10:L10</t>
  </si>
  <si>
    <t>C11:G11</t>
  </si>
  <si>
    <t>I11:L11</t>
  </si>
  <si>
    <t>C12:G12</t>
  </si>
  <si>
    <t>I12:L12</t>
  </si>
  <si>
    <t>C13:G13</t>
  </si>
  <si>
    <t>N13</t>
  </si>
  <si>
    <t>I14:K14</t>
  </si>
  <si>
    <t>Infection</t>
  </si>
  <si>
    <t>N14</t>
  </si>
  <si>
    <t>I15:K15</t>
  </si>
  <si>
    <t>I16:L16</t>
  </si>
  <si>
    <t>C17:G17</t>
  </si>
  <si>
    <t>I17:K17</t>
  </si>
  <si>
    <t>L17</t>
  </si>
  <si>
    <t>I18:K18</t>
  </si>
  <si>
    <t>L18</t>
  </si>
  <si>
    <t>C19:G19</t>
  </si>
  <si>
    <t>I19:K19</t>
  </si>
  <si>
    <t>L19</t>
  </si>
  <si>
    <t>I20:K20</t>
  </si>
  <si>
    <t>I21:K21</t>
  </si>
  <si>
    <t>I22:K22</t>
  </si>
  <si>
    <t>I23:L23</t>
  </si>
  <si>
    <t>I24:L24</t>
  </si>
  <si>
    <t>I25:L25</t>
  </si>
  <si>
    <t>I26:L26</t>
  </si>
  <si>
    <t>H27:L33</t>
  </si>
  <si>
    <t>N36</t>
  </si>
  <si>
    <t>H37:L37</t>
  </si>
  <si>
    <t>K38:L38</t>
  </si>
  <si>
    <t>E39:I39</t>
  </si>
  <si>
    <t>K39:L39</t>
  </si>
  <si>
    <t>2025/10/10 15:42:48</t>
  </si>
  <si>
    <t xml:space="preserve">新規追加_x000D_
改頁しない_x000D_
プレビューデータ:2025/10/10_x000D_
書式:yyyy/mm/dd_x000D_
縮小しない_x000D_
テンプレート内外:_x000D_
</t>
  </si>
  <si>
    <t xml:space="preserve">新規追加_x000D_
表示文字数:34_x000D_
改頁しない_x000D_
プレビューデータ:東京都渋谷区恵比寿3-43-2 日機装第１別館１F_x000D_
書式:G/標準_x000D_
縮小しない_x000D_
テンプレート内外:_x000D_
</t>
  </si>
  <si>
    <t xml:space="preserve">新規追加_x000D_
改頁しない_x000D_
繰返場所:O6_x000D_
グループ名:患者情報.連絡先_x000D_
プレビューデータ:03-9876-5432_x000D_
書式:G/標準_x000D_
縮小しない_x000D_
テンプレート内外:_x000D_
</t>
  </si>
  <si>
    <t xml:space="preserve">設定変更_x000D_
繰返場所:M14,M15,M16,M17,M18,M19 ⇒ M14_x000D_
プレビューデータ:(不明) ⇒ Hbc抗体_x000D_
データ変換:&lt;convTable cls=""&gt;&lt;conv code="0" item="不明" disp="不明" /&gt;&lt;conv code="1" item="(-)" disp="(-)" /&gt;&lt;conv code="2" item="(+)" disp="(+)" /&gt;&lt;/convTable&gt; ⇒ _x000D_
</t>
  </si>
  <si>
    <t xml:space="preserve">新規追加_x000D_
改頁しない_x000D_
繰返場所:N14_x000D_
グループ名:患者情報.感染症(+)(-)(不明)_x000D_
プレビューデータ:(不明)_x000D_
書式:G/標準_x000D_
データ変換:&lt;convTable cls="感染症結果"&gt;&lt;conv code="0" item="不明" disp="不明" /&gt;&lt;conv code="1" item="(-)" disp="(-)" /&gt;&lt;conv code="2" item="(+)" disp="(+)" /&gt;&lt;/convTable&gt;_x000D_
縮小しない_x000D_
テンプレート内外:_x000D_
</t>
  </si>
  <si>
    <t xml:space="preserve">新規追加_x000D_
改頁しない_x000D_
繰返場所:C17:G17_x000D_
グループ名:患者情報.禁忌・アレルギー_x000D_
プレビューデータ:テスト薬剤（禁忌・アレルギー）_x000D_
書式:G/標準_x000D_
縮小しない_x000D_
テンプレート内外:_x000D_
</t>
  </si>
  <si>
    <t xml:space="preserve">新規追加_x000D_
改頁しない_x000D_
繰返場所:C19:G19_x000D_
グループ名:指示.投薬_x000D_
プレビューデータ:テスト薬剤１_x000D_
書式:G/標準_x000D_
抽出条件:&lt;SelectSetting&gt;&lt;Item tag="Medicine" checkState="Checked" /&gt;&lt;/SelectSetting&gt;_x000D_
縮小しない_x000D_
テンプレート内外:_x000D_
</t>
  </si>
  <si>
    <t xml:space="preserve">新規追加_x000D_
改頁しない_x000D_
繰返場所:I20:K20_x000D_
グループ名:患者情報.身体情報(降順)_x000D_
プレビューデータ:55.00_x000D_
書式:0.00_x000D_
縮小しない_x000D_
テンプレート内外:_x000D_
</t>
  </si>
  <si>
    <t xml:space="preserve">新規追加_x000D_
改頁しない_x000D_
繰返場所:I21:K21_x000D_
グループ名:患者情報.身体情報(降順)_x000D_
プレビューデータ:35.05_x000D_
書式:0.00_x000D_
縮小しない_x000D_
テンプレート内外:_x000D_
</t>
  </si>
  <si>
    <t xml:space="preserve">新規追加_x000D_
表示文字数:22_x000D_
改頁しない_x000D_
プレビューデータ:左手前腕内シャント化静脈_x000D_
書式:G/標準_x000D_
縮小しない_x000D_
テンプレート内外:_x000D_
</t>
  </si>
  <si>
    <t xml:space="preserve">新規追加_x000D_
表示文字数:22_x000D_
改頁しない_x000D_
プレビューデータ:穿刺針A針_x000D_
書式:G/標準_x000D_
縮小しない_x000D_
テンプレート内外:_x000D_
</t>
  </si>
  <si>
    <t xml:space="preserve">新規追加_x000D_
表示文字数:22_x000D_
改頁しない_x000D_
プレビューデータ:穿刺針V針_x000D_
書式:G/標準_x000D_
縮小しない_x000D_
テンプレート内外:_x000D_
</t>
  </si>
  <si>
    <t>患者情報.身体情報(降順).患者情報.身体情報(降順).I20:K20</t>
  </si>
  <si>
    <t>患者情報.禁忌・アレルギー.患者情報.禁忌・アレルギー.C17:G17</t>
  </si>
  <si>
    <t>指示.投薬.指示.投薬.C19:G19</t>
  </si>
  <si>
    <t>患者情報.感染症(+)(-)(不明).患者情報.感染症(+)(-)(不明).N14</t>
  </si>
  <si>
    <t>&lt;SelectSetting&gt;&lt;Item tag="Infection" checkState="Checked" /&gt;&lt;/SelectSetting&gt;</t>
  </si>
  <si>
    <t>患者情報.連絡先.患者情報.連絡先.O6</t>
  </si>
  <si>
    <t>2025/10/10 15:42:49</t>
  </si>
  <si>
    <t xml:space="preserve">改頁しない_x000D_
抽出条件:&lt;SelectSetting&gt;&lt;Item tag="Infection" checkState="Checked" /&gt;&lt;/SelectSetting&gt;_x000D_
</t>
  </si>
  <si>
    <t>C3:G3</t>
  </si>
  <si>
    <t>M3:M4</t>
  </si>
  <si>
    <t>C4:G4</t>
  </si>
  <si>
    <t>P5</t>
  </si>
  <si>
    <t>46</t>
  </si>
  <si>
    <t>C6:H7</t>
  </si>
  <si>
    <t>P6</t>
  </si>
  <si>
    <t>C8:H8</t>
  </si>
  <si>
    <t>C10:H10</t>
  </si>
  <si>
    <t>J10:M10</t>
  </si>
  <si>
    <t>C11:H11</t>
  </si>
  <si>
    <t>J11:M11</t>
  </si>
  <si>
    <t>C12:H12</t>
  </si>
  <si>
    <t>J12:M12</t>
  </si>
  <si>
    <t>C13:H13</t>
  </si>
  <si>
    <t>O13</t>
  </si>
  <si>
    <t>J14:L14</t>
  </si>
  <si>
    <t>N14,N15,N16,N17,N18,N19</t>
  </si>
  <si>
    <t>O14,O15,O16,O17,O18,O19</t>
  </si>
  <si>
    <t>O14</t>
  </si>
  <si>
    <t>J15:L15</t>
  </si>
  <si>
    <t>J16:M16</t>
  </si>
  <si>
    <t>C17:H17</t>
  </si>
  <si>
    <t>J17:L17</t>
  </si>
  <si>
    <t>M17</t>
  </si>
  <si>
    <t>J18:L18</t>
  </si>
  <si>
    <t>M18</t>
  </si>
  <si>
    <t>C19:H19</t>
  </si>
  <si>
    <t>J19:L19</t>
  </si>
  <si>
    <t>M19</t>
  </si>
  <si>
    <t>J20:L20</t>
  </si>
  <si>
    <t>J21:L21</t>
  </si>
  <si>
    <t>J22:L22</t>
  </si>
  <si>
    <t>27</t>
  </si>
  <si>
    <t>J23:M23</t>
  </si>
  <si>
    <t>J24:M24</t>
  </si>
  <si>
    <t>J25:M25</t>
  </si>
  <si>
    <t>J26:M26</t>
  </si>
  <si>
    <t>I27:M33</t>
  </si>
  <si>
    <t>O36</t>
  </si>
  <si>
    <t>I37:M37</t>
  </si>
  <si>
    <t>L38:M38</t>
  </si>
  <si>
    <t>F39:J39</t>
  </si>
  <si>
    <t>L39:M39</t>
  </si>
  <si>
    <t>2025/10/10 15:50:17</t>
  </si>
  <si>
    <t xml:space="preserve">新規追加_x000D_
表示文字数:46_x000D_
改頁しない_x000D_
プレビューデータ:東京都渋谷区恵比寿3-43-2 日機装第１別館１F_x000D_
書式:G/標準_x000D_
縮小しない_x000D_
テンプレート内外:_x000D_
</t>
  </si>
  <si>
    <t xml:space="preserve">新規追加_x000D_
改頁しない_x000D_
繰返場所:P6_x000D_
グループ名:患者情報.連絡先_x000D_
プレビューデータ:03-9876-5432_x000D_
書式:G/標準_x000D_
縮小しない_x000D_
テンプレート内外:_x000D_
</t>
  </si>
  <si>
    <t xml:space="preserve">設定変更_x000D_
繰返場所:N14 ⇒ N14,N15,N16,N17,N18,N19_x000D_
プレビューデータ:(不明) ⇒ Hbc抗体_x000D_
データ変換:&lt;convTable cls=""&gt;&lt;conv code="0" item="不明" disp="不明" /&gt;&lt;conv code="1" item="(-)" disp="(-)" /&gt;&lt;conv code="2" item="(+)" disp="(+)" /&gt;&lt;/convTable&gt; ⇒ _x000D_
</t>
  </si>
  <si>
    <t xml:space="preserve">新規追加_x000D_
改頁しない_x000D_
繰返場所:O14,O15,O16,O17,O18,O19_x000D_
グループ名:患者情報.感染症(+)(-)(不明)_x000D_
プレビューデータ:(不明)_x000D_
書式:G/標準_x000D_
データ変換:&lt;convTable cls="感染症結果"&gt;&lt;conv code="0" item="不明" disp="不明" /&gt;&lt;conv code="1" item="(-)" disp="(-)" /&gt;&lt;conv code="2" item="(+)" disp="(+)" /&gt;&lt;/convTable&gt;_x000D_
縮小しない_x000D_
テンプレート内外:_x000D_
</t>
  </si>
  <si>
    <t xml:space="preserve">新規追加_x000D_
改頁しない_x000D_
繰返場所:C17:H17_x000D_
グループ名:患者情報.禁忌・アレルギー_x000D_
プレビューデータ:テスト薬剤（禁忌・アレルギー）_x000D_
書式:G/標準_x000D_
縮小しない_x000D_
テンプレート内外:_x000D_
</t>
  </si>
  <si>
    <t xml:space="preserve">新規追加_x000D_
改頁しない_x000D_
繰返場所:C19:H19_x000D_
グループ名:指示.投薬_x000D_
プレビューデータ:テスト薬剤１_x000D_
書式:G/標準_x000D_
抽出条件:&lt;SelectSetting&gt;&lt;Item tag="Medicine" checkState="Checked" /&gt;&lt;/SelectSetting&gt;_x000D_
縮小しない_x000D_
テンプレート内外:_x000D_
</t>
  </si>
  <si>
    <t xml:space="preserve">新規追加_x000D_
改頁しない_x000D_
繰返場所:J20:L20_x000D_
グループ名:患者情報.身体情報(降順)_x000D_
プレビューデータ:55.00_x000D_
書式:0.00_x000D_
縮小しない_x000D_
テンプレート内外:_x000D_
</t>
  </si>
  <si>
    <t xml:space="preserve">新規追加_x000D_
改頁しない_x000D_
繰返場所:J21:L21_x000D_
グループ名:患者情報.身体情報(降順)_x000D_
プレビューデータ:35.05_x000D_
書式:0.00_x000D_
縮小しない_x000D_
テンプレート内外:_x000D_
</t>
  </si>
  <si>
    <t xml:space="preserve">新規追加_x000D_
表示文字数:27_x000D_
改頁しない_x000D_
プレビューデータ:左手前腕内シャント化静脈_x000D_
書式:G/標準_x000D_
縮小しない_x000D_
テンプレート内外:_x000D_
</t>
  </si>
  <si>
    <t xml:space="preserve">新規追加_x000D_
表示文字数:27_x000D_
改頁しない_x000D_
プレビューデータ:穿刺針A針_x000D_
書式:G/標準_x000D_
縮小しない_x000D_
テンプレート内外:_x000D_
</t>
  </si>
  <si>
    <t xml:space="preserve">新規追加_x000D_
表示文字数:27_x000D_
改頁しない_x000D_
プレビューデータ:穿刺針V針_x000D_
書式:G/標準_x000D_
縮小しない_x000D_
テンプレート内外:_x000D_
</t>
  </si>
  <si>
    <t>患者情報.連絡先.患者情報.連絡先.P6</t>
  </si>
  <si>
    <t>6</t>
  </si>
  <si>
    <t>患者情報.身体情報(降順).患者情報.身体情報(降順).J20:L20</t>
  </si>
  <si>
    <t>患者情報.禁忌・アレルギー.患者情報.禁忌・アレルギー.C17:H17</t>
  </si>
  <si>
    <t>指示.投薬.指示.投薬.C19:H19</t>
  </si>
  <si>
    <t>2025/10/10 15:52:11</t>
  </si>
  <si>
    <t>&lt;convTable cls=""&gt;&lt;conv code="0" item="不明" disp="不明" /&gt;&lt;conv code="1" item="男性" disp="男" /&gt;&lt;conv code="2" item="女性" disp="女" /&gt;&lt;/convTable&gt;</t>
  </si>
  <si>
    <t>患者情報.身体情報(降順)DW</t>
  </si>
  <si>
    <t>2025/10/10 16:02:25</t>
  </si>
  <si>
    <t xml:space="preserve">設定変更_x000D_
グループ名:患者情報.身体情報(降順) ⇒ 患者情報.身体情報(降順)DW_x000D_
</t>
  </si>
  <si>
    <t>患者情報.身体情報(降順).患者情報.身体情報(降順)DW.J20:L20</t>
  </si>
  <si>
    <t>2025/10/10 16:02:26</t>
  </si>
  <si>
    <t>I27:M36</t>
  </si>
  <si>
    <t>O39</t>
  </si>
  <si>
    <t>B40:C40</t>
  </si>
  <si>
    <t>I40:M40</t>
  </si>
  <si>
    <t>I41:J41</t>
  </si>
  <si>
    <t>L41:M41</t>
  </si>
  <si>
    <t>F42:J42</t>
  </si>
  <si>
    <t>L42:M42</t>
  </si>
  <si>
    <t>2025/10/10 16:06:05</t>
  </si>
  <si>
    <t>I27:M34</t>
  </si>
  <si>
    <t>O37</t>
  </si>
  <si>
    <t>B38:C38</t>
  </si>
  <si>
    <t>I38:M38</t>
  </si>
  <si>
    <t>F40:J40</t>
  </si>
  <si>
    <t>L40:M40</t>
  </si>
  <si>
    <t>2025/10/10 16:11:30</t>
  </si>
  <si>
    <t>2025/10/10 16:13:46</t>
  </si>
  <si>
    <t>2025/10/10 16:14:47</t>
  </si>
  <si>
    <t>I27:M35</t>
  </si>
  <si>
    <t>O38</t>
  </si>
  <si>
    <t>B39:C39</t>
  </si>
  <si>
    <t>I39:M39</t>
  </si>
  <si>
    <t>I40:J40</t>
  </si>
  <si>
    <t>F41:J41</t>
  </si>
  <si>
    <t>2025/10/10 16:18:33</t>
  </si>
  <si>
    <t xml:space="preserve">設定変更_x000D_
プレビューデータ:確認テスト ⇒ _x000D_
</t>
  </si>
  <si>
    <t>##患者情報.感染症(+)(-)(不明).感染症 ##患者情報.感染症(+)(-)(不明).感染症結果</t>
  </si>
  <si>
    <t>C14:D14</t>
  </si>
  <si>
    <t>C19:H19,C20:H20,C21:H21,C22:H22,C23:H23,C24:H24</t>
  </si>
  <si>
    <t>2025/10/10 16:24:54</t>
  </si>
  <si>
    <t xml:space="preserve">設定変更_x000D_
繰返場所:C19:H19 ⇒ C19:H19,C20:H20,C21:H21,C22:H22,C23:H23,C24:H24_x000D_
</t>
  </si>
  <si>
    <t>作成日</t>
  </si>
  <si>
    <t>2025/10/10 16:28:56</t>
  </si>
  <si>
    <t>&lt;convTable cls=""&gt;&lt;conv code="0" item="不明" disp="不明" /&gt;&lt;conv code="1" item="(-)" disp="(-)" /&gt;&lt;conv code="2" item="(+)" disp="(+)" /&gt;&lt;/convTable&gt;</t>
  </si>
  <si>
    <t>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</t>
  </si>
  <si>
    <t>2025/10/16 10:47:44</t>
  </si>
  <si>
    <t>2025/10/21 09:42:36</t>
  </si>
  <si>
    <t>##実績.体重情報.CTR測定時体重</t>
    <phoneticPr fontId="1"/>
  </si>
  <si>
    <t>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</si>
</sst>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"/>
    <numFmt numFmtId="177" formatCode="[&lt;=999]000;[&lt;=9999]000\-00;000\-0000"/>
  </numFmts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</font>
    <font>
      <sz val="8"/>
      <color theme="1"/>
      <name val="游ゴシック"/>
      <family val="3"/>
      <charset val="128"/>
    </font>
    <font>
      <sz val="9"/>
      <color theme="1"/>
      <name val="游ゴシック"/>
      <family val="3"/>
      <charset val="128"/>
    </font>
    <font>
      <b/>
      <sz val="14"/>
      <color theme="1"/>
      <name val="游ゴシック"/>
      <family val="3"/>
      <charset val="128"/>
    </font>
    <font>
      <b/>
      <sz val="8"/>
      <color theme="1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90">
    <xf numFmtId="0" fontId="0" fillId="0" borderId="0" xfId="0">
      <alignment vertical="center"/>
    </xf>
    <xf numFmtId="49" fontId="0" fillId="0" borderId="0" xfId="0" applyNumberFormat="1" applyAlignment="1">
      <alignment vertical="center" shrinkToFit="1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wrapText="1" shrinkToFit="1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2" fillId="0" borderId="0" xfId="0" applyFont="1" applyBorder="1">
      <alignment vertical="center"/>
    </xf>
    <xf numFmtId="0" fontId="4" fillId="2" borderId="0" xfId="0" applyFont="1" applyFill="1">
      <alignment vertical="center"/>
    </xf>
    <xf numFmtId="177" fontId="4" fillId="2" borderId="0" xfId="0" applyNumberFormat="1" applyFont="1" applyFill="1" applyAlignment="1">
      <alignment vertical="center" shrinkToFit="1"/>
    </xf>
    <xf numFmtId="0" fontId="4" fillId="2" borderId="0" xfId="0" applyFont="1" applyFill="1" applyAlignment="1">
      <alignment vertical="center" shrinkToFit="1"/>
    </xf>
    <xf numFmtId="0" fontId="4" fillId="2" borderId="0" xfId="0" applyNumberFormat="1" applyFont="1" applyFill="1" applyAlignment="1">
      <alignment vertical="center" shrinkToFit="1"/>
    </xf>
    <xf numFmtId="0" fontId="2" fillId="2" borderId="0" xfId="0" applyFont="1" applyFill="1" applyAlignment="1">
      <alignment vertical="center"/>
    </xf>
    <xf numFmtId="0" fontId="2" fillId="2" borderId="0" xfId="0" applyNumberFormat="1" applyFont="1" applyFill="1" applyAlignment="1">
      <alignment vertical="center" shrinkToFit="1"/>
    </xf>
    <xf numFmtId="0" fontId="3" fillId="0" borderId="4" xfId="0" applyFont="1" applyBorder="1" applyAlignment="1">
      <alignment vertical="center"/>
    </xf>
    <xf numFmtId="0" fontId="3" fillId="0" borderId="4" xfId="0" applyFont="1" applyBorder="1" applyAlignment="1">
      <alignment vertical="center" shrinkToFit="1"/>
    </xf>
    <xf numFmtId="0" fontId="3" fillId="0" borderId="4" xfId="0" applyFont="1" applyBorder="1" applyAlignment="1">
      <alignment horizontal="left" vertical="center"/>
    </xf>
    <xf numFmtId="0" fontId="3" fillId="0" borderId="4" xfId="0" applyNumberFormat="1" applyFont="1" applyBorder="1" applyAlignment="1">
      <alignment horizontal="left" vertical="center" shrinkToFit="1"/>
    </xf>
    <xf numFmtId="0" fontId="5" fillId="0" borderId="6" xfId="0" applyFont="1" applyBorder="1" applyAlignment="1">
      <alignment vertical="center"/>
    </xf>
    <xf numFmtId="0" fontId="3" fillId="0" borderId="5" xfId="0" applyFont="1" applyBorder="1" applyAlignment="1">
      <alignment horizontal="left" vertical="center" shrinkToFit="1"/>
    </xf>
    <xf numFmtId="0" fontId="3" fillId="0" borderId="5" xfId="0" applyFont="1" applyBorder="1" applyAlignment="1">
      <alignment horizontal="left" vertical="center" shrinkToFit="1"/>
    </xf>
    <xf numFmtId="0" fontId="3" fillId="0" borderId="4" xfId="0" applyFont="1" applyBorder="1" applyAlignment="1">
      <alignment horizontal="left" vertical="center" shrinkToFit="1"/>
    </xf>
    <xf numFmtId="0" fontId="6" fillId="0" borderId="0" xfId="0" applyNumberFormat="1" applyFont="1" applyBorder="1" applyAlignment="1">
      <alignment horizontal="left" vertical="center" shrinkToFit="1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right" vertical="center"/>
    </xf>
    <xf numFmtId="0" fontId="6" fillId="0" borderId="0" xfId="0" applyFont="1" applyBorder="1" applyAlignment="1">
      <alignment horizontal="right" vertical="center" shrinkToFit="1"/>
    </xf>
    <xf numFmtId="0" fontId="6" fillId="0" borderId="0" xfId="0" applyFont="1" applyBorder="1" applyAlignment="1">
      <alignment horizontal="right"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>
      <alignment vertical="center"/>
    </xf>
    <xf numFmtId="0" fontId="6" fillId="0" borderId="0" xfId="0" applyFont="1" applyBorder="1" applyAlignment="1">
      <alignment horizontal="left" vertical="center"/>
    </xf>
    <xf numFmtId="0" fontId="6" fillId="0" borderId="0" xfId="0" applyFont="1" applyBorder="1" applyAlignment="1"/>
    <xf numFmtId="0" fontId="5" fillId="0" borderId="6" xfId="0" applyFont="1" applyBorder="1" applyAlignment="1"/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right" vertical="center"/>
    </xf>
    <xf numFmtId="0" fontId="6" fillId="0" borderId="0" xfId="0" applyFont="1" applyBorder="1" applyAlignment="1">
      <alignment horizontal="right" vertical="center" shrinkToFit="1"/>
    </xf>
    <xf numFmtId="0" fontId="6" fillId="0" borderId="0" xfId="0" applyNumberFormat="1" applyFont="1" applyBorder="1" applyAlignment="1">
      <alignment horizontal="left"/>
    </xf>
    <xf numFmtId="0" fontId="3" fillId="0" borderId="5" xfId="0" applyNumberFormat="1" applyFont="1" applyBorder="1" applyAlignment="1">
      <alignment horizontal="left" vertical="center" shrinkToFit="1"/>
    </xf>
    <xf numFmtId="0" fontId="3" fillId="0" borderId="5" xfId="0" applyFont="1" applyBorder="1" applyAlignment="1">
      <alignment horizontal="center" vertical="center"/>
    </xf>
    <xf numFmtId="0" fontId="6" fillId="0" borderId="0" xfId="0" applyNumberFormat="1" applyFont="1" applyBorder="1" applyAlignment="1">
      <alignment horizontal="left" vertical="center" shrinkToFit="1"/>
    </xf>
    <xf numFmtId="176" fontId="6" fillId="0" borderId="0" xfId="0" applyNumberFormat="1" applyFont="1" applyBorder="1" applyAlignment="1">
      <alignment horizontal="left" vertical="center" shrinkToFit="1"/>
    </xf>
    <xf numFmtId="0" fontId="3" fillId="0" borderId="5" xfId="0" applyNumberFormat="1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shrinkToFit="1"/>
    </xf>
    <xf numFmtId="0" fontId="6" fillId="0" borderId="1" xfId="0" applyFont="1" applyBorder="1" applyAlignment="1">
      <alignment horizontal="left"/>
    </xf>
    <xf numFmtId="0" fontId="3" fillId="0" borderId="11" xfId="0" applyFont="1" applyBorder="1" applyAlignment="1">
      <alignment horizontal="left" vertical="center" shrinkToFit="1"/>
    </xf>
    <xf numFmtId="0" fontId="3" fillId="0" borderId="12" xfId="0" applyFont="1" applyBorder="1" applyAlignment="1">
      <alignment horizontal="left" vertical="center" shrinkToFit="1"/>
    </xf>
    <xf numFmtId="0" fontId="3" fillId="0" borderId="13" xfId="0" applyFont="1" applyBorder="1" applyAlignment="1">
      <alignment horizontal="left" vertical="center" shrinkToFit="1"/>
    </xf>
    <xf numFmtId="0" fontId="3" fillId="0" borderId="2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0" borderId="4" xfId="0" applyFont="1" applyBorder="1" applyAlignment="1">
      <alignment horizontal="center" vertical="center" shrinkToFit="1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4" xfId="0" applyNumberFormat="1" applyFont="1" applyBorder="1" applyAlignment="1">
      <alignment horizontal="center" vertical="center"/>
    </xf>
    <xf numFmtId="0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shrinkToFit="1"/>
    </xf>
    <xf numFmtId="0" fontId="3" fillId="0" borderId="5" xfId="0" applyFont="1" applyBorder="1" applyAlignment="1">
      <alignment horizontal="left" vertical="center"/>
    </xf>
    <xf numFmtId="2" fontId="3" fillId="0" borderId="5" xfId="0" applyNumberFormat="1" applyFont="1" applyBorder="1" applyAlignment="1">
      <alignment horizontal="right" vertical="center" shrinkToFit="1"/>
    </xf>
    <xf numFmtId="2" fontId="3" fillId="0" borderId="2" xfId="0" applyNumberFormat="1" applyFont="1" applyBorder="1" applyAlignment="1">
      <alignment horizontal="right" vertical="center" shrinkToFit="1"/>
    </xf>
    <xf numFmtId="0" fontId="3" fillId="0" borderId="2" xfId="0" applyNumberFormat="1" applyFont="1" applyBorder="1" applyAlignment="1">
      <alignment horizontal="left" vertical="center" shrinkToFit="1"/>
    </xf>
    <xf numFmtId="0" fontId="3" fillId="0" borderId="3" xfId="0" applyNumberFormat="1" applyFont="1" applyBorder="1" applyAlignment="1">
      <alignment horizontal="left" vertical="center" shrinkToFit="1"/>
    </xf>
    <xf numFmtId="0" fontId="3" fillId="0" borderId="4" xfId="0" applyNumberFormat="1" applyFont="1" applyBorder="1" applyAlignment="1">
      <alignment horizontal="left" vertical="center" shrinkToFit="1"/>
    </xf>
    <xf numFmtId="0" fontId="3" fillId="0" borderId="9" xfId="0" applyNumberFormat="1" applyFont="1" applyBorder="1" applyAlignment="1">
      <alignment horizontal="left" vertical="top" shrinkToFit="1"/>
    </xf>
    <xf numFmtId="0" fontId="3" fillId="0" borderId="1" xfId="0" applyNumberFormat="1" applyFont="1" applyBorder="1" applyAlignment="1">
      <alignment horizontal="left" vertical="top" shrinkToFit="1"/>
    </xf>
    <xf numFmtId="0" fontId="3" fillId="0" borderId="10" xfId="0" applyNumberFormat="1" applyFont="1" applyBorder="1" applyAlignment="1">
      <alignment horizontal="left" vertical="top" shrinkToFit="1"/>
    </xf>
    <xf numFmtId="0" fontId="3" fillId="0" borderId="7" xfId="0" applyNumberFormat="1" applyFont="1" applyBorder="1" applyAlignment="1">
      <alignment horizontal="left" vertical="top" shrinkToFit="1"/>
    </xf>
    <xf numFmtId="0" fontId="3" fillId="0" borderId="6" xfId="0" applyNumberFormat="1" applyFont="1" applyBorder="1" applyAlignment="1">
      <alignment horizontal="left" vertical="top" shrinkToFit="1"/>
    </xf>
    <xf numFmtId="0" fontId="3" fillId="0" borderId="8" xfId="0" applyNumberFormat="1" applyFont="1" applyBorder="1" applyAlignment="1">
      <alignment horizontal="left" vertical="top" shrinkToFit="1"/>
    </xf>
    <xf numFmtId="0" fontId="3" fillId="0" borderId="9" xfId="0" applyNumberFormat="1" applyFont="1" applyBorder="1" applyAlignment="1">
      <alignment horizontal="left" vertical="top" wrapText="1"/>
    </xf>
    <xf numFmtId="0" fontId="3" fillId="0" borderId="1" xfId="0" applyNumberFormat="1" applyFont="1" applyBorder="1" applyAlignment="1">
      <alignment horizontal="left" vertical="top" wrapText="1"/>
    </xf>
    <xf numFmtId="0" fontId="3" fillId="0" borderId="10" xfId="0" applyNumberFormat="1" applyFont="1" applyBorder="1" applyAlignment="1">
      <alignment horizontal="left" vertical="top" wrapText="1"/>
    </xf>
    <xf numFmtId="0" fontId="3" fillId="0" borderId="7" xfId="0" applyNumberFormat="1" applyFont="1" applyBorder="1" applyAlignment="1">
      <alignment horizontal="left" vertical="top" wrapText="1"/>
    </xf>
    <xf numFmtId="0" fontId="3" fillId="0" borderId="6" xfId="0" applyNumberFormat="1" applyFont="1" applyBorder="1" applyAlignment="1">
      <alignment horizontal="left" vertical="top" wrapText="1"/>
    </xf>
    <xf numFmtId="0" fontId="3" fillId="0" borderId="8" xfId="0" applyNumberFormat="1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center"/>
    </xf>
    <xf numFmtId="0" fontId="3" fillId="0" borderId="2" xfId="0" applyFont="1" applyBorder="1" applyAlignment="1">
      <alignment horizontal="right" vertical="center"/>
    </xf>
    <xf numFmtId="176" fontId="3" fillId="0" borderId="5" xfId="0" applyNumberFormat="1" applyFont="1" applyBorder="1" applyAlignment="1">
      <alignment horizontal="left" vertical="center" shrinkToFit="1"/>
    </xf>
    <xf numFmtId="176" fontId="3" fillId="0" borderId="5" xfId="0" applyNumberFormat="1" applyFont="1" applyBorder="1" applyAlignment="1">
      <alignment horizontal="left" vertical="center"/>
    </xf>
    <xf numFmtId="1" fontId="3" fillId="0" borderId="5" xfId="0" applyNumberFormat="1" applyFont="1" applyBorder="1" applyAlignment="1">
      <alignment horizontal="right" vertical="center" shrinkToFit="1"/>
    </xf>
    <xf numFmtId="1" fontId="3" fillId="0" borderId="2" xfId="0" applyNumberFormat="1" applyFont="1" applyBorder="1" applyAlignment="1">
      <alignment horizontal="right" vertical="center" shrinkToFit="1"/>
    </xf>
    <xf numFmtId="0" fontId="5" fillId="0" borderId="0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3" fillId="0" borderId="5" xfId="0" applyFont="1" applyBorder="1" applyAlignment="1">
      <alignment horizontal="center" vertical="center" shrinkToFit="1"/>
    </xf>
    <xf numFmtId="1" fontId="3" fillId="0" borderId="5" xfId="0" applyNumberFormat="1" applyFont="1" applyBorder="1" applyAlignment="1">
      <alignment horizontal="right" vertical="center"/>
    </xf>
    <xf numFmtId="1" fontId="3" fillId="0" borderId="2" xfId="0" applyNumberFormat="1" applyFont="1" applyBorder="1" applyAlignment="1">
      <alignment horizontal="right" vertical="center"/>
    </xf>
    <xf numFmtId="0" fontId="3" fillId="0" borderId="5" xfId="0" applyNumberFormat="1" applyFont="1" applyBorder="1" applyAlignment="1">
      <alignment horizontal="center" vertical="center" shrinkToFit="1"/>
    </xf>
    <xf numFmtId="1" fontId="3" fillId="0" borderId="5" xfId="0" applyNumberFormat="1" applyFont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15</xdr:row>
      <xdr:rowOff>0</xdr:rowOff>
    </xdr:from>
    <xdr:to>
      <xdr:col>9</xdr:col>
      <xdr:colOff>9525</xdr:colOff>
      <xdr:row>15</xdr:row>
      <xdr:rowOff>9525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31B250B2-3C83-4657-90A7-8923551A0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486025"/>
          <a:ext cx="9525" cy="95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78578-431F-4E48-81CB-67FEDFD38A7E}">
  <dimension ref="A1:E632"/>
  <sheetViews>
    <sheetView workbookViewId="0"/>
  </sheetViews>
  <sheetFormatPr defaultRowHeight="18.75" x14ac:dyDescent="0.4"/>
  <cols>
    <col min="1" max="16384" width="9" style="1"/>
  </cols>
  <sheetData>
    <row r="1" spans="1:5" ht="37.5" x14ac:dyDescent="0.4">
      <c r="A1" s="1" t="s">
        <v>3</v>
      </c>
      <c r="B1" s="1" t="s">
        <v>4</v>
      </c>
      <c r="C1" s="1" t="s">
        <v>5</v>
      </c>
      <c r="D1" s="1" t="s">
        <v>1</v>
      </c>
      <c r="E1" s="3" t="s">
        <v>6</v>
      </c>
    </row>
    <row r="2" spans="1:5" ht="93.75" x14ac:dyDescent="0.4">
      <c r="A2" s="1" t="s">
        <v>3</v>
      </c>
      <c r="B2" s="1" t="s">
        <v>38</v>
      </c>
      <c r="C2" s="1" t="s">
        <v>39</v>
      </c>
      <c r="D2" s="1" t="s">
        <v>1</v>
      </c>
      <c r="E2" s="3" t="s">
        <v>40</v>
      </c>
    </row>
    <row r="3" spans="1:5" ht="56.25" x14ac:dyDescent="0.4">
      <c r="A3" s="1" t="s">
        <v>3</v>
      </c>
      <c r="B3" s="1" t="s">
        <v>44</v>
      </c>
      <c r="C3" s="1" t="s">
        <v>45</v>
      </c>
      <c r="D3" s="1" t="s">
        <v>1</v>
      </c>
      <c r="E3" s="3" t="s">
        <v>46</v>
      </c>
    </row>
    <row r="4" spans="1:5" ht="409.5" x14ac:dyDescent="0.4">
      <c r="A4" s="1" t="s">
        <v>3</v>
      </c>
      <c r="B4" s="1" t="s">
        <v>91</v>
      </c>
      <c r="C4" s="1" t="s">
        <v>77</v>
      </c>
      <c r="D4" s="1" t="s">
        <v>89</v>
      </c>
      <c r="E4" s="3" t="s">
        <v>92</v>
      </c>
    </row>
    <row r="5" spans="1:5" ht="56.25" x14ac:dyDescent="0.4">
      <c r="A5" s="1" t="s">
        <v>3</v>
      </c>
      <c r="B5" s="1" t="s">
        <v>93</v>
      </c>
      <c r="C5" s="1" t="s">
        <v>45</v>
      </c>
      <c r="D5" s="1" t="s">
        <v>1</v>
      </c>
      <c r="E5" s="3" t="s">
        <v>46</v>
      </c>
    </row>
    <row r="6" spans="1:5" ht="56.25" x14ac:dyDescent="0.4">
      <c r="A6" s="1" t="s">
        <v>3</v>
      </c>
      <c r="B6" s="1" t="s">
        <v>94</v>
      </c>
      <c r="C6" s="1" t="s">
        <v>45</v>
      </c>
      <c r="D6" s="1" t="s">
        <v>1</v>
      </c>
      <c r="E6" s="3" t="s">
        <v>46</v>
      </c>
    </row>
    <row r="7" spans="1:5" ht="409.5" x14ac:dyDescent="0.4">
      <c r="A7" s="1" t="s">
        <v>3</v>
      </c>
      <c r="B7" s="1" t="s">
        <v>103</v>
      </c>
      <c r="C7" s="1" t="s">
        <v>77</v>
      </c>
      <c r="D7" s="1" t="s">
        <v>102</v>
      </c>
      <c r="E7" s="3" t="s">
        <v>92</v>
      </c>
    </row>
    <row r="8" spans="1:5" x14ac:dyDescent="0.4">
      <c r="A8" s="1" t="s">
        <v>3</v>
      </c>
      <c r="B8" s="1" t="s">
        <v>103</v>
      </c>
      <c r="C8" s="1" t="s">
        <v>77</v>
      </c>
      <c r="D8" s="1" t="s">
        <v>89</v>
      </c>
      <c r="E8" s="1" t="s">
        <v>104</v>
      </c>
    </row>
    <row r="9" spans="1:5" ht="56.25" x14ac:dyDescent="0.4">
      <c r="A9" s="1" t="s">
        <v>3</v>
      </c>
      <c r="B9" s="1" t="s">
        <v>103</v>
      </c>
      <c r="C9" s="1" t="s">
        <v>45</v>
      </c>
      <c r="D9" s="1" t="s">
        <v>1</v>
      </c>
      <c r="E9" s="3" t="s">
        <v>46</v>
      </c>
    </row>
    <row r="10" spans="1:5" ht="56.25" x14ac:dyDescent="0.4">
      <c r="A10" s="1" t="s">
        <v>3</v>
      </c>
      <c r="B10" s="1" t="s">
        <v>105</v>
      </c>
      <c r="C10" s="1" t="s">
        <v>45</v>
      </c>
      <c r="D10" s="1" t="s">
        <v>1</v>
      </c>
      <c r="E10" s="3" t="s">
        <v>46</v>
      </c>
    </row>
    <row r="11" spans="1:5" ht="56.25" x14ac:dyDescent="0.4">
      <c r="A11" s="1" t="s">
        <v>3</v>
      </c>
      <c r="B11" s="1" t="s">
        <v>106</v>
      </c>
      <c r="C11" s="1" t="s">
        <v>45</v>
      </c>
      <c r="D11" s="1" t="s">
        <v>1</v>
      </c>
      <c r="E11" s="3" t="s">
        <v>46</v>
      </c>
    </row>
    <row r="12" spans="1:5" ht="318.75" x14ac:dyDescent="0.4">
      <c r="A12" s="1" t="s">
        <v>3</v>
      </c>
      <c r="B12" s="1" t="s">
        <v>164</v>
      </c>
      <c r="C12" s="1" t="s">
        <v>107</v>
      </c>
      <c r="D12" s="1" t="s">
        <v>127</v>
      </c>
      <c r="E12" s="3" t="s">
        <v>165</v>
      </c>
    </row>
    <row r="13" spans="1:5" ht="318.75" x14ac:dyDescent="0.4">
      <c r="A13" s="1" t="s">
        <v>3</v>
      </c>
      <c r="B13" s="1" t="s">
        <v>164</v>
      </c>
      <c r="C13" s="1" t="s">
        <v>115</v>
      </c>
      <c r="D13" s="1" t="s">
        <v>131</v>
      </c>
      <c r="E13" s="3" t="s">
        <v>166</v>
      </c>
    </row>
    <row r="14" spans="1:5" ht="243.75" x14ac:dyDescent="0.4">
      <c r="A14" s="1" t="s">
        <v>3</v>
      </c>
      <c r="B14" s="1" t="s">
        <v>164</v>
      </c>
      <c r="C14" s="1" t="s">
        <v>116</v>
      </c>
      <c r="D14" s="1" t="s">
        <v>136</v>
      </c>
      <c r="E14" s="3" t="s">
        <v>167</v>
      </c>
    </row>
    <row r="15" spans="1:5" ht="409.5" x14ac:dyDescent="0.4">
      <c r="A15" s="1" t="s">
        <v>3</v>
      </c>
      <c r="B15" s="1" t="s">
        <v>164</v>
      </c>
      <c r="C15" s="1" t="s">
        <v>117</v>
      </c>
      <c r="D15" s="1" t="s">
        <v>140</v>
      </c>
      <c r="E15" s="3" t="s">
        <v>168</v>
      </c>
    </row>
    <row r="16" spans="1:5" ht="300" x14ac:dyDescent="0.4">
      <c r="A16" s="1" t="s">
        <v>3</v>
      </c>
      <c r="B16" s="1" t="s">
        <v>164</v>
      </c>
      <c r="C16" s="1" t="s">
        <v>108</v>
      </c>
      <c r="D16" s="1" t="s">
        <v>144</v>
      </c>
      <c r="E16" s="3" t="s">
        <v>169</v>
      </c>
    </row>
    <row r="17" spans="1:5" ht="300" x14ac:dyDescent="0.4">
      <c r="A17" s="1" t="s">
        <v>3</v>
      </c>
      <c r="B17" s="1" t="s">
        <v>164</v>
      </c>
      <c r="C17" s="1" t="s">
        <v>112</v>
      </c>
      <c r="D17" s="1" t="s">
        <v>148</v>
      </c>
      <c r="E17" s="3" t="s">
        <v>170</v>
      </c>
    </row>
    <row r="18" spans="1:5" ht="356.25" x14ac:dyDescent="0.4">
      <c r="A18" s="1" t="s">
        <v>3</v>
      </c>
      <c r="B18" s="1" t="s">
        <v>164</v>
      </c>
      <c r="C18" s="1" t="s">
        <v>113</v>
      </c>
      <c r="D18" s="1" t="s">
        <v>152</v>
      </c>
      <c r="E18" s="3" t="s">
        <v>171</v>
      </c>
    </row>
    <row r="19" spans="1:5" ht="409.5" x14ac:dyDescent="0.4">
      <c r="A19" s="1" t="s">
        <v>3</v>
      </c>
      <c r="B19" s="1" t="s">
        <v>164</v>
      </c>
      <c r="C19" s="1" t="s">
        <v>118</v>
      </c>
      <c r="D19" s="1" t="s">
        <v>159</v>
      </c>
      <c r="E19" s="3" t="s">
        <v>172</v>
      </c>
    </row>
    <row r="20" spans="1:5" ht="318.75" x14ac:dyDescent="0.4">
      <c r="A20" s="1" t="s">
        <v>3</v>
      </c>
      <c r="B20" s="1" t="s">
        <v>164</v>
      </c>
      <c r="C20" s="1" t="s">
        <v>114</v>
      </c>
      <c r="D20" s="1" t="s">
        <v>163</v>
      </c>
      <c r="E20" s="3" t="s">
        <v>173</v>
      </c>
    </row>
    <row r="21" spans="1:5" ht="56.25" x14ac:dyDescent="0.4">
      <c r="A21" s="1" t="s">
        <v>3</v>
      </c>
      <c r="B21" s="1" t="s">
        <v>164</v>
      </c>
      <c r="C21" s="1" t="s">
        <v>174</v>
      </c>
      <c r="D21" s="1" t="s">
        <v>175</v>
      </c>
      <c r="E21" s="3" t="s">
        <v>176</v>
      </c>
    </row>
    <row r="22" spans="1:5" ht="206.25" x14ac:dyDescent="0.4">
      <c r="A22" s="1" t="s">
        <v>3</v>
      </c>
      <c r="B22" s="1" t="s">
        <v>177</v>
      </c>
      <c r="C22" s="1" t="s">
        <v>115</v>
      </c>
      <c r="D22" s="1" t="s">
        <v>131</v>
      </c>
      <c r="E22" s="3" t="s">
        <v>178</v>
      </c>
    </row>
    <row r="23" spans="1:5" ht="300" x14ac:dyDescent="0.4">
      <c r="A23" s="1" t="s">
        <v>3</v>
      </c>
      <c r="B23" s="1" t="s">
        <v>289</v>
      </c>
      <c r="C23" s="1" t="s">
        <v>179</v>
      </c>
      <c r="D23" s="1" t="s">
        <v>210</v>
      </c>
      <c r="E23" s="3" t="s">
        <v>290</v>
      </c>
    </row>
    <row r="24" spans="1:5" ht="281.25" x14ac:dyDescent="0.4">
      <c r="A24" s="1" t="s">
        <v>3</v>
      </c>
      <c r="B24" s="1" t="s">
        <v>289</v>
      </c>
      <c r="C24" s="1" t="s">
        <v>186</v>
      </c>
      <c r="D24" s="1" t="s">
        <v>216</v>
      </c>
      <c r="E24" s="3" t="s">
        <v>291</v>
      </c>
    </row>
    <row r="25" spans="1:5" ht="318.75" x14ac:dyDescent="0.4">
      <c r="A25" s="1" t="s">
        <v>3</v>
      </c>
      <c r="B25" s="1" t="s">
        <v>289</v>
      </c>
      <c r="C25" s="1" t="s">
        <v>180</v>
      </c>
      <c r="D25" s="1" t="s">
        <v>221</v>
      </c>
      <c r="E25" s="3" t="s">
        <v>292</v>
      </c>
    </row>
    <row r="26" spans="1:5" ht="300" x14ac:dyDescent="0.4">
      <c r="A26" s="1" t="s">
        <v>3</v>
      </c>
      <c r="B26" s="1" t="s">
        <v>289</v>
      </c>
      <c r="C26" s="1" t="s">
        <v>187</v>
      </c>
      <c r="D26" s="1" t="s">
        <v>225</v>
      </c>
      <c r="E26" s="3" t="s">
        <v>293</v>
      </c>
    </row>
    <row r="27" spans="1:5" ht="318.75" x14ac:dyDescent="0.4">
      <c r="A27" s="1" t="s">
        <v>3</v>
      </c>
      <c r="B27" s="1" t="s">
        <v>289</v>
      </c>
      <c r="C27" s="1" t="s">
        <v>181</v>
      </c>
      <c r="D27" s="1" t="s">
        <v>229</v>
      </c>
      <c r="E27" s="3" t="s">
        <v>294</v>
      </c>
    </row>
    <row r="28" spans="1:5" ht="300" x14ac:dyDescent="0.4">
      <c r="A28" s="1" t="s">
        <v>3</v>
      </c>
      <c r="B28" s="1" t="s">
        <v>289</v>
      </c>
      <c r="C28" s="1" t="s">
        <v>188</v>
      </c>
      <c r="D28" s="1" t="s">
        <v>234</v>
      </c>
      <c r="E28" s="3" t="s">
        <v>295</v>
      </c>
    </row>
    <row r="29" spans="1:5" ht="409.5" x14ac:dyDescent="0.4">
      <c r="A29" s="1" t="s">
        <v>3</v>
      </c>
      <c r="B29" s="1" t="s">
        <v>289</v>
      </c>
      <c r="C29" s="1" t="s">
        <v>182</v>
      </c>
      <c r="D29" s="1" t="s">
        <v>238</v>
      </c>
      <c r="E29" s="3" t="s">
        <v>296</v>
      </c>
    </row>
    <row r="30" spans="1:5" ht="262.5" x14ac:dyDescent="0.4">
      <c r="A30" s="1" t="s">
        <v>3</v>
      </c>
      <c r="B30" s="1" t="s">
        <v>289</v>
      </c>
      <c r="C30" s="1" t="s">
        <v>189</v>
      </c>
      <c r="D30" s="1" t="s">
        <v>239</v>
      </c>
      <c r="E30" s="3" t="s">
        <v>297</v>
      </c>
    </row>
    <row r="31" spans="1:5" ht="409.5" x14ac:dyDescent="0.4">
      <c r="A31" s="1" t="s">
        <v>3</v>
      </c>
      <c r="B31" s="1" t="s">
        <v>289</v>
      </c>
      <c r="C31" s="1" t="s">
        <v>183</v>
      </c>
      <c r="D31" s="1" t="s">
        <v>243</v>
      </c>
      <c r="E31" s="3" t="s">
        <v>298</v>
      </c>
    </row>
    <row r="32" spans="1:5" ht="262.5" x14ac:dyDescent="0.4">
      <c r="A32" s="1" t="s">
        <v>3</v>
      </c>
      <c r="B32" s="1" t="s">
        <v>289</v>
      </c>
      <c r="C32" s="1" t="s">
        <v>190</v>
      </c>
      <c r="D32" s="1" t="s">
        <v>245</v>
      </c>
      <c r="E32" s="3" t="s">
        <v>299</v>
      </c>
    </row>
    <row r="33" spans="1:5" ht="262.5" x14ac:dyDescent="0.4">
      <c r="A33" s="1" t="s">
        <v>3</v>
      </c>
      <c r="B33" s="1" t="s">
        <v>289</v>
      </c>
      <c r="C33" s="1" t="s">
        <v>193</v>
      </c>
      <c r="D33" s="1" t="s">
        <v>249</v>
      </c>
      <c r="E33" s="3" t="s">
        <v>300</v>
      </c>
    </row>
    <row r="34" spans="1:5" ht="300" x14ac:dyDescent="0.4">
      <c r="A34" s="1" t="s">
        <v>3</v>
      </c>
      <c r="B34" s="1" t="s">
        <v>289</v>
      </c>
      <c r="C34" s="1" t="s">
        <v>195</v>
      </c>
      <c r="D34" s="1" t="s">
        <v>253</v>
      </c>
      <c r="E34" s="3" t="s">
        <v>301</v>
      </c>
    </row>
    <row r="35" spans="1:5" ht="409.5" x14ac:dyDescent="0.4">
      <c r="A35" s="1" t="s">
        <v>3</v>
      </c>
      <c r="B35" s="1" t="s">
        <v>289</v>
      </c>
      <c r="C35" s="1" t="s">
        <v>184</v>
      </c>
      <c r="D35" s="1" t="s">
        <v>256</v>
      </c>
      <c r="E35" s="3" t="s">
        <v>302</v>
      </c>
    </row>
    <row r="36" spans="1:5" ht="262.5" x14ac:dyDescent="0.4">
      <c r="A36" s="1" t="s">
        <v>3</v>
      </c>
      <c r="B36" s="1" t="s">
        <v>289</v>
      </c>
      <c r="C36" s="1" t="s">
        <v>196</v>
      </c>
      <c r="D36" s="1" t="s">
        <v>261</v>
      </c>
      <c r="E36" s="3" t="s">
        <v>303</v>
      </c>
    </row>
    <row r="37" spans="1:5" ht="262.5" x14ac:dyDescent="0.4">
      <c r="A37" s="1" t="s">
        <v>3</v>
      </c>
      <c r="B37" s="1" t="s">
        <v>289</v>
      </c>
      <c r="C37" s="1" t="s">
        <v>197</v>
      </c>
      <c r="D37" s="1" t="s">
        <v>265</v>
      </c>
      <c r="E37" s="3" t="s">
        <v>304</v>
      </c>
    </row>
    <row r="38" spans="1:5" ht="262.5" x14ac:dyDescent="0.4">
      <c r="A38" s="1" t="s">
        <v>3</v>
      </c>
      <c r="B38" s="1" t="s">
        <v>289</v>
      </c>
      <c r="C38" s="1" t="s">
        <v>198</v>
      </c>
      <c r="D38" s="1" t="s">
        <v>269</v>
      </c>
      <c r="E38" s="3" t="s">
        <v>305</v>
      </c>
    </row>
    <row r="39" spans="1:5" ht="281.25" x14ac:dyDescent="0.4">
      <c r="A39" s="1" t="s">
        <v>3</v>
      </c>
      <c r="B39" s="1" t="s">
        <v>289</v>
      </c>
      <c r="C39" s="1" t="s">
        <v>199</v>
      </c>
      <c r="D39" s="1" t="s">
        <v>273</v>
      </c>
      <c r="E39" s="3" t="s">
        <v>306</v>
      </c>
    </row>
    <row r="40" spans="1:5" ht="409.5" x14ac:dyDescent="0.4">
      <c r="A40" s="1" t="s">
        <v>3</v>
      </c>
      <c r="B40" s="1" t="s">
        <v>289</v>
      </c>
      <c r="C40" s="1" t="s">
        <v>185</v>
      </c>
      <c r="D40" s="1" t="s">
        <v>274</v>
      </c>
      <c r="E40" s="3" t="s">
        <v>307</v>
      </c>
    </row>
    <row r="41" spans="1:5" ht="262.5" x14ac:dyDescent="0.4">
      <c r="A41" s="1" t="s">
        <v>3</v>
      </c>
      <c r="B41" s="1" t="s">
        <v>289</v>
      </c>
      <c r="C41" s="1" t="s">
        <v>200</v>
      </c>
      <c r="D41" s="1" t="s">
        <v>278</v>
      </c>
      <c r="E41" s="3" t="s">
        <v>308</v>
      </c>
    </row>
    <row r="42" spans="1:5" ht="262.5" x14ac:dyDescent="0.4">
      <c r="A42" s="1" t="s">
        <v>3</v>
      </c>
      <c r="B42" s="1" t="s">
        <v>289</v>
      </c>
      <c r="C42" s="1" t="s">
        <v>197</v>
      </c>
      <c r="D42" s="1" t="s">
        <v>279</v>
      </c>
      <c r="E42" s="3" t="s">
        <v>304</v>
      </c>
    </row>
    <row r="43" spans="1:5" ht="262.5" x14ac:dyDescent="0.4">
      <c r="A43" s="1" t="s">
        <v>3</v>
      </c>
      <c r="B43" s="1" t="s">
        <v>289</v>
      </c>
      <c r="C43" s="1" t="s">
        <v>201</v>
      </c>
      <c r="D43" s="1" t="s">
        <v>284</v>
      </c>
      <c r="E43" s="3" t="s">
        <v>309</v>
      </c>
    </row>
    <row r="44" spans="1:5" ht="393.75" x14ac:dyDescent="0.4">
      <c r="A44" s="1" t="s">
        <v>3</v>
      </c>
      <c r="B44" s="1" t="s">
        <v>289</v>
      </c>
      <c r="C44" s="1" t="s">
        <v>203</v>
      </c>
      <c r="D44" s="1" t="s">
        <v>288</v>
      </c>
      <c r="E44" s="3" t="s">
        <v>310</v>
      </c>
    </row>
    <row r="45" spans="1:5" ht="56.25" x14ac:dyDescent="0.4">
      <c r="A45" s="1" t="s">
        <v>3</v>
      </c>
      <c r="B45" s="1" t="s">
        <v>289</v>
      </c>
      <c r="C45" s="1" t="s">
        <v>311</v>
      </c>
      <c r="D45" s="1" t="s">
        <v>175</v>
      </c>
      <c r="E45" s="3" t="s">
        <v>176</v>
      </c>
    </row>
    <row r="46" spans="1:5" ht="56.25" x14ac:dyDescent="0.4">
      <c r="A46" s="1" t="s">
        <v>3</v>
      </c>
      <c r="B46" s="1" t="s">
        <v>289</v>
      </c>
      <c r="C46" s="1" t="s">
        <v>312</v>
      </c>
      <c r="D46" s="1" t="s">
        <v>175</v>
      </c>
      <c r="E46" s="3" t="s">
        <v>176</v>
      </c>
    </row>
    <row r="47" spans="1:5" ht="56.25" x14ac:dyDescent="0.4">
      <c r="A47" s="1" t="s">
        <v>3</v>
      </c>
      <c r="B47" s="1" t="s">
        <v>289</v>
      </c>
      <c r="C47" s="1" t="s">
        <v>313</v>
      </c>
      <c r="D47" s="1" t="s">
        <v>175</v>
      </c>
      <c r="E47" s="3" t="s">
        <v>176</v>
      </c>
    </row>
    <row r="48" spans="1:5" ht="56.25" x14ac:dyDescent="0.4">
      <c r="A48" s="1" t="s">
        <v>3</v>
      </c>
      <c r="B48" s="1" t="s">
        <v>289</v>
      </c>
      <c r="C48" s="1" t="s">
        <v>314</v>
      </c>
      <c r="D48" s="1" t="s">
        <v>175</v>
      </c>
      <c r="E48" s="3" t="s">
        <v>176</v>
      </c>
    </row>
    <row r="49" spans="1:5" ht="409.5" x14ac:dyDescent="0.4">
      <c r="A49" s="1" t="s">
        <v>3</v>
      </c>
      <c r="B49" s="1" t="s">
        <v>371</v>
      </c>
      <c r="C49" s="1" t="s">
        <v>184</v>
      </c>
      <c r="D49" s="1" t="s">
        <v>256</v>
      </c>
      <c r="E49" s="3" t="s">
        <v>372</v>
      </c>
    </row>
    <row r="50" spans="1:5" ht="75" x14ac:dyDescent="0.4">
      <c r="A50" s="1" t="s">
        <v>3</v>
      </c>
      <c r="B50" s="1" t="s">
        <v>371</v>
      </c>
      <c r="C50" s="1" t="s">
        <v>198</v>
      </c>
      <c r="D50" s="1" t="s">
        <v>269</v>
      </c>
      <c r="E50" s="3" t="s">
        <v>373</v>
      </c>
    </row>
    <row r="51" spans="1:5" ht="356.25" x14ac:dyDescent="0.4">
      <c r="A51" s="1" t="s">
        <v>3</v>
      </c>
      <c r="B51" s="1" t="s">
        <v>371</v>
      </c>
      <c r="C51" s="1" t="s">
        <v>316</v>
      </c>
      <c r="D51" s="1" t="s">
        <v>331</v>
      </c>
      <c r="E51" s="3" t="s">
        <v>374</v>
      </c>
    </row>
    <row r="52" spans="1:5" ht="318.75" x14ac:dyDescent="0.4">
      <c r="A52" s="1" t="s">
        <v>3</v>
      </c>
      <c r="B52" s="1" t="s">
        <v>371</v>
      </c>
      <c r="C52" s="1" t="s">
        <v>317</v>
      </c>
      <c r="D52" s="1" t="s">
        <v>334</v>
      </c>
      <c r="E52" s="3" t="s">
        <v>375</v>
      </c>
    </row>
    <row r="53" spans="1:5" ht="318.75" x14ac:dyDescent="0.4">
      <c r="A53" s="1" t="s">
        <v>3</v>
      </c>
      <c r="B53" s="1" t="s">
        <v>371</v>
      </c>
      <c r="C53" s="1" t="s">
        <v>318</v>
      </c>
      <c r="D53" s="1" t="s">
        <v>338</v>
      </c>
      <c r="E53" s="3" t="s">
        <v>376</v>
      </c>
    </row>
    <row r="54" spans="1:5" ht="318.75" x14ac:dyDescent="0.4">
      <c r="A54" s="1" t="s">
        <v>3</v>
      </c>
      <c r="B54" s="1" t="s">
        <v>371</v>
      </c>
      <c r="C54" s="1" t="s">
        <v>319</v>
      </c>
      <c r="D54" s="1" t="s">
        <v>342</v>
      </c>
      <c r="E54" s="3" t="s">
        <v>377</v>
      </c>
    </row>
    <row r="55" spans="1:5" ht="300" x14ac:dyDescent="0.4">
      <c r="A55" s="1" t="s">
        <v>3</v>
      </c>
      <c r="B55" s="1" t="s">
        <v>371</v>
      </c>
      <c r="C55" s="1" t="s">
        <v>323</v>
      </c>
      <c r="D55" s="1" t="s">
        <v>348</v>
      </c>
      <c r="E55" s="3" t="s">
        <v>378</v>
      </c>
    </row>
    <row r="56" spans="1:5" ht="281.25" x14ac:dyDescent="0.4">
      <c r="A56" s="1" t="s">
        <v>3</v>
      </c>
      <c r="B56" s="1" t="s">
        <v>371</v>
      </c>
      <c r="C56" s="1" t="s">
        <v>320</v>
      </c>
      <c r="D56" s="1" t="s">
        <v>352</v>
      </c>
      <c r="E56" s="3" t="s">
        <v>379</v>
      </c>
    </row>
    <row r="57" spans="1:5" ht="318.75" x14ac:dyDescent="0.4">
      <c r="A57" s="1" t="s">
        <v>3</v>
      </c>
      <c r="B57" s="1" t="s">
        <v>371</v>
      </c>
      <c r="C57" s="1" t="s">
        <v>321</v>
      </c>
      <c r="D57" s="1" t="s">
        <v>355</v>
      </c>
      <c r="E57" s="3" t="s">
        <v>380</v>
      </c>
    </row>
    <row r="58" spans="1:5" ht="300" x14ac:dyDescent="0.4">
      <c r="A58" s="1" t="s">
        <v>3</v>
      </c>
      <c r="B58" s="1" t="s">
        <v>371</v>
      </c>
      <c r="C58" s="1" t="s">
        <v>322</v>
      </c>
      <c r="D58" s="1" t="s">
        <v>358</v>
      </c>
      <c r="E58" s="3" t="s">
        <v>381</v>
      </c>
    </row>
    <row r="59" spans="1:5" ht="262.5" x14ac:dyDescent="0.4">
      <c r="A59" s="1" t="s">
        <v>3</v>
      </c>
      <c r="B59" s="1" t="s">
        <v>371</v>
      </c>
      <c r="C59" s="1" t="s">
        <v>325</v>
      </c>
      <c r="D59" s="1" t="s">
        <v>361</v>
      </c>
      <c r="E59" s="3" t="s">
        <v>382</v>
      </c>
    </row>
    <row r="60" spans="1:5" ht="318.75" x14ac:dyDescent="0.4">
      <c r="A60" s="1" t="s">
        <v>3</v>
      </c>
      <c r="B60" s="1" t="s">
        <v>371</v>
      </c>
      <c r="C60" s="1" t="s">
        <v>326</v>
      </c>
      <c r="D60" s="1" t="s">
        <v>366</v>
      </c>
      <c r="E60" s="3" t="s">
        <v>383</v>
      </c>
    </row>
    <row r="61" spans="1:5" ht="281.25" x14ac:dyDescent="0.4">
      <c r="A61" s="1" t="s">
        <v>3</v>
      </c>
      <c r="B61" s="1" t="s">
        <v>371</v>
      </c>
      <c r="C61" s="1" t="s">
        <v>327</v>
      </c>
      <c r="D61" s="1" t="s">
        <v>370</v>
      </c>
      <c r="E61" s="3" t="s">
        <v>384</v>
      </c>
    </row>
    <row r="62" spans="1:5" ht="409.5" x14ac:dyDescent="0.4">
      <c r="A62" s="1" t="s">
        <v>3</v>
      </c>
      <c r="B62" s="1" t="s">
        <v>387</v>
      </c>
      <c r="C62" s="1" t="s">
        <v>184</v>
      </c>
      <c r="D62" s="1" t="s">
        <v>256</v>
      </c>
      <c r="E62" s="3" t="s">
        <v>372</v>
      </c>
    </row>
    <row r="63" spans="1:5" ht="281.25" x14ac:dyDescent="0.4">
      <c r="A63" s="1" t="s">
        <v>3</v>
      </c>
      <c r="B63" s="1" t="s">
        <v>387</v>
      </c>
      <c r="C63" s="1" t="s">
        <v>320</v>
      </c>
      <c r="D63" s="1" t="s">
        <v>385</v>
      </c>
      <c r="E63" s="3" t="s">
        <v>379</v>
      </c>
    </row>
    <row r="64" spans="1:5" ht="318.75" x14ac:dyDescent="0.4">
      <c r="A64" s="1" t="s">
        <v>3</v>
      </c>
      <c r="B64" s="1" t="s">
        <v>387</v>
      </c>
      <c r="C64" s="1" t="s">
        <v>321</v>
      </c>
      <c r="D64" s="1" t="s">
        <v>386</v>
      </c>
      <c r="E64" s="3" t="s">
        <v>380</v>
      </c>
    </row>
    <row r="65" spans="1:5" x14ac:dyDescent="0.4">
      <c r="A65" s="1" t="s">
        <v>3</v>
      </c>
      <c r="B65" s="1" t="s">
        <v>387</v>
      </c>
      <c r="C65" s="1" t="s">
        <v>320</v>
      </c>
      <c r="D65" s="1" t="s">
        <v>352</v>
      </c>
      <c r="E65" s="1" t="s">
        <v>104</v>
      </c>
    </row>
    <row r="66" spans="1:5" x14ac:dyDescent="0.4">
      <c r="A66" s="1" t="s">
        <v>3</v>
      </c>
      <c r="B66" s="1" t="s">
        <v>387</v>
      </c>
      <c r="C66" s="1" t="s">
        <v>321</v>
      </c>
      <c r="D66" s="1" t="s">
        <v>355</v>
      </c>
      <c r="E66" s="1" t="s">
        <v>104</v>
      </c>
    </row>
    <row r="67" spans="1:5" ht="318.75" x14ac:dyDescent="0.4">
      <c r="A67" s="1" t="s">
        <v>3</v>
      </c>
      <c r="B67" s="1" t="s">
        <v>429</v>
      </c>
      <c r="C67" s="1" t="s">
        <v>107</v>
      </c>
      <c r="D67" s="1" t="s">
        <v>388</v>
      </c>
      <c r="E67" s="3" t="s">
        <v>165</v>
      </c>
    </row>
    <row r="68" spans="1:5" ht="318.75" x14ac:dyDescent="0.4">
      <c r="A68" s="1" t="s">
        <v>3</v>
      </c>
      <c r="B68" s="1" t="s">
        <v>429</v>
      </c>
      <c r="C68" s="1" t="s">
        <v>115</v>
      </c>
      <c r="D68" s="1" t="s">
        <v>389</v>
      </c>
      <c r="E68" s="3" t="s">
        <v>383</v>
      </c>
    </row>
    <row r="69" spans="1:5" ht="243.75" x14ac:dyDescent="0.4">
      <c r="A69" s="1" t="s">
        <v>3</v>
      </c>
      <c r="B69" s="1" t="s">
        <v>429</v>
      </c>
      <c r="C69" s="1" t="s">
        <v>116</v>
      </c>
      <c r="D69" s="1" t="s">
        <v>390</v>
      </c>
      <c r="E69" s="3" t="s">
        <v>167</v>
      </c>
    </row>
    <row r="70" spans="1:5" ht="409.5" x14ac:dyDescent="0.4">
      <c r="A70" s="1" t="s">
        <v>3</v>
      </c>
      <c r="B70" s="1" t="s">
        <v>429</v>
      </c>
      <c r="C70" s="1" t="s">
        <v>117</v>
      </c>
      <c r="D70" s="1" t="s">
        <v>391</v>
      </c>
      <c r="E70" s="3" t="s">
        <v>430</v>
      </c>
    </row>
    <row r="71" spans="1:5" ht="300" x14ac:dyDescent="0.4">
      <c r="A71" s="1" t="s">
        <v>3</v>
      </c>
      <c r="B71" s="1" t="s">
        <v>429</v>
      </c>
      <c r="C71" s="1" t="s">
        <v>108</v>
      </c>
      <c r="D71" s="1" t="s">
        <v>392</v>
      </c>
      <c r="E71" s="3" t="s">
        <v>169</v>
      </c>
    </row>
    <row r="72" spans="1:5" ht="300" x14ac:dyDescent="0.4">
      <c r="A72" s="1" t="s">
        <v>3</v>
      </c>
      <c r="B72" s="1" t="s">
        <v>429</v>
      </c>
      <c r="C72" s="1" t="s">
        <v>112</v>
      </c>
      <c r="D72" s="1" t="s">
        <v>393</v>
      </c>
      <c r="E72" s="3" t="s">
        <v>170</v>
      </c>
    </row>
    <row r="73" spans="1:5" ht="356.25" x14ac:dyDescent="0.4">
      <c r="A73" s="1" t="s">
        <v>3</v>
      </c>
      <c r="B73" s="1" t="s">
        <v>429</v>
      </c>
      <c r="C73" s="1" t="s">
        <v>113</v>
      </c>
      <c r="D73" s="1" t="s">
        <v>394</v>
      </c>
      <c r="E73" s="3" t="s">
        <v>171</v>
      </c>
    </row>
    <row r="74" spans="1:5" ht="409.5" x14ac:dyDescent="0.4">
      <c r="A74" s="1" t="s">
        <v>3</v>
      </c>
      <c r="B74" s="1" t="s">
        <v>429</v>
      </c>
      <c r="C74" s="1" t="s">
        <v>118</v>
      </c>
      <c r="D74" s="1" t="s">
        <v>395</v>
      </c>
      <c r="E74" s="3" t="s">
        <v>431</v>
      </c>
    </row>
    <row r="75" spans="1:5" ht="318.75" x14ac:dyDescent="0.4">
      <c r="A75" s="1" t="s">
        <v>3</v>
      </c>
      <c r="B75" s="1" t="s">
        <v>429</v>
      </c>
      <c r="C75" s="1" t="s">
        <v>114</v>
      </c>
      <c r="D75" s="1" t="s">
        <v>396</v>
      </c>
      <c r="E75" s="3" t="s">
        <v>173</v>
      </c>
    </row>
    <row r="76" spans="1:5" ht="300" x14ac:dyDescent="0.4">
      <c r="A76" s="1" t="s">
        <v>3</v>
      </c>
      <c r="B76" s="1" t="s">
        <v>429</v>
      </c>
      <c r="C76" s="1" t="s">
        <v>179</v>
      </c>
      <c r="D76" s="1" t="s">
        <v>397</v>
      </c>
      <c r="E76" s="3" t="s">
        <v>290</v>
      </c>
    </row>
    <row r="77" spans="1:5" ht="281.25" x14ac:dyDescent="0.4">
      <c r="A77" s="1" t="s">
        <v>3</v>
      </c>
      <c r="B77" s="1" t="s">
        <v>429</v>
      </c>
      <c r="C77" s="1" t="s">
        <v>186</v>
      </c>
      <c r="D77" s="1" t="s">
        <v>398</v>
      </c>
      <c r="E77" s="3" t="s">
        <v>291</v>
      </c>
    </row>
    <row r="78" spans="1:5" ht="318.75" x14ac:dyDescent="0.4">
      <c r="A78" s="1" t="s">
        <v>3</v>
      </c>
      <c r="B78" s="1" t="s">
        <v>429</v>
      </c>
      <c r="C78" s="1" t="s">
        <v>180</v>
      </c>
      <c r="D78" s="1" t="s">
        <v>399</v>
      </c>
      <c r="E78" s="3" t="s">
        <v>383</v>
      </c>
    </row>
    <row r="79" spans="1:5" ht="300" x14ac:dyDescent="0.4">
      <c r="A79" s="1" t="s">
        <v>3</v>
      </c>
      <c r="B79" s="1" t="s">
        <v>429</v>
      </c>
      <c r="C79" s="1" t="s">
        <v>187</v>
      </c>
      <c r="D79" s="1" t="s">
        <v>400</v>
      </c>
      <c r="E79" s="3" t="s">
        <v>293</v>
      </c>
    </row>
    <row r="80" spans="1:5" ht="318.75" x14ac:dyDescent="0.4">
      <c r="A80" s="1" t="s">
        <v>3</v>
      </c>
      <c r="B80" s="1" t="s">
        <v>429</v>
      </c>
      <c r="C80" s="1" t="s">
        <v>181</v>
      </c>
      <c r="D80" s="1" t="s">
        <v>401</v>
      </c>
      <c r="E80" s="3" t="s">
        <v>432</v>
      </c>
    </row>
    <row r="81" spans="1:5" ht="300" x14ac:dyDescent="0.4">
      <c r="A81" s="1" t="s">
        <v>3</v>
      </c>
      <c r="B81" s="1" t="s">
        <v>429</v>
      </c>
      <c r="C81" s="1" t="s">
        <v>188</v>
      </c>
      <c r="D81" s="1" t="s">
        <v>402</v>
      </c>
      <c r="E81" s="3" t="s">
        <v>295</v>
      </c>
    </row>
    <row r="82" spans="1:5" ht="409.5" x14ac:dyDescent="0.4">
      <c r="A82" s="1" t="s">
        <v>3</v>
      </c>
      <c r="B82" s="1" t="s">
        <v>429</v>
      </c>
      <c r="C82" s="1" t="s">
        <v>182</v>
      </c>
      <c r="D82" s="1" t="s">
        <v>403</v>
      </c>
      <c r="E82" s="3" t="s">
        <v>433</v>
      </c>
    </row>
    <row r="83" spans="1:5" ht="262.5" x14ac:dyDescent="0.4">
      <c r="A83" s="1" t="s">
        <v>3</v>
      </c>
      <c r="B83" s="1" t="s">
        <v>429</v>
      </c>
      <c r="C83" s="1" t="s">
        <v>189</v>
      </c>
      <c r="D83" s="1" t="s">
        <v>404</v>
      </c>
      <c r="E83" s="3" t="s">
        <v>434</v>
      </c>
    </row>
    <row r="84" spans="1:5" ht="262.5" x14ac:dyDescent="0.4">
      <c r="A84" s="1" t="s">
        <v>3</v>
      </c>
      <c r="B84" s="1" t="s">
        <v>429</v>
      </c>
      <c r="C84" s="1" t="s">
        <v>190</v>
      </c>
      <c r="D84" s="1" t="s">
        <v>405</v>
      </c>
      <c r="E84" s="3" t="s">
        <v>299</v>
      </c>
    </row>
    <row r="85" spans="1:5" ht="262.5" x14ac:dyDescent="0.4">
      <c r="A85" s="1" t="s">
        <v>3</v>
      </c>
      <c r="B85" s="1" t="s">
        <v>429</v>
      </c>
      <c r="C85" s="1" t="s">
        <v>193</v>
      </c>
      <c r="D85" s="1" t="s">
        <v>406</v>
      </c>
      <c r="E85" s="3" t="s">
        <v>300</v>
      </c>
    </row>
    <row r="86" spans="1:5" ht="300" x14ac:dyDescent="0.4">
      <c r="A86" s="1" t="s">
        <v>3</v>
      </c>
      <c r="B86" s="1" t="s">
        <v>429</v>
      </c>
      <c r="C86" s="1" t="s">
        <v>195</v>
      </c>
      <c r="D86" s="1" t="s">
        <v>407</v>
      </c>
      <c r="E86" s="3" t="s">
        <v>301</v>
      </c>
    </row>
    <row r="87" spans="1:5" ht="409.5" x14ac:dyDescent="0.4">
      <c r="A87" s="1" t="s">
        <v>3</v>
      </c>
      <c r="B87" s="1" t="s">
        <v>429</v>
      </c>
      <c r="C87" s="1" t="s">
        <v>184</v>
      </c>
      <c r="D87" s="1" t="s">
        <v>408</v>
      </c>
      <c r="E87" s="3" t="s">
        <v>435</v>
      </c>
    </row>
    <row r="88" spans="1:5" ht="262.5" x14ac:dyDescent="0.4">
      <c r="A88" s="1" t="s">
        <v>3</v>
      </c>
      <c r="B88" s="1" t="s">
        <v>429</v>
      </c>
      <c r="C88" s="1" t="s">
        <v>196</v>
      </c>
      <c r="D88" s="1" t="s">
        <v>409</v>
      </c>
      <c r="E88" s="3" t="s">
        <v>303</v>
      </c>
    </row>
    <row r="89" spans="1:5" ht="262.5" x14ac:dyDescent="0.4">
      <c r="A89" s="1" t="s">
        <v>3</v>
      </c>
      <c r="B89" s="1" t="s">
        <v>429</v>
      </c>
      <c r="C89" s="1" t="s">
        <v>197</v>
      </c>
      <c r="D89" s="1" t="s">
        <v>410</v>
      </c>
      <c r="E89" s="3" t="s">
        <v>304</v>
      </c>
    </row>
    <row r="90" spans="1:5" ht="262.5" x14ac:dyDescent="0.4">
      <c r="A90" s="1" t="s">
        <v>3</v>
      </c>
      <c r="B90" s="1" t="s">
        <v>429</v>
      </c>
      <c r="C90" s="1" t="s">
        <v>198</v>
      </c>
      <c r="D90" s="1" t="s">
        <v>411</v>
      </c>
      <c r="E90" s="3" t="s">
        <v>436</v>
      </c>
    </row>
    <row r="91" spans="1:5" ht="281.25" x14ac:dyDescent="0.4">
      <c r="A91" s="1" t="s">
        <v>3</v>
      </c>
      <c r="B91" s="1" t="s">
        <v>429</v>
      </c>
      <c r="C91" s="1" t="s">
        <v>199</v>
      </c>
      <c r="D91" s="1" t="s">
        <v>412</v>
      </c>
      <c r="E91" s="3" t="s">
        <v>306</v>
      </c>
    </row>
    <row r="92" spans="1:5" ht="375" x14ac:dyDescent="0.4">
      <c r="A92" s="1" t="s">
        <v>3</v>
      </c>
      <c r="B92" s="1" t="s">
        <v>429</v>
      </c>
      <c r="C92" s="1" t="s">
        <v>185</v>
      </c>
      <c r="D92" s="1" t="s">
        <v>413</v>
      </c>
      <c r="E92" s="3" t="s">
        <v>437</v>
      </c>
    </row>
    <row r="93" spans="1:5" ht="262.5" x14ac:dyDescent="0.4">
      <c r="A93" s="1" t="s">
        <v>3</v>
      </c>
      <c r="B93" s="1" t="s">
        <v>429</v>
      </c>
      <c r="C93" s="1" t="s">
        <v>200</v>
      </c>
      <c r="D93" s="1" t="s">
        <v>414</v>
      </c>
      <c r="E93" s="3" t="s">
        <v>308</v>
      </c>
    </row>
    <row r="94" spans="1:5" ht="262.5" x14ac:dyDescent="0.4">
      <c r="A94" s="1" t="s">
        <v>3</v>
      </c>
      <c r="B94" s="1" t="s">
        <v>429</v>
      </c>
      <c r="C94" s="1" t="s">
        <v>197</v>
      </c>
      <c r="D94" s="1" t="s">
        <v>415</v>
      </c>
      <c r="E94" s="3" t="s">
        <v>304</v>
      </c>
    </row>
    <row r="95" spans="1:5" ht="262.5" x14ac:dyDescent="0.4">
      <c r="A95" s="1" t="s">
        <v>3</v>
      </c>
      <c r="B95" s="1" t="s">
        <v>429</v>
      </c>
      <c r="C95" s="1" t="s">
        <v>201</v>
      </c>
      <c r="D95" s="1" t="s">
        <v>416</v>
      </c>
      <c r="E95" s="3" t="s">
        <v>309</v>
      </c>
    </row>
    <row r="96" spans="1:5" ht="393.75" x14ac:dyDescent="0.4">
      <c r="A96" s="1" t="s">
        <v>3</v>
      </c>
      <c r="B96" s="1" t="s">
        <v>429</v>
      </c>
      <c r="C96" s="1" t="s">
        <v>203</v>
      </c>
      <c r="D96" s="1" t="s">
        <v>417</v>
      </c>
      <c r="E96" s="3" t="s">
        <v>438</v>
      </c>
    </row>
    <row r="97" spans="1:5" ht="356.25" x14ac:dyDescent="0.4">
      <c r="A97" s="1" t="s">
        <v>3</v>
      </c>
      <c r="B97" s="1" t="s">
        <v>429</v>
      </c>
      <c r="C97" s="1" t="s">
        <v>316</v>
      </c>
      <c r="D97" s="1" t="s">
        <v>418</v>
      </c>
      <c r="E97" s="3" t="s">
        <v>374</v>
      </c>
    </row>
    <row r="98" spans="1:5" ht="318.75" x14ac:dyDescent="0.4">
      <c r="A98" s="1" t="s">
        <v>3</v>
      </c>
      <c r="B98" s="1" t="s">
        <v>429</v>
      </c>
      <c r="C98" s="1" t="s">
        <v>317</v>
      </c>
      <c r="D98" s="1" t="s">
        <v>419</v>
      </c>
      <c r="E98" s="3" t="s">
        <v>383</v>
      </c>
    </row>
    <row r="99" spans="1:5" ht="318.75" x14ac:dyDescent="0.4">
      <c r="A99" s="1" t="s">
        <v>3</v>
      </c>
      <c r="B99" s="1" t="s">
        <v>429</v>
      </c>
      <c r="C99" s="1" t="s">
        <v>318</v>
      </c>
      <c r="D99" s="1" t="s">
        <v>420</v>
      </c>
      <c r="E99" s="3" t="s">
        <v>376</v>
      </c>
    </row>
    <row r="100" spans="1:5" ht="318.75" x14ac:dyDescent="0.4">
      <c r="A100" s="1" t="s">
        <v>3</v>
      </c>
      <c r="B100" s="1" t="s">
        <v>429</v>
      </c>
      <c r="C100" s="1" t="s">
        <v>319</v>
      </c>
      <c r="D100" s="1" t="s">
        <v>421</v>
      </c>
      <c r="E100" s="3" t="s">
        <v>377</v>
      </c>
    </row>
    <row r="101" spans="1:5" ht="409.5" x14ac:dyDescent="0.4">
      <c r="A101" s="1" t="s">
        <v>3</v>
      </c>
      <c r="B101" s="1" t="s">
        <v>429</v>
      </c>
      <c r="C101" s="1" t="s">
        <v>77</v>
      </c>
      <c r="D101" s="1" t="s">
        <v>89</v>
      </c>
      <c r="E101" s="3" t="s">
        <v>92</v>
      </c>
    </row>
    <row r="102" spans="1:5" ht="300" x14ac:dyDescent="0.4">
      <c r="A102" s="1" t="s">
        <v>3</v>
      </c>
      <c r="B102" s="1" t="s">
        <v>429</v>
      </c>
      <c r="C102" s="1" t="s">
        <v>323</v>
      </c>
      <c r="D102" s="1" t="s">
        <v>422</v>
      </c>
      <c r="E102" s="3" t="s">
        <v>378</v>
      </c>
    </row>
    <row r="103" spans="1:5" ht="281.25" x14ac:dyDescent="0.4">
      <c r="A103" s="1" t="s">
        <v>3</v>
      </c>
      <c r="B103" s="1" t="s">
        <v>429</v>
      </c>
      <c r="C103" s="1" t="s">
        <v>320</v>
      </c>
      <c r="D103" s="1" t="s">
        <v>423</v>
      </c>
      <c r="E103" s="3" t="s">
        <v>379</v>
      </c>
    </row>
    <row r="104" spans="1:5" ht="318.75" x14ac:dyDescent="0.4">
      <c r="A104" s="1" t="s">
        <v>3</v>
      </c>
      <c r="B104" s="1" t="s">
        <v>429</v>
      </c>
      <c r="C104" s="1" t="s">
        <v>321</v>
      </c>
      <c r="D104" s="1" t="s">
        <v>424</v>
      </c>
      <c r="E104" s="3" t="s">
        <v>380</v>
      </c>
    </row>
    <row r="105" spans="1:5" ht="300" x14ac:dyDescent="0.4">
      <c r="A105" s="1" t="s">
        <v>3</v>
      </c>
      <c r="B105" s="1" t="s">
        <v>429</v>
      </c>
      <c r="C105" s="1" t="s">
        <v>322</v>
      </c>
      <c r="D105" s="1" t="s">
        <v>425</v>
      </c>
      <c r="E105" s="3" t="s">
        <v>381</v>
      </c>
    </row>
    <row r="106" spans="1:5" ht="262.5" x14ac:dyDescent="0.4">
      <c r="A106" s="1" t="s">
        <v>3</v>
      </c>
      <c r="B106" s="1" t="s">
        <v>429</v>
      </c>
      <c r="C106" s="1" t="s">
        <v>325</v>
      </c>
      <c r="D106" s="1" t="s">
        <v>426</v>
      </c>
      <c r="E106" s="3" t="s">
        <v>382</v>
      </c>
    </row>
    <row r="107" spans="1:5" ht="318.75" x14ac:dyDescent="0.4">
      <c r="A107" s="1" t="s">
        <v>3</v>
      </c>
      <c r="B107" s="1" t="s">
        <v>429</v>
      </c>
      <c r="C107" s="1" t="s">
        <v>326</v>
      </c>
      <c r="D107" s="1" t="s">
        <v>427</v>
      </c>
      <c r="E107" s="3" t="s">
        <v>383</v>
      </c>
    </row>
    <row r="108" spans="1:5" ht="281.25" x14ac:dyDescent="0.4">
      <c r="A108" s="1" t="s">
        <v>3</v>
      </c>
      <c r="B108" s="1" t="s">
        <v>429</v>
      </c>
      <c r="C108" s="1" t="s">
        <v>327</v>
      </c>
      <c r="D108" s="1" t="s">
        <v>428</v>
      </c>
      <c r="E108" s="3" t="s">
        <v>384</v>
      </c>
    </row>
    <row r="109" spans="1:5" x14ac:dyDescent="0.4">
      <c r="A109" s="1" t="s">
        <v>3</v>
      </c>
      <c r="B109" s="1" t="s">
        <v>429</v>
      </c>
      <c r="C109" s="1" t="s">
        <v>107</v>
      </c>
      <c r="D109" s="1" t="s">
        <v>127</v>
      </c>
      <c r="E109" s="1" t="s">
        <v>104</v>
      </c>
    </row>
    <row r="110" spans="1:5" x14ac:dyDescent="0.4">
      <c r="A110" s="1" t="s">
        <v>3</v>
      </c>
      <c r="B110" s="1" t="s">
        <v>429</v>
      </c>
      <c r="C110" s="1" t="s">
        <v>115</v>
      </c>
      <c r="D110" s="1" t="s">
        <v>131</v>
      </c>
      <c r="E110" s="1" t="s">
        <v>104</v>
      </c>
    </row>
    <row r="111" spans="1:5" x14ac:dyDescent="0.4">
      <c r="A111" s="1" t="s">
        <v>3</v>
      </c>
      <c r="B111" s="1" t="s">
        <v>429</v>
      </c>
      <c r="C111" s="1" t="s">
        <v>116</v>
      </c>
      <c r="D111" s="1" t="s">
        <v>136</v>
      </c>
      <c r="E111" s="1" t="s">
        <v>104</v>
      </c>
    </row>
    <row r="112" spans="1:5" x14ac:dyDescent="0.4">
      <c r="A112" s="1" t="s">
        <v>3</v>
      </c>
      <c r="B112" s="1" t="s">
        <v>429</v>
      </c>
      <c r="C112" s="1" t="s">
        <v>117</v>
      </c>
      <c r="D112" s="1" t="s">
        <v>140</v>
      </c>
      <c r="E112" s="1" t="s">
        <v>104</v>
      </c>
    </row>
    <row r="113" spans="1:5" x14ac:dyDescent="0.4">
      <c r="A113" s="1" t="s">
        <v>3</v>
      </c>
      <c r="B113" s="1" t="s">
        <v>429</v>
      </c>
      <c r="C113" s="1" t="s">
        <v>108</v>
      </c>
      <c r="D113" s="1" t="s">
        <v>144</v>
      </c>
      <c r="E113" s="1" t="s">
        <v>104</v>
      </c>
    </row>
    <row r="114" spans="1:5" x14ac:dyDescent="0.4">
      <c r="A114" s="1" t="s">
        <v>3</v>
      </c>
      <c r="B114" s="1" t="s">
        <v>429</v>
      </c>
      <c r="C114" s="1" t="s">
        <v>112</v>
      </c>
      <c r="D114" s="1" t="s">
        <v>148</v>
      </c>
      <c r="E114" s="1" t="s">
        <v>104</v>
      </c>
    </row>
    <row r="115" spans="1:5" x14ac:dyDescent="0.4">
      <c r="A115" s="1" t="s">
        <v>3</v>
      </c>
      <c r="B115" s="1" t="s">
        <v>429</v>
      </c>
      <c r="C115" s="1" t="s">
        <v>113</v>
      </c>
      <c r="D115" s="1" t="s">
        <v>152</v>
      </c>
      <c r="E115" s="1" t="s">
        <v>104</v>
      </c>
    </row>
    <row r="116" spans="1:5" x14ac:dyDescent="0.4">
      <c r="A116" s="1" t="s">
        <v>3</v>
      </c>
      <c r="B116" s="1" t="s">
        <v>429</v>
      </c>
      <c r="C116" s="1" t="s">
        <v>118</v>
      </c>
      <c r="D116" s="1" t="s">
        <v>159</v>
      </c>
      <c r="E116" s="1" t="s">
        <v>104</v>
      </c>
    </row>
    <row r="117" spans="1:5" x14ac:dyDescent="0.4">
      <c r="A117" s="1" t="s">
        <v>3</v>
      </c>
      <c r="B117" s="1" t="s">
        <v>429</v>
      </c>
      <c r="C117" s="1" t="s">
        <v>114</v>
      </c>
      <c r="D117" s="1" t="s">
        <v>163</v>
      </c>
      <c r="E117" s="1" t="s">
        <v>104</v>
      </c>
    </row>
    <row r="118" spans="1:5" x14ac:dyDescent="0.4">
      <c r="A118" s="1" t="s">
        <v>3</v>
      </c>
      <c r="B118" s="1" t="s">
        <v>429</v>
      </c>
      <c r="C118" s="1" t="s">
        <v>179</v>
      </c>
      <c r="D118" s="1" t="s">
        <v>210</v>
      </c>
      <c r="E118" s="1" t="s">
        <v>104</v>
      </c>
    </row>
    <row r="119" spans="1:5" x14ac:dyDescent="0.4">
      <c r="A119" s="1" t="s">
        <v>3</v>
      </c>
      <c r="B119" s="1" t="s">
        <v>429</v>
      </c>
      <c r="C119" s="1" t="s">
        <v>186</v>
      </c>
      <c r="D119" s="1" t="s">
        <v>216</v>
      </c>
      <c r="E119" s="1" t="s">
        <v>104</v>
      </c>
    </row>
    <row r="120" spans="1:5" x14ac:dyDescent="0.4">
      <c r="A120" s="1" t="s">
        <v>3</v>
      </c>
      <c r="B120" s="1" t="s">
        <v>429</v>
      </c>
      <c r="C120" s="1" t="s">
        <v>180</v>
      </c>
      <c r="D120" s="1" t="s">
        <v>221</v>
      </c>
      <c r="E120" s="1" t="s">
        <v>104</v>
      </c>
    </row>
    <row r="121" spans="1:5" x14ac:dyDescent="0.4">
      <c r="A121" s="1" t="s">
        <v>3</v>
      </c>
      <c r="B121" s="1" t="s">
        <v>429</v>
      </c>
      <c r="C121" s="1" t="s">
        <v>187</v>
      </c>
      <c r="D121" s="1" t="s">
        <v>225</v>
      </c>
      <c r="E121" s="1" t="s">
        <v>104</v>
      </c>
    </row>
    <row r="122" spans="1:5" x14ac:dyDescent="0.4">
      <c r="A122" s="1" t="s">
        <v>3</v>
      </c>
      <c r="B122" s="1" t="s">
        <v>429</v>
      </c>
      <c r="C122" s="1" t="s">
        <v>181</v>
      </c>
      <c r="D122" s="1" t="s">
        <v>229</v>
      </c>
      <c r="E122" s="1" t="s">
        <v>104</v>
      </c>
    </row>
    <row r="123" spans="1:5" x14ac:dyDescent="0.4">
      <c r="A123" s="1" t="s">
        <v>3</v>
      </c>
      <c r="B123" s="1" t="s">
        <v>429</v>
      </c>
      <c r="C123" s="1" t="s">
        <v>188</v>
      </c>
      <c r="D123" s="1" t="s">
        <v>234</v>
      </c>
      <c r="E123" s="1" t="s">
        <v>104</v>
      </c>
    </row>
    <row r="124" spans="1:5" x14ac:dyDescent="0.4">
      <c r="A124" s="1" t="s">
        <v>3</v>
      </c>
      <c r="B124" s="1" t="s">
        <v>429</v>
      </c>
      <c r="C124" s="1" t="s">
        <v>182</v>
      </c>
      <c r="D124" s="1" t="s">
        <v>238</v>
      </c>
      <c r="E124" s="1" t="s">
        <v>104</v>
      </c>
    </row>
    <row r="125" spans="1:5" x14ac:dyDescent="0.4">
      <c r="A125" s="1" t="s">
        <v>3</v>
      </c>
      <c r="B125" s="1" t="s">
        <v>429</v>
      </c>
      <c r="C125" s="1" t="s">
        <v>189</v>
      </c>
      <c r="D125" s="1" t="s">
        <v>239</v>
      </c>
      <c r="E125" s="1" t="s">
        <v>104</v>
      </c>
    </row>
    <row r="126" spans="1:5" x14ac:dyDescent="0.4">
      <c r="A126" s="1" t="s">
        <v>3</v>
      </c>
      <c r="B126" s="1" t="s">
        <v>429</v>
      </c>
      <c r="C126" s="1" t="s">
        <v>190</v>
      </c>
      <c r="D126" s="1" t="s">
        <v>245</v>
      </c>
      <c r="E126" s="1" t="s">
        <v>104</v>
      </c>
    </row>
    <row r="127" spans="1:5" x14ac:dyDescent="0.4">
      <c r="A127" s="1" t="s">
        <v>3</v>
      </c>
      <c r="B127" s="1" t="s">
        <v>429</v>
      </c>
      <c r="C127" s="1" t="s">
        <v>193</v>
      </c>
      <c r="D127" s="1" t="s">
        <v>249</v>
      </c>
      <c r="E127" s="1" t="s">
        <v>104</v>
      </c>
    </row>
    <row r="128" spans="1:5" x14ac:dyDescent="0.4">
      <c r="A128" s="1" t="s">
        <v>3</v>
      </c>
      <c r="B128" s="1" t="s">
        <v>429</v>
      </c>
      <c r="C128" s="1" t="s">
        <v>195</v>
      </c>
      <c r="D128" s="1" t="s">
        <v>253</v>
      </c>
      <c r="E128" s="1" t="s">
        <v>104</v>
      </c>
    </row>
    <row r="129" spans="1:5" x14ac:dyDescent="0.4">
      <c r="A129" s="1" t="s">
        <v>3</v>
      </c>
      <c r="B129" s="1" t="s">
        <v>429</v>
      </c>
      <c r="C129" s="1" t="s">
        <v>184</v>
      </c>
      <c r="D129" s="1" t="s">
        <v>256</v>
      </c>
      <c r="E129" s="1" t="s">
        <v>104</v>
      </c>
    </row>
    <row r="130" spans="1:5" x14ac:dyDescent="0.4">
      <c r="A130" s="1" t="s">
        <v>3</v>
      </c>
      <c r="B130" s="1" t="s">
        <v>429</v>
      </c>
      <c r="C130" s="1" t="s">
        <v>196</v>
      </c>
      <c r="D130" s="1" t="s">
        <v>261</v>
      </c>
      <c r="E130" s="1" t="s">
        <v>104</v>
      </c>
    </row>
    <row r="131" spans="1:5" x14ac:dyDescent="0.4">
      <c r="A131" s="1" t="s">
        <v>3</v>
      </c>
      <c r="B131" s="1" t="s">
        <v>429</v>
      </c>
      <c r="C131" s="1" t="s">
        <v>197</v>
      </c>
      <c r="D131" s="1" t="s">
        <v>265</v>
      </c>
      <c r="E131" s="1" t="s">
        <v>104</v>
      </c>
    </row>
    <row r="132" spans="1:5" x14ac:dyDescent="0.4">
      <c r="A132" s="1" t="s">
        <v>3</v>
      </c>
      <c r="B132" s="1" t="s">
        <v>429</v>
      </c>
      <c r="C132" s="1" t="s">
        <v>198</v>
      </c>
      <c r="D132" s="1" t="s">
        <v>269</v>
      </c>
      <c r="E132" s="1" t="s">
        <v>104</v>
      </c>
    </row>
    <row r="133" spans="1:5" x14ac:dyDescent="0.4">
      <c r="A133" s="1" t="s">
        <v>3</v>
      </c>
      <c r="B133" s="1" t="s">
        <v>429</v>
      </c>
      <c r="C133" s="1" t="s">
        <v>199</v>
      </c>
      <c r="D133" s="1" t="s">
        <v>273</v>
      </c>
      <c r="E133" s="1" t="s">
        <v>104</v>
      </c>
    </row>
    <row r="134" spans="1:5" x14ac:dyDescent="0.4">
      <c r="A134" s="1" t="s">
        <v>3</v>
      </c>
      <c r="B134" s="1" t="s">
        <v>429</v>
      </c>
      <c r="C134" s="1" t="s">
        <v>185</v>
      </c>
      <c r="D134" s="1" t="s">
        <v>274</v>
      </c>
      <c r="E134" s="1" t="s">
        <v>104</v>
      </c>
    </row>
    <row r="135" spans="1:5" x14ac:dyDescent="0.4">
      <c r="A135" s="1" t="s">
        <v>3</v>
      </c>
      <c r="B135" s="1" t="s">
        <v>429</v>
      </c>
      <c r="C135" s="1" t="s">
        <v>200</v>
      </c>
      <c r="D135" s="1" t="s">
        <v>278</v>
      </c>
      <c r="E135" s="1" t="s">
        <v>104</v>
      </c>
    </row>
    <row r="136" spans="1:5" x14ac:dyDescent="0.4">
      <c r="A136" s="1" t="s">
        <v>3</v>
      </c>
      <c r="B136" s="1" t="s">
        <v>429</v>
      </c>
      <c r="C136" s="1" t="s">
        <v>197</v>
      </c>
      <c r="D136" s="1" t="s">
        <v>279</v>
      </c>
      <c r="E136" s="1" t="s">
        <v>104</v>
      </c>
    </row>
    <row r="137" spans="1:5" x14ac:dyDescent="0.4">
      <c r="A137" s="1" t="s">
        <v>3</v>
      </c>
      <c r="B137" s="1" t="s">
        <v>429</v>
      </c>
      <c r="C137" s="1" t="s">
        <v>201</v>
      </c>
      <c r="D137" s="1" t="s">
        <v>284</v>
      </c>
      <c r="E137" s="1" t="s">
        <v>104</v>
      </c>
    </row>
    <row r="138" spans="1:5" x14ac:dyDescent="0.4">
      <c r="A138" s="1" t="s">
        <v>3</v>
      </c>
      <c r="B138" s="1" t="s">
        <v>429</v>
      </c>
      <c r="C138" s="1" t="s">
        <v>203</v>
      </c>
      <c r="D138" s="1" t="s">
        <v>288</v>
      </c>
      <c r="E138" s="1" t="s">
        <v>104</v>
      </c>
    </row>
    <row r="139" spans="1:5" x14ac:dyDescent="0.4">
      <c r="A139" s="1" t="s">
        <v>3</v>
      </c>
      <c r="B139" s="1" t="s">
        <v>429</v>
      </c>
      <c r="C139" s="1" t="s">
        <v>316</v>
      </c>
      <c r="D139" s="1" t="s">
        <v>331</v>
      </c>
      <c r="E139" s="1" t="s">
        <v>104</v>
      </c>
    </row>
    <row r="140" spans="1:5" x14ac:dyDescent="0.4">
      <c r="A140" s="1" t="s">
        <v>3</v>
      </c>
      <c r="B140" s="1" t="s">
        <v>429</v>
      </c>
      <c r="C140" s="1" t="s">
        <v>317</v>
      </c>
      <c r="D140" s="1" t="s">
        <v>334</v>
      </c>
      <c r="E140" s="1" t="s">
        <v>104</v>
      </c>
    </row>
    <row r="141" spans="1:5" x14ac:dyDescent="0.4">
      <c r="A141" s="1" t="s">
        <v>3</v>
      </c>
      <c r="B141" s="1" t="s">
        <v>429</v>
      </c>
      <c r="C141" s="1" t="s">
        <v>318</v>
      </c>
      <c r="D141" s="1" t="s">
        <v>338</v>
      </c>
      <c r="E141" s="1" t="s">
        <v>104</v>
      </c>
    </row>
    <row r="142" spans="1:5" x14ac:dyDescent="0.4">
      <c r="A142" s="1" t="s">
        <v>3</v>
      </c>
      <c r="B142" s="1" t="s">
        <v>429</v>
      </c>
      <c r="C142" s="1" t="s">
        <v>319</v>
      </c>
      <c r="D142" s="1" t="s">
        <v>342</v>
      </c>
      <c r="E142" s="1" t="s">
        <v>104</v>
      </c>
    </row>
    <row r="143" spans="1:5" x14ac:dyDescent="0.4">
      <c r="A143" s="1" t="s">
        <v>3</v>
      </c>
      <c r="B143" s="1" t="s">
        <v>429</v>
      </c>
      <c r="C143" s="1" t="s">
        <v>77</v>
      </c>
      <c r="D143" s="1" t="s">
        <v>102</v>
      </c>
      <c r="E143" s="1" t="s">
        <v>104</v>
      </c>
    </row>
    <row r="144" spans="1:5" x14ac:dyDescent="0.4">
      <c r="A144" s="1" t="s">
        <v>3</v>
      </c>
      <c r="B144" s="1" t="s">
        <v>429</v>
      </c>
      <c r="C144" s="1" t="s">
        <v>323</v>
      </c>
      <c r="D144" s="1" t="s">
        <v>348</v>
      </c>
      <c r="E144" s="1" t="s">
        <v>104</v>
      </c>
    </row>
    <row r="145" spans="1:5" x14ac:dyDescent="0.4">
      <c r="A145" s="1" t="s">
        <v>3</v>
      </c>
      <c r="B145" s="1" t="s">
        <v>429</v>
      </c>
      <c r="C145" s="1" t="s">
        <v>320</v>
      </c>
      <c r="D145" s="1" t="s">
        <v>385</v>
      </c>
      <c r="E145" s="1" t="s">
        <v>104</v>
      </c>
    </row>
    <row r="146" spans="1:5" x14ac:dyDescent="0.4">
      <c r="A146" s="1" t="s">
        <v>3</v>
      </c>
      <c r="B146" s="1" t="s">
        <v>429</v>
      </c>
      <c r="C146" s="1" t="s">
        <v>321</v>
      </c>
      <c r="D146" s="1" t="s">
        <v>386</v>
      </c>
      <c r="E146" s="1" t="s">
        <v>104</v>
      </c>
    </row>
    <row r="147" spans="1:5" x14ac:dyDescent="0.4">
      <c r="A147" s="1" t="s">
        <v>3</v>
      </c>
      <c r="B147" s="1" t="s">
        <v>429</v>
      </c>
      <c r="C147" s="1" t="s">
        <v>322</v>
      </c>
      <c r="D147" s="1" t="s">
        <v>358</v>
      </c>
      <c r="E147" s="1" t="s">
        <v>104</v>
      </c>
    </row>
    <row r="148" spans="1:5" x14ac:dyDescent="0.4">
      <c r="A148" s="1" t="s">
        <v>3</v>
      </c>
      <c r="B148" s="1" t="s">
        <v>429</v>
      </c>
      <c r="C148" s="1" t="s">
        <v>325</v>
      </c>
      <c r="D148" s="1" t="s">
        <v>361</v>
      </c>
      <c r="E148" s="1" t="s">
        <v>104</v>
      </c>
    </row>
    <row r="149" spans="1:5" x14ac:dyDescent="0.4">
      <c r="A149" s="1" t="s">
        <v>3</v>
      </c>
      <c r="B149" s="1" t="s">
        <v>429</v>
      </c>
      <c r="C149" s="1" t="s">
        <v>326</v>
      </c>
      <c r="D149" s="1" t="s">
        <v>366</v>
      </c>
      <c r="E149" s="1" t="s">
        <v>104</v>
      </c>
    </row>
    <row r="150" spans="1:5" x14ac:dyDescent="0.4">
      <c r="A150" s="1" t="s">
        <v>3</v>
      </c>
      <c r="B150" s="1" t="s">
        <v>429</v>
      </c>
      <c r="C150" s="1" t="s">
        <v>327</v>
      </c>
      <c r="D150" s="1" t="s">
        <v>370</v>
      </c>
      <c r="E150" s="1" t="s">
        <v>104</v>
      </c>
    </row>
    <row r="151" spans="1:5" ht="56.25" x14ac:dyDescent="0.4">
      <c r="A151" s="1" t="s">
        <v>3</v>
      </c>
      <c r="B151" s="1" t="s">
        <v>443</v>
      </c>
      <c r="C151" s="1" t="s">
        <v>439</v>
      </c>
      <c r="D151" s="1" t="s">
        <v>175</v>
      </c>
      <c r="E151" s="3" t="s">
        <v>176</v>
      </c>
    </row>
    <row r="152" spans="1:5" ht="56.25" x14ac:dyDescent="0.4">
      <c r="A152" s="1" t="s">
        <v>3</v>
      </c>
      <c r="B152" s="1" t="s">
        <v>443</v>
      </c>
      <c r="C152" s="1" t="s">
        <v>440</v>
      </c>
      <c r="D152" s="1" t="s">
        <v>175</v>
      </c>
      <c r="E152" s="3" t="s">
        <v>176</v>
      </c>
    </row>
    <row r="153" spans="1:5" ht="56.25" x14ac:dyDescent="0.4">
      <c r="A153" s="1" t="s">
        <v>3</v>
      </c>
      <c r="B153" s="1" t="s">
        <v>443</v>
      </c>
      <c r="C153" s="1" t="s">
        <v>441</v>
      </c>
      <c r="D153" s="1" t="s">
        <v>175</v>
      </c>
      <c r="E153" s="3" t="s">
        <v>176</v>
      </c>
    </row>
    <row r="154" spans="1:5" ht="56.25" x14ac:dyDescent="0.4">
      <c r="A154" s="1" t="s">
        <v>3</v>
      </c>
      <c r="B154" s="1" t="s">
        <v>443</v>
      </c>
      <c r="C154" s="1" t="s">
        <v>442</v>
      </c>
      <c r="D154" s="1" t="s">
        <v>175</v>
      </c>
      <c r="E154" s="3" t="s">
        <v>176</v>
      </c>
    </row>
    <row r="155" spans="1:5" x14ac:dyDescent="0.4">
      <c r="A155" s="1" t="s">
        <v>3</v>
      </c>
      <c r="B155" s="1" t="s">
        <v>443</v>
      </c>
      <c r="C155" s="1" t="s">
        <v>174</v>
      </c>
      <c r="D155" s="1" t="s">
        <v>175</v>
      </c>
      <c r="E155" s="1" t="s">
        <v>104</v>
      </c>
    </row>
    <row r="156" spans="1:5" x14ac:dyDescent="0.4">
      <c r="A156" s="1" t="s">
        <v>3</v>
      </c>
      <c r="B156" s="1" t="s">
        <v>443</v>
      </c>
      <c r="C156" s="1" t="s">
        <v>312</v>
      </c>
      <c r="D156" s="1" t="s">
        <v>175</v>
      </c>
      <c r="E156" s="1" t="s">
        <v>104</v>
      </c>
    </row>
    <row r="157" spans="1:5" x14ac:dyDescent="0.4">
      <c r="A157" s="1" t="s">
        <v>3</v>
      </c>
      <c r="B157" s="1" t="s">
        <v>443</v>
      </c>
      <c r="C157" s="1" t="s">
        <v>313</v>
      </c>
      <c r="D157" s="1" t="s">
        <v>175</v>
      </c>
      <c r="E157" s="1" t="s">
        <v>104</v>
      </c>
    </row>
    <row r="158" spans="1:5" x14ac:dyDescent="0.4">
      <c r="A158" s="1" t="s">
        <v>3</v>
      </c>
      <c r="B158" s="1" t="s">
        <v>443</v>
      </c>
      <c r="C158" s="1" t="s">
        <v>314</v>
      </c>
      <c r="D158" s="1" t="s">
        <v>175</v>
      </c>
      <c r="E158" s="1" t="s">
        <v>104</v>
      </c>
    </row>
    <row r="159" spans="1:5" ht="409.5" x14ac:dyDescent="0.4">
      <c r="A159" s="1" t="s">
        <v>3</v>
      </c>
      <c r="B159" s="1" t="s">
        <v>444</v>
      </c>
      <c r="C159" s="1" t="s">
        <v>117</v>
      </c>
      <c r="D159" s="1" t="s">
        <v>391</v>
      </c>
      <c r="E159" s="3" t="s">
        <v>445</v>
      </c>
    </row>
    <row r="160" spans="1:5" ht="409.5" x14ac:dyDescent="0.4">
      <c r="A160" s="1" t="s">
        <v>3</v>
      </c>
      <c r="B160" s="1" t="s">
        <v>444</v>
      </c>
      <c r="C160" s="1" t="s">
        <v>182</v>
      </c>
      <c r="D160" s="1" t="s">
        <v>403</v>
      </c>
      <c r="E160" s="3" t="s">
        <v>446</v>
      </c>
    </row>
    <row r="161" spans="1:5" ht="409.5" x14ac:dyDescent="0.4">
      <c r="A161" s="1" t="s">
        <v>3</v>
      </c>
      <c r="B161" s="1" t="s">
        <v>444</v>
      </c>
      <c r="C161" s="1" t="s">
        <v>184</v>
      </c>
      <c r="D161" s="1" t="s">
        <v>408</v>
      </c>
      <c r="E161" s="3" t="s">
        <v>372</v>
      </c>
    </row>
    <row r="162" spans="1:5" ht="281.25" x14ac:dyDescent="0.4">
      <c r="A162" s="1" t="s">
        <v>3</v>
      </c>
      <c r="B162" s="1" t="s">
        <v>444</v>
      </c>
      <c r="C162" s="1" t="s">
        <v>320</v>
      </c>
      <c r="D162" s="1" t="s">
        <v>385</v>
      </c>
      <c r="E162" s="3" t="s">
        <v>379</v>
      </c>
    </row>
    <row r="163" spans="1:5" x14ac:dyDescent="0.4">
      <c r="A163" s="1" t="s">
        <v>3</v>
      </c>
      <c r="B163" s="1" t="s">
        <v>444</v>
      </c>
      <c r="C163" s="1" t="s">
        <v>320</v>
      </c>
      <c r="D163" s="1" t="s">
        <v>423</v>
      </c>
      <c r="E163" s="1" t="s">
        <v>104</v>
      </c>
    </row>
    <row r="164" spans="1:5" ht="409.5" x14ac:dyDescent="0.4">
      <c r="A164" s="1" t="s">
        <v>3</v>
      </c>
      <c r="B164" s="1" t="s">
        <v>447</v>
      </c>
      <c r="C164" s="1" t="s">
        <v>117</v>
      </c>
      <c r="D164" s="1" t="s">
        <v>391</v>
      </c>
      <c r="E164" s="3" t="s">
        <v>445</v>
      </c>
    </row>
    <row r="165" spans="1:5" ht="409.5" x14ac:dyDescent="0.4">
      <c r="A165" s="1" t="s">
        <v>3</v>
      </c>
      <c r="B165" s="1" t="s">
        <v>447</v>
      </c>
      <c r="C165" s="1" t="s">
        <v>182</v>
      </c>
      <c r="D165" s="1" t="s">
        <v>403</v>
      </c>
      <c r="E165" s="3" t="s">
        <v>446</v>
      </c>
    </row>
    <row r="166" spans="1:5" ht="409.5" x14ac:dyDescent="0.4">
      <c r="A166" s="1" t="s">
        <v>3</v>
      </c>
      <c r="B166" s="1" t="s">
        <v>447</v>
      </c>
      <c r="C166" s="1" t="s">
        <v>184</v>
      </c>
      <c r="D166" s="1" t="s">
        <v>408</v>
      </c>
      <c r="E166" s="3" t="s">
        <v>372</v>
      </c>
    </row>
    <row r="167" spans="1:5" ht="409.5" x14ac:dyDescent="0.4">
      <c r="A167" s="1" t="s">
        <v>3</v>
      </c>
      <c r="B167" s="1" t="s">
        <v>448</v>
      </c>
      <c r="C167" s="1" t="s">
        <v>117</v>
      </c>
      <c r="D167" s="1" t="s">
        <v>391</v>
      </c>
      <c r="E167" s="3" t="s">
        <v>445</v>
      </c>
    </row>
    <row r="168" spans="1:5" ht="409.5" x14ac:dyDescent="0.4">
      <c r="A168" s="1" t="s">
        <v>3</v>
      </c>
      <c r="B168" s="1" t="s">
        <v>448</v>
      </c>
      <c r="C168" s="1" t="s">
        <v>182</v>
      </c>
      <c r="D168" s="1" t="s">
        <v>403</v>
      </c>
      <c r="E168" s="3" t="s">
        <v>446</v>
      </c>
    </row>
    <row r="169" spans="1:5" ht="409.5" x14ac:dyDescent="0.4">
      <c r="A169" s="1" t="s">
        <v>3</v>
      </c>
      <c r="B169" s="1" t="s">
        <v>448</v>
      </c>
      <c r="C169" s="1" t="s">
        <v>184</v>
      </c>
      <c r="D169" s="1" t="s">
        <v>408</v>
      </c>
      <c r="E169" s="3" t="s">
        <v>372</v>
      </c>
    </row>
    <row r="170" spans="1:5" ht="409.5" x14ac:dyDescent="0.4">
      <c r="A170" s="1" t="s">
        <v>3</v>
      </c>
      <c r="B170" s="1" t="s">
        <v>450</v>
      </c>
      <c r="C170" s="1" t="s">
        <v>117</v>
      </c>
      <c r="D170" s="1" t="s">
        <v>391</v>
      </c>
      <c r="E170" s="3" t="s">
        <v>445</v>
      </c>
    </row>
    <row r="171" spans="1:5" ht="409.5" x14ac:dyDescent="0.4">
      <c r="A171" s="1" t="s">
        <v>3</v>
      </c>
      <c r="B171" s="1" t="s">
        <v>450</v>
      </c>
      <c r="C171" s="1" t="s">
        <v>182</v>
      </c>
      <c r="D171" s="1" t="s">
        <v>403</v>
      </c>
      <c r="E171" s="3" t="s">
        <v>446</v>
      </c>
    </row>
    <row r="172" spans="1:5" ht="409.5" x14ac:dyDescent="0.4">
      <c r="A172" s="1" t="s">
        <v>3</v>
      </c>
      <c r="B172" s="1" t="s">
        <v>450</v>
      </c>
      <c r="C172" s="1" t="s">
        <v>184</v>
      </c>
      <c r="D172" s="1" t="s">
        <v>408</v>
      </c>
      <c r="E172" s="3" t="s">
        <v>372</v>
      </c>
    </row>
    <row r="173" spans="1:5" ht="318.75" x14ac:dyDescent="0.4">
      <c r="A173" s="1" t="s">
        <v>3</v>
      </c>
      <c r="B173" s="1" t="s">
        <v>450</v>
      </c>
      <c r="C173" s="1" t="s">
        <v>326</v>
      </c>
      <c r="D173" s="1" t="s">
        <v>449</v>
      </c>
      <c r="E173" s="3" t="s">
        <v>383</v>
      </c>
    </row>
    <row r="174" spans="1:5" x14ac:dyDescent="0.4">
      <c r="A174" s="1" t="s">
        <v>3</v>
      </c>
      <c r="B174" s="1" t="s">
        <v>450</v>
      </c>
      <c r="C174" s="1" t="s">
        <v>326</v>
      </c>
      <c r="D174" s="1" t="s">
        <v>427</v>
      </c>
      <c r="E174" s="1" t="s">
        <v>104</v>
      </c>
    </row>
    <row r="175" spans="1:5" ht="409.5" x14ac:dyDescent="0.4">
      <c r="A175" s="1" t="s">
        <v>3</v>
      </c>
      <c r="B175" s="1" t="s">
        <v>451</v>
      </c>
      <c r="C175" s="1" t="s">
        <v>117</v>
      </c>
      <c r="D175" s="1" t="s">
        <v>391</v>
      </c>
      <c r="E175" s="3" t="s">
        <v>445</v>
      </c>
    </row>
    <row r="176" spans="1:5" ht="409.5" x14ac:dyDescent="0.4">
      <c r="A176" s="1" t="s">
        <v>3</v>
      </c>
      <c r="B176" s="1" t="s">
        <v>451</v>
      </c>
      <c r="C176" s="1" t="s">
        <v>182</v>
      </c>
      <c r="D176" s="1" t="s">
        <v>403</v>
      </c>
      <c r="E176" s="3" t="s">
        <v>446</v>
      </c>
    </row>
    <row r="177" spans="1:5" ht="409.5" x14ac:dyDescent="0.4">
      <c r="A177" s="1" t="s">
        <v>3</v>
      </c>
      <c r="B177" s="1" t="s">
        <v>451</v>
      </c>
      <c r="C177" s="1" t="s">
        <v>184</v>
      </c>
      <c r="D177" s="1" t="s">
        <v>408</v>
      </c>
      <c r="E177" s="3" t="s">
        <v>372</v>
      </c>
    </row>
    <row r="178" spans="1:5" ht="225" x14ac:dyDescent="0.4">
      <c r="A178" s="1" t="s">
        <v>3</v>
      </c>
      <c r="B178" s="1" t="s">
        <v>460</v>
      </c>
      <c r="C178" s="1" t="s">
        <v>185</v>
      </c>
      <c r="D178" s="1" t="s">
        <v>413</v>
      </c>
      <c r="E178" s="3" t="s">
        <v>461</v>
      </c>
    </row>
    <row r="179" spans="1:5" ht="262.5" x14ac:dyDescent="0.4">
      <c r="A179" s="1" t="s">
        <v>3</v>
      </c>
      <c r="B179" s="1" t="s">
        <v>460</v>
      </c>
      <c r="C179" s="1" t="s">
        <v>452</v>
      </c>
      <c r="D179" s="1" t="s">
        <v>459</v>
      </c>
      <c r="E179" s="3" t="s">
        <v>462</v>
      </c>
    </row>
    <row r="180" spans="1:5" ht="409.5" x14ac:dyDescent="0.4">
      <c r="A180" s="1" t="s">
        <v>3</v>
      </c>
      <c r="B180" s="1" t="s">
        <v>472</v>
      </c>
      <c r="C180" s="1" t="s">
        <v>463</v>
      </c>
      <c r="D180" s="1" t="s">
        <v>413</v>
      </c>
      <c r="E180" s="3" t="s">
        <v>473</v>
      </c>
    </row>
    <row r="181" spans="1:5" ht="281.25" x14ac:dyDescent="0.4">
      <c r="A181" s="1" t="s">
        <v>3</v>
      </c>
      <c r="B181" s="1" t="s">
        <v>475</v>
      </c>
      <c r="C181" s="1" t="s">
        <v>474</v>
      </c>
      <c r="D181" s="1" t="s">
        <v>175</v>
      </c>
      <c r="E181" s="3" t="s">
        <v>476</v>
      </c>
    </row>
    <row r="182" spans="1:5" x14ac:dyDescent="0.4">
      <c r="A182" s="1" t="s">
        <v>3</v>
      </c>
      <c r="B182" s="1" t="s">
        <v>475</v>
      </c>
      <c r="C182" s="1" t="s">
        <v>441</v>
      </c>
      <c r="D182" s="1" t="s">
        <v>175</v>
      </c>
      <c r="E182" s="1" t="s">
        <v>104</v>
      </c>
    </row>
    <row r="183" spans="1:5" ht="206.25" x14ac:dyDescent="0.4">
      <c r="A183" s="1" t="s">
        <v>3</v>
      </c>
      <c r="B183" s="1" t="s">
        <v>483</v>
      </c>
      <c r="C183" s="1" t="s">
        <v>477</v>
      </c>
      <c r="D183" s="1" t="s">
        <v>404</v>
      </c>
      <c r="E183" s="3" t="s">
        <v>484</v>
      </c>
    </row>
    <row r="184" spans="1:5" ht="75" x14ac:dyDescent="0.4">
      <c r="A184" s="1" t="s">
        <v>3</v>
      </c>
      <c r="B184" s="1" t="s">
        <v>485</v>
      </c>
      <c r="C184" s="1" t="s">
        <v>196</v>
      </c>
      <c r="D184" s="1" t="s">
        <v>409</v>
      </c>
      <c r="E184" s="3" t="s">
        <v>373</v>
      </c>
    </row>
    <row r="185" spans="1:5" ht="75" x14ac:dyDescent="0.4">
      <c r="A185" s="1" t="s">
        <v>3</v>
      </c>
      <c r="B185" s="1" t="s">
        <v>485</v>
      </c>
      <c r="C185" s="1" t="s">
        <v>200</v>
      </c>
      <c r="D185" s="1" t="s">
        <v>414</v>
      </c>
      <c r="E185" s="3" t="s">
        <v>373</v>
      </c>
    </row>
    <row r="186" spans="1:5" ht="75" x14ac:dyDescent="0.4">
      <c r="A186" s="1" t="s">
        <v>3</v>
      </c>
      <c r="B186" s="1" t="s">
        <v>485</v>
      </c>
      <c r="C186" s="1" t="s">
        <v>203</v>
      </c>
      <c r="D186" s="1" t="s">
        <v>417</v>
      </c>
      <c r="E186" s="3" t="s">
        <v>486</v>
      </c>
    </row>
    <row r="187" spans="1:5" ht="409.5" x14ac:dyDescent="0.4">
      <c r="A187" s="1" t="s">
        <v>3</v>
      </c>
      <c r="B187" s="1" t="s">
        <v>487</v>
      </c>
      <c r="C187" s="1" t="s">
        <v>117</v>
      </c>
      <c r="D187" s="1" t="s">
        <v>391</v>
      </c>
      <c r="E187" s="3" t="s">
        <v>488</v>
      </c>
    </row>
    <row r="188" spans="1:5" ht="75" x14ac:dyDescent="0.4">
      <c r="A188" s="1" t="s">
        <v>3</v>
      </c>
      <c r="B188" s="1" t="s">
        <v>487</v>
      </c>
      <c r="C188" s="1" t="s">
        <v>180</v>
      </c>
      <c r="D188" s="1" t="s">
        <v>399</v>
      </c>
      <c r="E188" s="3" t="s">
        <v>489</v>
      </c>
    </row>
    <row r="189" spans="1:5" ht="112.5" x14ac:dyDescent="0.4">
      <c r="A189" s="1" t="s">
        <v>3</v>
      </c>
      <c r="B189" s="1" t="s">
        <v>487</v>
      </c>
      <c r="C189" s="1" t="s">
        <v>181</v>
      </c>
      <c r="D189" s="1" t="s">
        <v>401</v>
      </c>
      <c r="E189" s="3" t="s">
        <v>490</v>
      </c>
    </row>
    <row r="190" spans="1:5" ht="112.5" x14ac:dyDescent="0.4">
      <c r="A190" s="1" t="s">
        <v>3</v>
      </c>
      <c r="B190" s="1" t="s">
        <v>487</v>
      </c>
      <c r="C190" s="1" t="s">
        <v>182</v>
      </c>
      <c r="D190" s="1" t="s">
        <v>403</v>
      </c>
      <c r="E190" s="3" t="s">
        <v>490</v>
      </c>
    </row>
    <row r="191" spans="1:5" ht="262.5" x14ac:dyDescent="0.4">
      <c r="A191" s="1" t="s">
        <v>3</v>
      </c>
      <c r="B191" s="1" t="s">
        <v>502</v>
      </c>
      <c r="C191" s="1" t="s">
        <v>477</v>
      </c>
      <c r="D191" s="1" t="s">
        <v>493</v>
      </c>
      <c r="E191" s="3" t="s">
        <v>503</v>
      </c>
    </row>
    <row r="192" spans="1:5" ht="409.5" x14ac:dyDescent="0.4">
      <c r="A192" s="1" t="s">
        <v>3</v>
      </c>
      <c r="B192" s="1" t="s">
        <v>502</v>
      </c>
      <c r="C192" s="1" t="s">
        <v>491</v>
      </c>
      <c r="D192" s="1" t="s">
        <v>496</v>
      </c>
      <c r="E192" s="3" t="s">
        <v>504</v>
      </c>
    </row>
    <row r="193" spans="1:5" ht="409.5" x14ac:dyDescent="0.4">
      <c r="A193" s="1" t="s">
        <v>3</v>
      </c>
      <c r="B193" s="1" t="s">
        <v>502</v>
      </c>
      <c r="C193" s="1" t="s">
        <v>492</v>
      </c>
      <c r="D193" s="1" t="s">
        <v>501</v>
      </c>
      <c r="E193" s="3" t="s">
        <v>505</v>
      </c>
    </row>
    <row r="194" spans="1:5" x14ac:dyDescent="0.4">
      <c r="A194" s="1" t="s">
        <v>3</v>
      </c>
      <c r="B194" s="1" t="s">
        <v>502</v>
      </c>
      <c r="C194" s="1" t="s">
        <v>477</v>
      </c>
      <c r="D194" s="1" t="s">
        <v>404</v>
      </c>
      <c r="E194" s="1" t="s">
        <v>104</v>
      </c>
    </row>
    <row r="195" spans="1:5" x14ac:dyDescent="0.4">
      <c r="A195" s="1" t="s">
        <v>3</v>
      </c>
      <c r="B195" s="1" t="s">
        <v>502</v>
      </c>
      <c r="C195" s="1" t="s">
        <v>183</v>
      </c>
      <c r="D195" s="1" t="s">
        <v>243</v>
      </c>
      <c r="E195" s="1" t="s">
        <v>104</v>
      </c>
    </row>
    <row r="196" spans="1:5" ht="56.25" x14ac:dyDescent="0.4">
      <c r="A196" s="1" t="s">
        <v>3</v>
      </c>
      <c r="B196" s="1" t="s">
        <v>502</v>
      </c>
      <c r="C196" s="1" t="s">
        <v>506</v>
      </c>
      <c r="D196" s="1" t="s">
        <v>175</v>
      </c>
      <c r="E196" s="3" t="s">
        <v>176</v>
      </c>
    </row>
    <row r="197" spans="1:5" x14ac:dyDescent="0.4">
      <c r="A197" s="1" t="s">
        <v>3</v>
      </c>
      <c r="B197" s="1" t="s">
        <v>502</v>
      </c>
      <c r="C197" s="1" t="s">
        <v>311</v>
      </c>
      <c r="D197" s="1" t="s">
        <v>175</v>
      </c>
      <c r="E197" s="1" t="s">
        <v>104</v>
      </c>
    </row>
    <row r="198" spans="1:5" ht="168.75" x14ac:dyDescent="0.4">
      <c r="A198" s="1" t="s">
        <v>3</v>
      </c>
      <c r="B198" s="1" t="s">
        <v>507</v>
      </c>
      <c r="C198" s="1" t="s">
        <v>180</v>
      </c>
      <c r="D198" s="1" t="s">
        <v>399</v>
      </c>
      <c r="E198" s="3" t="s">
        <v>508</v>
      </c>
    </row>
    <row r="199" spans="1:5" ht="409.5" x14ac:dyDescent="0.4">
      <c r="A199" s="1" t="s">
        <v>3</v>
      </c>
      <c r="B199" s="1" t="s">
        <v>507</v>
      </c>
      <c r="C199" s="1" t="s">
        <v>492</v>
      </c>
      <c r="D199" s="1" t="s">
        <v>501</v>
      </c>
      <c r="E199" s="3" t="s">
        <v>509</v>
      </c>
    </row>
    <row r="200" spans="1:5" ht="112.5" x14ac:dyDescent="0.4">
      <c r="A200" s="1" t="s">
        <v>3</v>
      </c>
      <c r="B200" s="1" t="s">
        <v>510</v>
      </c>
      <c r="C200" s="1" t="s">
        <v>113</v>
      </c>
      <c r="D200" s="1" t="s">
        <v>394</v>
      </c>
      <c r="E200" s="3" t="s">
        <v>511</v>
      </c>
    </row>
    <row r="201" spans="1:5" ht="75" x14ac:dyDescent="0.4">
      <c r="A201" s="1" t="s">
        <v>3</v>
      </c>
      <c r="B201" s="1" t="s">
        <v>512</v>
      </c>
      <c r="C201" s="1" t="s">
        <v>113</v>
      </c>
      <c r="D201" s="1" t="s">
        <v>394</v>
      </c>
      <c r="E201" s="3" t="s">
        <v>513</v>
      </c>
    </row>
    <row r="202" spans="1:5" ht="75" x14ac:dyDescent="0.4">
      <c r="A202" s="1" t="s">
        <v>3</v>
      </c>
      <c r="B202" s="1" t="s">
        <v>514</v>
      </c>
      <c r="C202" s="1" t="s">
        <v>113</v>
      </c>
      <c r="D202" s="1" t="s">
        <v>394</v>
      </c>
      <c r="E202" s="3" t="s">
        <v>513</v>
      </c>
    </row>
    <row r="203" spans="1:5" ht="75" x14ac:dyDescent="0.4">
      <c r="A203" s="1" t="s">
        <v>3</v>
      </c>
      <c r="B203" s="1" t="s">
        <v>515</v>
      </c>
      <c r="C203" s="1" t="s">
        <v>113</v>
      </c>
      <c r="D203" s="1" t="s">
        <v>394</v>
      </c>
      <c r="E203" s="3" t="s">
        <v>513</v>
      </c>
    </row>
    <row r="204" spans="1:5" ht="75" x14ac:dyDescent="0.4">
      <c r="A204" s="1" t="s">
        <v>3</v>
      </c>
      <c r="B204" s="1" t="s">
        <v>516</v>
      </c>
      <c r="C204" s="1" t="s">
        <v>113</v>
      </c>
      <c r="D204" s="1" t="s">
        <v>394</v>
      </c>
      <c r="E204" s="3" t="s">
        <v>513</v>
      </c>
    </row>
    <row r="205" spans="1:5" ht="168.75" x14ac:dyDescent="0.4">
      <c r="A205" s="1" t="s">
        <v>3</v>
      </c>
      <c r="B205" s="1" t="s">
        <v>518</v>
      </c>
      <c r="C205" s="1" t="s">
        <v>112</v>
      </c>
      <c r="D205" s="1" t="s">
        <v>393</v>
      </c>
      <c r="E205" s="3" t="s">
        <v>519</v>
      </c>
    </row>
    <row r="206" spans="1:5" ht="75" x14ac:dyDescent="0.4">
      <c r="A206" s="1" t="s">
        <v>3</v>
      </c>
      <c r="B206" s="1" t="s">
        <v>518</v>
      </c>
      <c r="C206" s="1" t="s">
        <v>113</v>
      </c>
      <c r="D206" s="1" t="s">
        <v>394</v>
      </c>
      <c r="E206" s="3" t="s">
        <v>513</v>
      </c>
    </row>
    <row r="207" spans="1:5" ht="75" x14ac:dyDescent="0.4">
      <c r="A207" s="1" t="s">
        <v>3</v>
      </c>
      <c r="B207" s="1" t="s">
        <v>520</v>
      </c>
      <c r="C207" s="1" t="s">
        <v>113</v>
      </c>
      <c r="D207" s="1" t="s">
        <v>394</v>
      </c>
      <c r="E207" s="3" t="s">
        <v>513</v>
      </c>
    </row>
    <row r="208" spans="1:5" ht="75" x14ac:dyDescent="0.4">
      <c r="A208" s="1" t="s">
        <v>3</v>
      </c>
      <c r="B208" s="1" t="s">
        <v>521</v>
      </c>
      <c r="C208" s="1" t="s">
        <v>113</v>
      </c>
      <c r="D208" s="1" t="s">
        <v>394</v>
      </c>
      <c r="E208" s="3" t="s">
        <v>513</v>
      </c>
    </row>
    <row r="209" spans="1:5" ht="75" x14ac:dyDescent="0.4">
      <c r="A209" s="1" t="s">
        <v>3</v>
      </c>
      <c r="B209" s="1" t="s">
        <v>523</v>
      </c>
      <c r="C209" s="1" t="s">
        <v>113</v>
      </c>
      <c r="D209" s="1" t="s">
        <v>394</v>
      </c>
      <c r="E209" s="3" t="s">
        <v>513</v>
      </c>
    </row>
    <row r="210" spans="1:5" ht="409.5" x14ac:dyDescent="0.4">
      <c r="A210" s="1" t="s">
        <v>3</v>
      </c>
      <c r="B210" s="1" t="s">
        <v>523</v>
      </c>
      <c r="C210" s="1" t="s">
        <v>184</v>
      </c>
      <c r="D210" s="1" t="s">
        <v>522</v>
      </c>
      <c r="E210" s="3" t="s">
        <v>524</v>
      </c>
    </row>
    <row r="211" spans="1:5" x14ac:dyDescent="0.4">
      <c r="A211" s="1" t="s">
        <v>3</v>
      </c>
      <c r="B211" s="1" t="s">
        <v>523</v>
      </c>
      <c r="C211" s="1" t="s">
        <v>184</v>
      </c>
      <c r="D211" s="1" t="s">
        <v>408</v>
      </c>
      <c r="E211" s="1" t="s">
        <v>104</v>
      </c>
    </row>
    <row r="212" spans="1:5" ht="56.25" x14ac:dyDescent="0.4">
      <c r="A212" s="1" t="s">
        <v>3</v>
      </c>
      <c r="B212" s="1" t="s">
        <v>523</v>
      </c>
      <c r="C212" s="1" t="s">
        <v>525</v>
      </c>
      <c r="D212" s="1" t="s">
        <v>175</v>
      </c>
      <c r="E212" s="3" t="s">
        <v>176</v>
      </c>
    </row>
    <row r="213" spans="1:5" x14ac:dyDescent="0.4">
      <c r="A213" s="1" t="s">
        <v>3</v>
      </c>
      <c r="B213" s="1" t="s">
        <v>523</v>
      </c>
      <c r="C213" s="1" t="s">
        <v>440</v>
      </c>
      <c r="D213" s="1" t="s">
        <v>175</v>
      </c>
      <c r="E213" s="1" t="s">
        <v>104</v>
      </c>
    </row>
    <row r="214" spans="1:5" ht="75" x14ac:dyDescent="0.4">
      <c r="A214" s="1" t="s">
        <v>3</v>
      </c>
      <c r="B214" s="1" t="s">
        <v>526</v>
      </c>
      <c r="C214" s="1" t="s">
        <v>113</v>
      </c>
      <c r="D214" s="1" t="s">
        <v>394</v>
      </c>
      <c r="E214" s="3" t="s">
        <v>513</v>
      </c>
    </row>
    <row r="215" spans="1:5" ht="409.5" x14ac:dyDescent="0.4">
      <c r="A215" s="1" t="s">
        <v>3</v>
      </c>
      <c r="B215" s="1" t="s">
        <v>526</v>
      </c>
      <c r="C215" s="1" t="s">
        <v>184</v>
      </c>
      <c r="D215" s="1" t="s">
        <v>522</v>
      </c>
      <c r="E215" s="3" t="s">
        <v>372</v>
      </c>
    </row>
    <row r="216" spans="1:5" ht="75" x14ac:dyDescent="0.4">
      <c r="A216" s="1" t="s">
        <v>3</v>
      </c>
      <c r="B216" s="1" t="s">
        <v>527</v>
      </c>
      <c r="C216" s="1" t="s">
        <v>113</v>
      </c>
      <c r="D216" s="1" t="s">
        <v>394</v>
      </c>
      <c r="E216" s="3" t="s">
        <v>513</v>
      </c>
    </row>
    <row r="217" spans="1:5" ht="409.5" x14ac:dyDescent="0.4">
      <c r="A217" s="1" t="s">
        <v>3</v>
      </c>
      <c r="B217" s="1" t="s">
        <v>527</v>
      </c>
      <c r="C217" s="1" t="s">
        <v>184</v>
      </c>
      <c r="D217" s="1" t="s">
        <v>522</v>
      </c>
      <c r="E217" s="3" t="s">
        <v>372</v>
      </c>
    </row>
    <row r="218" spans="1:5" ht="75" x14ac:dyDescent="0.4">
      <c r="A218" s="1" t="s">
        <v>3</v>
      </c>
      <c r="B218" s="1" t="s">
        <v>533</v>
      </c>
      <c r="C218" s="1" t="s">
        <v>113</v>
      </c>
      <c r="D218" s="1" t="s">
        <v>394</v>
      </c>
      <c r="E218" s="3" t="s">
        <v>513</v>
      </c>
    </row>
    <row r="219" spans="1:5" ht="409.5" x14ac:dyDescent="0.4">
      <c r="A219" s="1" t="s">
        <v>3</v>
      </c>
      <c r="B219" s="1" t="s">
        <v>533</v>
      </c>
      <c r="C219" s="1" t="s">
        <v>528</v>
      </c>
      <c r="D219" s="1" t="s">
        <v>522</v>
      </c>
      <c r="E219" s="3" t="s">
        <v>534</v>
      </c>
    </row>
    <row r="220" spans="1:5" ht="75" x14ac:dyDescent="0.4">
      <c r="A220" s="1" t="s">
        <v>3</v>
      </c>
      <c r="B220" s="1" t="s">
        <v>535</v>
      </c>
      <c r="C220" s="1" t="s">
        <v>113</v>
      </c>
      <c r="D220" s="1" t="s">
        <v>394</v>
      </c>
      <c r="E220" s="3" t="s">
        <v>513</v>
      </c>
    </row>
    <row r="221" spans="1:5" ht="75" x14ac:dyDescent="0.4">
      <c r="A221" s="1" t="s">
        <v>3</v>
      </c>
      <c r="B221" s="1" t="s">
        <v>536</v>
      </c>
      <c r="C221" s="1" t="s">
        <v>113</v>
      </c>
      <c r="D221" s="1" t="s">
        <v>394</v>
      </c>
      <c r="E221" s="3" t="s">
        <v>513</v>
      </c>
    </row>
    <row r="222" spans="1:5" ht="318.75" x14ac:dyDescent="0.4">
      <c r="A222" s="1" t="s">
        <v>3</v>
      </c>
      <c r="B222" s="1" t="s">
        <v>576</v>
      </c>
      <c r="C222" s="1" t="s">
        <v>115</v>
      </c>
      <c r="D222" s="1" t="s">
        <v>136</v>
      </c>
      <c r="E222" s="3" t="s">
        <v>577</v>
      </c>
    </row>
    <row r="223" spans="1:5" ht="243.75" x14ac:dyDescent="0.4">
      <c r="A223" s="1" t="s">
        <v>3</v>
      </c>
      <c r="B223" s="1" t="s">
        <v>576</v>
      </c>
      <c r="C223" s="1" t="s">
        <v>116</v>
      </c>
      <c r="D223" s="1" t="s">
        <v>140</v>
      </c>
      <c r="E223" s="3" t="s">
        <v>167</v>
      </c>
    </row>
    <row r="224" spans="1:5" ht="409.5" x14ac:dyDescent="0.4">
      <c r="A224" s="1" t="s">
        <v>3</v>
      </c>
      <c r="B224" s="1" t="s">
        <v>576</v>
      </c>
      <c r="C224" s="1" t="s">
        <v>117</v>
      </c>
      <c r="D224" s="1" t="s">
        <v>537</v>
      </c>
      <c r="E224" s="3" t="s">
        <v>430</v>
      </c>
    </row>
    <row r="225" spans="1:5" ht="375" x14ac:dyDescent="0.4">
      <c r="A225" s="1" t="s">
        <v>3</v>
      </c>
      <c r="B225" s="1" t="s">
        <v>576</v>
      </c>
      <c r="C225" s="1" t="s">
        <v>112</v>
      </c>
      <c r="D225" s="1" t="s">
        <v>538</v>
      </c>
      <c r="E225" s="3" t="s">
        <v>578</v>
      </c>
    </row>
    <row r="226" spans="1:5" ht="393.75" x14ac:dyDescent="0.4">
      <c r="A226" s="1" t="s">
        <v>3</v>
      </c>
      <c r="B226" s="1" t="s">
        <v>576</v>
      </c>
      <c r="C226" s="1" t="s">
        <v>113</v>
      </c>
      <c r="D226" s="1" t="s">
        <v>539</v>
      </c>
      <c r="E226" s="3" t="s">
        <v>579</v>
      </c>
    </row>
    <row r="227" spans="1:5" ht="409.5" x14ac:dyDescent="0.4">
      <c r="A227" s="1" t="s">
        <v>3</v>
      </c>
      <c r="B227" s="1" t="s">
        <v>576</v>
      </c>
      <c r="C227" s="1" t="s">
        <v>118</v>
      </c>
      <c r="D227" s="1" t="s">
        <v>540</v>
      </c>
      <c r="E227" s="3" t="s">
        <v>580</v>
      </c>
    </row>
    <row r="228" spans="1:5" ht="318.75" x14ac:dyDescent="0.4">
      <c r="A228" s="1" t="s">
        <v>3</v>
      </c>
      <c r="B228" s="1" t="s">
        <v>576</v>
      </c>
      <c r="C228" s="1" t="s">
        <v>114</v>
      </c>
      <c r="D228" s="1" t="s">
        <v>541</v>
      </c>
      <c r="E228" s="3" t="s">
        <v>173</v>
      </c>
    </row>
    <row r="229" spans="1:5" ht="300" x14ac:dyDescent="0.4">
      <c r="A229" s="1" t="s">
        <v>3</v>
      </c>
      <c r="B229" s="1" t="s">
        <v>576</v>
      </c>
      <c r="C229" s="1" t="s">
        <v>179</v>
      </c>
      <c r="D229" s="1" t="s">
        <v>542</v>
      </c>
      <c r="E229" s="3" t="s">
        <v>290</v>
      </c>
    </row>
    <row r="230" spans="1:5" ht="281.25" x14ac:dyDescent="0.4">
      <c r="A230" s="1" t="s">
        <v>3</v>
      </c>
      <c r="B230" s="1" t="s">
        <v>576</v>
      </c>
      <c r="C230" s="1" t="s">
        <v>186</v>
      </c>
      <c r="D230" s="1" t="s">
        <v>543</v>
      </c>
      <c r="E230" s="3" t="s">
        <v>291</v>
      </c>
    </row>
    <row r="231" spans="1:5" ht="318.75" x14ac:dyDescent="0.4">
      <c r="A231" s="1" t="s">
        <v>3</v>
      </c>
      <c r="B231" s="1" t="s">
        <v>576</v>
      </c>
      <c r="C231" s="1" t="s">
        <v>180</v>
      </c>
      <c r="D231" s="1" t="s">
        <v>544</v>
      </c>
      <c r="E231" s="3" t="s">
        <v>577</v>
      </c>
    </row>
    <row r="232" spans="1:5" ht="300" x14ac:dyDescent="0.4">
      <c r="A232" s="1" t="s">
        <v>3</v>
      </c>
      <c r="B232" s="1" t="s">
        <v>576</v>
      </c>
      <c r="C232" s="1" t="s">
        <v>187</v>
      </c>
      <c r="D232" s="1" t="s">
        <v>545</v>
      </c>
      <c r="E232" s="3" t="s">
        <v>293</v>
      </c>
    </row>
    <row r="233" spans="1:5" ht="281.25" x14ac:dyDescent="0.4">
      <c r="A233" s="1" t="s">
        <v>3</v>
      </c>
      <c r="B233" s="1" t="s">
        <v>576</v>
      </c>
      <c r="C233" s="1" t="s">
        <v>181</v>
      </c>
      <c r="D233" s="1" t="s">
        <v>546</v>
      </c>
      <c r="E233" s="3" t="s">
        <v>581</v>
      </c>
    </row>
    <row r="234" spans="1:5" ht="300" x14ac:dyDescent="0.4">
      <c r="A234" s="1" t="s">
        <v>3</v>
      </c>
      <c r="B234" s="1" t="s">
        <v>576</v>
      </c>
      <c r="C234" s="1" t="s">
        <v>188</v>
      </c>
      <c r="D234" s="1" t="s">
        <v>547</v>
      </c>
      <c r="E234" s="3" t="s">
        <v>295</v>
      </c>
    </row>
    <row r="235" spans="1:5" ht="409.5" x14ac:dyDescent="0.4">
      <c r="A235" s="1" t="s">
        <v>3</v>
      </c>
      <c r="B235" s="1" t="s">
        <v>576</v>
      </c>
      <c r="C235" s="1" t="s">
        <v>182</v>
      </c>
      <c r="D235" s="1" t="s">
        <v>548</v>
      </c>
      <c r="E235" s="3" t="s">
        <v>582</v>
      </c>
    </row>
    <row r="236" spans="1:5" ht="262.5" x14ac:dyDescent="0.4">
      <c r="A236" s="1" t="s">
        <v>3</v>
      </c>
      <c r="B236" s="1" t="s">
        <v>576</v>
      </c>
      <c r="C236" s="1" t="s">
        <v>477</v>
      </c>
      <c r="D236" s="1" t="s">
        <v>549</v>
      </c>
      <c r="E236" s="3" t="s">
        <v>503</v>
      </c>
    </row>
    <row r="237" spans="1:5" ht="262.5" x14ac:dyDescent="0.4">
      <c r="A237" s="1" t="s">
        <v>3</v>
      </c>
      <c r="B237" s="1" t="s">
        <v>576</v>
      </c>
      <c r="C237" s="1" t="s">
        <v>190</v>
      </c>
      <c r="D237" s="1" t="s">
        <v>550</v>
      </c>
      <c r="E237" s="3" t="s">
        <v>299</v>
      </c>
    </row>
    <row r="238" spans="1:5" ht="409.5" x14ac:dyDescent="0.4">
      <c r="A238" s="1" t="s">
        <v>3</v>
      </c>
      <c r="B238" s="1" t="s">
        <v>576</v>
      </c>
      <c r="C238" s="1" t="s">
        <v>491</v>
      </c>
      <c r="D238" s="1" t="s">
        <v>501</v>
      </c>
      <c r="E238" s="3" t="s">
        <v>583</v>
      </c>
    </row>
    <row r="239" spans="1:5" ht="409.5" x14ac:dyDescent="0.4">
      <c r="A239" s="1" t="s">
        <v>3</v>
      </c>
      <c r="B239" s="1" t="s">
        <v>576</v>
      </c>
      <c r="C239" s="1" t="s">
        <v>492</v>
      </c>
      <c r="D239" s="1" t="s">
        <v>551</v>
      </c>
      <c r="E239" s="3" t="s">
        <v>584</v>
      </c>
    </row>
    <row r="240" spans="1:5" ht="262.5" x14ac:dyDescent="0.4">
      <c r="A240" s="1" t="s">
        <v>3</v>
      </c>
      <c r="B240" s="1" t="s">
        <v>576</v>
      </c>
      <c r="C240" s="1" t="s">
        <v>193</v>
      </c>
      <c r="D240" s="1" t="s">
        <v>552</v>
      </c>
      <c r="E240" s="3" t="s">
        <v>300</v>
      </c>
    </row>
    <row r="241" spans="1:5" ht="300" x14ac:dyDescent="0.4">
      <c r="A241" s="1" t="s">
        <v>3</v>
      </c>
      <c r="B241" s="1" t="s">
        <v>576</v>
      </c>
      <c r="C241" s="1" t="s">
        <v>195</v>
      </c>
      <c r="D241" s="1" t="s">
        <v>553</v>
      </c>
      <c r="E241" s="3" t="s">
        <v>301</v>
      </c>
    </row>
    <row r="242" spans="1:5" ht="409.5" x14ac:dyDescent="0.4">
      <c r="A242" s="1" t="s">
        <v>3</v>
      </c>
      <c r="B242" s="1" t="s">
        <v>576</v>
      </c>
      <c r="C242" s="1" t="s">
        <v>528</v>
      </c>
      <c r="D242" s="1" t="s">
        <v>554</v>
      </c>
      <c r="E242" s="3" t="s">
        <v>585</v>
      </c>
    </row>
    <row r="243" spans="1:5" ht="262.5" x14ac:dyDescent="0.4">
      <c r="A243" s="1" t="s">
        <v>3</v>
      </c>
      <c r="B243" s="1" t="s">
        <v>576</v>
      </c>
      <c r="C243" s="1" t="s">
        <v>196</v>
      </c>
      <c r="D243" s="1" t="s">
        <v>555</v>
      </c>
      <c r="E243" s="3" t="s">
        <v>586</v>
      </c>
    </row>
    <row r="244" spans="1:5" ht="262.5" x14ac:dyDescent="0.4">
      <c r="A244" s="1" t="s">
        <v>3</v>
      </c>
      <c r="B244" s="1" t="s">
        <v>576</v>
      </c>
      <c r="C244" s="1" t="s">
        <v>197</v>
      </c>
      <c r="D244" s="1" t="s">
        <v>556</v>
      </c>
      <c r="E244" s="3" t="s">
        <v>304</v>
      </c>
    </row>
    <row r="245" spans="1:5" ht="262.5" x14ac:dyDescent="0.4">
      <c r="A245" s="1" t="s">
        <v>3</v>
      </c>
      <c r="B245" s="1" t="s">
        <v>576</v>
      </c>
      <c r="C245" s="1" t="s">
        <v>198</v>
      </c>
      <c r="D245" s="1" t="s">
        <v>557</v>
      </c>
      <c r="E245" s="3" t="s">
        <v>436</v>
      </c>
    </row>
    <row r="246" spans="1:5" ht="281.25" x14ac:dyDescent="0.4">
      <c r="A246" s="1" t="s">
        <v>3</v>
      </c>
      <c r="B246" s="1" t="s">
        <v>576</v>
      </c>
      <c r="C246" s="1" t="s">
        <v>199</v>
      </c>
      <c r="D246" s="1" t="s">
        <v>558</v>
      </c>
      <c r="E246" s="3" t="s">
        <v>306</v>
      </c>
    </row>
    <row r="247" spans="1:5" ht="409.5" x14ac:dyDescent="0.4">
      <c r="A247" s="1" t="s">
        <v>3</v>
      </c>
      <c r="B247" s="1" t="s">
        <v>576</v>
      </c>
      <c r="C247" s="1" t="s">
        <v>463</v>
      </c>
      <c r="D247" s="1" t="s">
        <v>559</v>
      </c>
      <c r="E247" s="3" t="s">
        <v>587</v>
      </c>
    </row>
    <row r="248" spans="1:5" ht="262.5" x14ac:dyDescent="0.4">
      <c r="A248" s="1" t="s">
        <v>3</v>
      </c>
      <c r="B248" s="1" t="s">
        <v>576</v>
      </c>
      <c r="C248" s="1" t="s">
        <v>200</v>
      </c>
      <c r="D248" s="1" t="s">
        <v>560</v>
      </c>
      <c r="E248" s="3" t="s">
        <v>588</v>
      </c>
    </row>
    <row r="249" spans="1:5" ht="262.5" x14ac:dyDescent="0.4">
      <c r="A249" s="1" t="s">
        <v>3</v>
      </c>
      <c r="B249" s="1" t="s">
        <v>576</v>
      </c>
      <c r="C249" s="1" t="s">
        <v>197</v>
      </c>
      <c r="D249" s="1" t="s">
        <v>561</v>
      </c>
      <c r="E249" s="3" t="s">
        <v>304</v>
      </c>
    </row>
    <row r="250" spans="1:5" ht="262.5" x14ac:dyDescent="0.4">
      <c r="A250" s="1" t="s">
        <v>3</v>
      </c>
      <c r="B250" s="1" t="s">
        <v>576</v>
      </c>
      <c r="C250" s="1" t="s">
        <v>201</v>
      </c>
      <c r="D250" s="1" t="s">
        <v>562</v>
      </c>
      <c r="E250" s="3" t="s">
        <v>309</v>
      </c>
    </row>
    <row r="251" spans="1:5" ht="393.75" x14ac:dyDescent="0.4">
      <c r="A251" s="1" t="s">
        <v>3</v>
      </c>
      <c r="B251" s="1" t="s">
        <v>576</v>
      </c>
      <c r="C251" s="1" t="s">
        <v>203</v>
      </c>
      <c r="D251" s="1" t="s">
        <v>563</v>
      </c>
      <c r="E251" s="3" t="s">
        <v>589</v>
      </c>
    </row>
    <row r="252" spans="1:5" ht="262.5" x14ac:dyDescent="0.4">
      <c r="A252" s="1" t="s">
        <v>3</v>
      </c>
      <c r="B252" s="1" t="s">
        <v>576</v>
      </c>
      <c r="C252" s="1" t="s">
        <v>452</v>
      </c>
      <c r="D252" s="1" t="s">
        <v>564</v>
      </c>
      <c r="E252" s="3" t="s">
        <v>462</v>
      </c>
    </row>
    <row r="253" spans="1:5" ht="356.25" x14ac:dyDescent="0.4">
      <c r="A253" s="1" t="s">
        <v>3</v>
      </c>
      <c r="B253" s="1" t="s">
        <v>576</v>
      </c>
      <c r="C253" s="1" t="s">
        <v>316</v>
      </c>
      <c r="D253" s="1" t="s">
        <v>565</v>
      </c>
      <c r="E253" s="3" t="s">
        <v>374</v>
      </c>
    </row>
    <row r="254" spans="1:5" ht="318.75" x14ac:dyDescent="0.4">
      <c r="A254" s="1" t="s">
        <v>3</v>
      </c>
      <c r="B254" s="1" t="s">
        <v>576</v>
      </c>
      <c r="C254" s="1" t="s">
        <v>317</v>
      </c>
      <c r="D254" s="1" t="s">
        <v>566</v>
      </c>
      <c r="E254" s="3" t="s">
        <v>577</v>
      </c>
    </row>
    <row r="255" spans="1:5" ht="318.75" x14ac:dyDescent="0.4">
      <c r="A255" s="1" t="s">
        <v>3</v>
      </c>
      <c r="B255" s="1" t="s">
        <v>576</v>
      </c>
      <c r="C255" s="1" t="s">
        <v>318</v>
      </c>
      <c r="D255" s="1" t="s">
        <v>567</v>
      </c>
      <c r="E255" s="3" t="s">
        <v>376</v>
      </c>
    </row>
    <row r="256" spans="1:5" ht="318.75" x14ac:dyDescent="0.4">
      <c r="A256" s="1" t="s">
        <v>3</v>
      </c>
      <c r="B256" s="1" t="s">
        <v>576</v>
      </c>
      <c r="C256" s="1" t="s">
        <v>319</v>
      </c>
      <c r="D256" s="1" t="s">
        <v>568</v>
      </c>
      <c r="E256" s="3" t="s">
        <v>377</v>
      </c>
    </row>
    <row r="257" spans="1:5" ht="409.5" x14ac:dyDescent="0.4">
      <c r="A257" s="1" t="s">
        <v>3</v>
      </c>
      <c r="B257" s="1" t="s">
        <v>576</v>
      </c>
      <c r="C257" s="1" t="s">
        <v>77</v>
      </c>
      <c r="D257" s="1" t="s">
        <v>569</v>
      </c>
      <c r="E257" s="3" t="s">
        <v>92</v>
      </c>
    </row>
    <row r="258" spans="1:5" ht="300" x14ac:dyDescent="0.4">
      <c r="A258" s="1" t="s">
        <v>3</v>
      </c>
      <c r="B258" s="1" t="s">
        <v>576</v>
      </c>
      <c r="C258" s="1" t="s">
        <v>323</v>
      </c>
      <c r="D258" s="1" t="s">
        <v>570</v>
      </c>
      <c r="E258" s="3" t="s">
        <v>378</v>
      </c>
    </row>
    <row r="259" spans="1:5" ht="318.75" x14ac:dyDescent="0.4">
      <c r="A259" s="1" t="s">
        <v>3</v>
      </c>
      <c r="B259" s="1" t="s">
        <v>576</v>
      </c>
      <c r="C259" s="1" t="s">
        <v>321</v>
      </c>
      <c r="D259" s="1" t="s">
        <v>571</v>
      </c>
      <c r="E259" s="3" t="s">
        <v>380</v>
      </c>
    </row>
    <row r="260" spans="1:5" ht="300" x14ac:dyDescent="0.4">
      <c r="A260" s="1" t="s">
        <v>3</v>
      </c>
      <c r="B260" s="1" t="s">
        <v>576</v>
      </c>
      <c r="C260" s="1" t="s">
        <v>322</v>
      </c>
      <c r="D260" s="1" t="s">
        <v>572</v>
      </c>
      <c r="E260" s="3" t="s">
        <v>381</v>
      </c>
    </row>
    <row r="261" spans="1:5" ht="262.5" x14ac:dyDescent="0.4">
      <c r="A261" s="1" t="s">
        <v>3</v>
      </c>
      <c r="B261" s="1" t="s">
        <v>576</v>
      </c>
      <c r="C261" s="1" t="s">
        <v>325</v>
      </c>
      <c r="D261" s="1" t="s">
        <v>573</v>
      </c>
      <c r="E261" s="3" t="s">
        <v>382</v>
      </c>
    </row>
    <row r="262" spans="1:5" ht="318.75" x14ac:dyDescent="0.4">
      <c r="A262" s="1" t="s">
        <v>3</v>
      </c>
      <c r="B262" s="1" t="s">
        <v>576</v>
      </c>
      <c r="C262" s="1" t="s">
        <v>326</v>
      </c>
      <c r="D262" s="1" t="s">
        <v>574</v>
      </c>
      <c r="E262" s="3" t="s">
        <v>577</v>
      </c>
    </row>
    <row r="263" spans="1:5" ht="281.25" x14ac:dyDescent="0.4">
      <c r="A263" s="1" t="s">
        <v>3</v>
      </c>
      <c r="B263" s="1" t="s">
        <v>576</v>
      </c>
      <c r="C263" s="1" t="s">
        <v>327</v>
      </c>
      <c r="D263" s="1" t="s">
        <v>575</v>
      </c>
      <c r="E263" s="3" t="s">
        <v>384</v>
      </c>
    </row>
    <row r="264" spans="1:5" x14ac:dyDescent="0.4">
      <c r="A264" s="1" t="s">
        <v>3</v>
      </c>
      <c r="B264" s="1" t="s">
        <v>576</v>
      </c>
      <c r="C264" s="1" t="s">
        <v>115</v>
      </c>
      <c r="D264" s="1" t="s">
        <v>389</v>
      </c>
      <c r="E264" s="1" t="s">
        <v>104</v>
      </c>
    </row>
    <row r="265" spans="1:5" x14ac:dyDescent="0.4">
      <c r="A265" s="1" t="s">
        <v>3</v>
      </c>
      <c r="B265" s="1" t="s">
        <v>576</v>
      </c>
      <c r="C265" s="1" t="s">
        <v>116</v>
      </c>
      <c r="D265" s="1" t="s">
        <v>390</v>
      </c>
      <c r="E265" s="1" t="s">
        <v>104</v>
      </c>
    </row>
    <row r="266" spans="1:5" x14ac:dyDescent="0.4">
      <c r="A266" s="1" t="s">
        <v>3</v>
      </c>
      <c r="B266" s="1" t="s">
        <v>576</v>
      </c>
      <c r="C266" s="1" t="s">
        <v>117</v>
      </c>
      <c r="D266" s="1" t="s">
        <v>391</v>
      </c>
      <c r="E266" s="1" t="s">
        <v>104</v>
      </c>
    </row>
    <row r="267" spans="1:5" x14ac:dyDescent="0.4">
      <c r="A267" s="1" t="s">
        <v>3</v>
      </c>
      <c r="B267" s="1" t="s">
        <v>576</v>
      </c>
      <c r="C267" s="1" t="s">
        <v>112</v>
      </c>
      <c r="D267" s="1" t="s">
        <v>393</v>
      </c>
      <c r="E267" s="1" t="s">
        <v>104</v>
      </c>
    </row>
    <row r="268" spans="1:5" x14ac:dyDescent="0.4">
      <c r="A268" s="1" t="s">
        <v>3</v>
      </c>
      <c r="B268" s="1" t="s">
        <v>576</v>
      </c>
      <c r="C268" s="1" t="s">
        <v>113</v>
      </c>
      <c r="D268" s="1" t="s">
        <v>394</v>
      </c>
      <c r="E268" s="1" t="s">
        <v>104</v>
      </c>
    </row>
    <row r="269" spans="1:5" x14ac:dyDescent="0.4">
      <c r="A269" s="1" t="s">
        <v>3</v>
      </c>
      <c r="B269" s="1" t="s">
        <v>576</v>
      </c>
      <c r="C269" s="1" t="s">
        <v>118</v>
      </c>
      <c r="D269" s="1" t="s">
        <v>395</v>
      </c>
      <c r="E269" s="1" t="s">
        <v>104</v>
      </c>
    </row>
    <row r="270" spans="1:5" x14ac:dyDescent="0.4">
      <c r="A270" s="1" t="s">
        <v>3</v>
      </c>
      <c r="B270" s="1" t="s">
        <v>576</v>
      </c>
      <c r="C270" s="1" t="s">
        <v>114</v>
      </c>
      <c r="D270" s="1" t="s">
        <v>396</v>
      </c>
      <c r="E270" s="1" t="s">
        <v>104</v>
      </c>
    </row>
    <row r="271" spans="1:5" x14ac:dyDescent="0.4">
      <c r="A271" s="1" t="s">
        <v>3</v>
      </c>
      <c r="B271" s="1" t="s">
        <v>576</v>
      </c>
      <c r="C271" s="1" t="s">
        <v>179</v>
      </c>
      <c r="D271" s="1" t="s">
        <v>397</v>
      </c>
      <c r="E271" s="1" t="s">
        <v>104</v>
      </c>
    </row>
    <row r="272" spans="1:5" x14ac:dyDescent="0.4">
      <c r="A272" s="1" t="s">
        <v>3</v>
      </c>
      <c r="B272" s="1" t="s">
        <v>576</v>
      </c>
      <c r="C272" s="1" t="s">
        <v>186</v>
      </c>
      <c r="D272" s="1" t="s">
        <v>398</v>
      </c>
      <c r="E272" s="1" t="s">
        <v>104</v>
      </c>
    </row>
    <row r="273" spans="1:5" x14ac:dyDescent="0.4">
      <c r="A273" s="1" t="s">
        <v>3</v>
      </c>
      <c r="B273" s="1" t="s">
        <v>576</v>
      </c>
      <c r="C273" s="1" t="s">
        <v>180</v>
      </c>
      <c r="D273" s="1" t="s">
        <v>399</v>
      </c>
      <c r="E273" s="1" t="s">
        <v>104</v>
      </c>
    </row>
    <row r="274" spans="1:5" x14ac:dyDescent="0.4">
      <c r="A274" s="1" t="s">
        <v>3</v>
      </c>
      <c r="B274" s="1" t="s">
        <v>576</v>
      </c>
      <c r="C274" s="1" t="s">
        <v>187</v>
      </c>
      <c r="D274" s="1" t="s">
        <v>400</v>
      </c>
      <c r="E274" s="1" t="s">
        <v>104</v>
      </c>
    </row>
    <row r="275" spans="1:5" x14ac:dyDescent="0.4">
      <c r="A275" s="1" t="s">
        <v>3</v>
      </c>
      <c r="B275" s="1" t="s">
        <v>576</v>
      </c>
      <c r="C275" s="1" t="s">
        <v>181</v>
      </c>
      <c r="D275" s="1" t="s">
        <v>401</v>
      </c>
      <c r="E275" s="1" t="s">
        <v>104</v>
      </c>
    </row>
    <row r="276" spans="1:5" x14ac:dyDescent="0.4">
      <c r="A276" s="1" t="s">
        <v>3</v>
      </c>
      <c r="B276" s="1" t="s">
        <v>576</v>
      </c>
      <c r="C276" s="1" t="s">
        <v>188</v>
      </c>
      <c r="D276" s="1" t="s">
        <v>402</v>
      </c>
      <c r="E276" s="1" t="s">
        <v>104</v>
      </c>
    </row>
    <row r="277" spans="1:5" x14ac:dyDescent="0.4">
      <c r="A277" s="1" t="s">
        <v>3</v>
      </c>
      <c r="B277" s="1" t="s">
        <v>576</v>
      </c>
      <c r="C277" s="1" t="s">
        <v>182</v>
      </c>
      <c r="D277" s="1" t="s">
        <v>403</v>
      </c>
      <c r="E277" s="1" t="s">
        <v>104</v>
      </c>
    </row>
    <row r="278" spans="1:5" x14ac:dyDescent="0.4">
      <c r="A278" s="1" t="s">
        <v>3</v>
      </c>
      <c r="B278" s="1" t="s">
        <v>576</v>
      </c>
      <c r="C278" s="1" t="s">
        <v>477</v>
      </c>
      <c r="D278" s="1" t="s">
        <v>493</v>
      </c>
      <c r="E278" s="1" t="s">
        <v>104</v>
      </c>
    </row>
    <row r="279" spans="1:5" x14ac:dyDescent="0.4">
      <c r="A279" s="1" t="s">
        <v>3</v>
      </c>
      <c r="B279" s="1" t="s">
        <v>576</v>
      </c>
      <c r="C279" s="1" t="s">
        <v>190</v>
      </c>
      <c r="D279" s="1" t="s">
        <v>405</v>
      </c>
      <c r="E279" s="1" t="s">
        <v>104</v>
      </c>
    </row>
    <row r="280" spans="1:5" x14ac:dyDescent="0.4">
      <c r="A280" s="1" t="s">
        <v>3</v>
      </c>
      <c r="B280" s="1" t="s">
        <v>576</v>
      </c>
      <c r="C280" s="1" t="s">
        <v>491</v>
      </c>
      <c r="D280" s="1" t="s">
        <v>496</v>
      </c>
      <c r="E280" s="1" t="s">
        <v>104</v>
      </c>
    </row>
    <row r="281" spans="1:5" x14ac:dyDescent="0.4">
      <c r="A281" s="1" t="s">
        <v>3</v>
      </c>
      <c r="B281" s="1" t="s">
        <v>576</v>
      </c>
      <c r="C281" s="1" t="s">
        <v>193</v>
      </c>
      <c r="D281" s="1" t="s">
        <v>406</v>
      </c>
      <c r="E281" s="1" t="s">
        <v>104</v>
      </c>
    </row>
    <row r="282" spans="1:5" x14ac:dyDescent="0.4">
      <c r="A282" s="1" t="s">
        <v>3</v>
      </c>
      <c r="B282" s="1" t="s">
        <v>576</v>
      </c>
      <c r="C282" s="1" t="s">
        <v>195</v>
      </c>
      <c r="D282" s="1" t="s">
        <v>407</v>
      </c>
      <c r="E282" s="1" t="s">
        <v>104</v>
      </c>
    </row>
    <row r="283" spans="1:5" x14ac:dyDescent="0.4">
      <c r="A283" s="1" t="s">
        <v>3</v>
      </c>
      <c r="B283" s="1" t="s">
        <v>576</v>
      </c>
      <c r="C283" s="1" t="s">
        <v>528</v>
      </c>
      <c r="D283" s="1" t="s">
        <v>522</v>
      </c>
      <c r="E283" s="1" t="s">
        <v>104</v>
      </c>
    </row>
    <row r="284" spans="1:5" x14ac:dyDescent="0.4">
      <c r="A284" s="1" t="s">
        <v>3</v>
      </c>
      <c r="B284" s="1" t="s">
        <v>576</v>
      </c>
      <c r="C284" s="1" t="s">
        <v>196</v>
      </c>
      <c r="D284" s="1" t="s">
        <v>409</v>
      </c>
      <c r="E284" s="1" t="s">
        <v>104</v>
      </c>
    </row>
    <row r="285" spans="1:5" x14ac:dyDescent="0.4">
      <c r="A285" s="1" t="s">
        <v>3</v>
      </c>
      <c r="B285" s="1" t="s">
        <v>576</v>
      </c>
      <c r="C285" s="1" t="s">
        <v>197</v>
      </c>
      <c r="D285" s="1" t="s">
        <v>410</v>
      </c>
      <c r="E285" s="1" t="s">
        <v>104</v>
      </c>
    </row>
    <row r="286" spans="1:5" x14ac:dyDescent="0.4">
      <c r="A286" s="1" t="s">
        <v>3</v>
      </c>
      <c r="B286" s="1" t="s">
        <v>576</v>
      </c>
      <c r="C286" s="1" t="s">
        <v>198</v>
      </c>
      <c r="D286" s="1" t="s">
        <v>411</v>
      </c>
      <c r="E286" s="1" t="s">
        <v>104</v>
      </c>
    </row>
    <row r="287" spans="1:5" x14ac:dyDescent="0.4">
      <c r="A287" s="1" t="s">
        <v>3</v>
      </c>
      <c r="B287" s="1" t="s">
        <v>576</v>
      </c>
      <c r="C287" s="1" t="s">
        <v>199</v>
      </c>
      <c r="D287" s="1" t="s">
        <v>412</v>
      </c>
      <c r="E287" s="1" t="s">
        <v>104</v>
      </c>
    </row>
    <row r="288" spans="1:5" x14ac:dyDescent="0.4">
      <c r="A288" s="1" t="s">
        <v>3</v>
      </c>
      <c r="B288" s="1" t="s">
        <v>576</v>
      </c>
      <c r="C288" s="1" t="s">
        <v>463</v>
      </c>
      <c r="D288" s="1" t="s">
        <v>413</v>
      </c>
      <c r="E288" s="1" t="s">
        <v>104</v>
      </c>
    </row>
    <row r="289" spans="1:5" x14ac:dyDescent="0.4">
      <c r="A289" s="1" t="s">
        <v>3</v>
      </c>
      <c r="B289" s="1" t="s">
        <v>576</v>
      </c>
      <c r="C289" s="1" t="s">
        <v>200</v>
      </c>
      <c r="D289" s="1" t="s">
        <v>414</v>
      </c>
      <c r="E289" s="1" t="s">
        <v>104</v>
      </c>
    </row>
    <row r="290" spans="1:5" x14ac:dyDescent="0.4">
      <c r="A290" s="1" t="s">
        <v>3</v>
      </c>
      <c r="B290" s="1" t="s">
        <v>576</v>
      </c>
      <c r="C290" s="1" t="s">
        <v>197</v>
      </c>
      <c r="D290" s="1" t="s">
        <v>415</v>
      </c>
      <c r="E290" s="1" t="s">
        <v>104</v>
      </c>
    </row>
    <row r="291" spans="1:5" x14ac:dyDescent="0.4">
      <c r="A291" s="1" t="s">
        <v>3</v>
      </c>
      <c r="B291" s="1" t="s">
        <v>576</v>
      </c>
      <c r="C291" s="1" t="s">
        <v>201</v>
      </c>
      <c r="D291" s="1" t="s">
        <v>416</v>
      </c>
      <c r="E291" s="1" t="s">
        <v>104</v>
      </c>
    </row>
    <row r="292" spans="1:5" x14ac:dyDescent="0.4">
      <c r="A292" s="1" t="s">
        <v>3</v>
      </c>
      <c r="B292" s="1" t="s">
        <v>576</v>
      </c>
      <c r="C292" s="1" t="s">
        <v>203</v>
      </c>
      <c r="D292" s="1" t="s">
        <v>417</v>
      </c>
      <c r="E292" s="1" t="s">
        <v>104</v>
      </c>
    </row>
    <row r="293" spans="1:5" x14ac:dyDescent="0.4">
      <c r="A293" s="1" t="s">
        <v>3</v>
      </c>
      <c r="B293" s="1" t="s">
        <v>576</v>
      </c>
      <c r="C293" s="1" t="s">
        <v>452</v>
      </c>
      <c r="D293" s="1" t="s">
        <v>459</v>
      </c>
      <c r="E293" s="1" t="s">
        <v>104</v>
      </c>
    </row>
    <row r="294" spans="1:5" x14ac:dyDescent="0.4">
      <c r="A294" s="1" t="s">
        <v>3</v>
      </c>
      <c r="B294" s="1" t="s">
        <v>576</v>
      </c>
      <c r="C294" s="1" t="s">
        <v>316</v>
      </c>
      <c r="D294" s="1" t="s">
        <v>418</v>
      </c>
      <c r="E294" s="1" t="s">
        <v>104</v>
      </c>
    </row>
    <row r="295" spans="1:5" x14ac:dyDescent="0.4">
      <c r="A295" s="1" t="s">
        <v>3</v>
      </c>
      <c r="B295" s="1" t="s">
        <v>576</v>
      </c>
      <c r="C295" s="1" t="s">
        <v>317</v>
      </c>
      <c r="D295" s="1" t="s">
        <v>419</v>
      </c>
      <c r="E295" s="1" t="s">
        <v>104</v>
      </c>
    </row>
    <row r="296" spans="1:5" x14ac:dyDescent="0.4">
      <c r="A296" s="1" t="s">
        <v>3</v>
      </c>
      <c r="B296" s="1" t="s">
        <v>576</v>
      </c>
      <c r="C296" s="1" t="s">
        <v>318</v>
      </c>
      <c r="D296" s="1" t="s">
        <v>420</v>
      </c>
      <c r="E296" s="1" t="s">
        <v>104</v>
      </c>
    </row>
    <row r="297" spans="1:5" x14ac:dyDescent="0.4">
      <c r="A297" s="1" t="s">
        <v>3</v>
      </c>
      <c r="B297" s="1" t="s">
        <v>576</v>
      </c>
      <c r="C297" s="1" t="s">
        <v>319</v>
      </c>
      <c r="D297" s="1" t="s">
        <v>421</v>
      </c>
      <c r="E297" s="1" t="s">
        <v>104</v>
      </c>
    </row>
    <row r="298" spans="1:5" x14ac:dyDescent="0.4">
      <c r="A298" s="1" t="s">
        <v>3</v>
      </c>
      <c r="B298" s="1" t="s">
        <v>576</v>
      </c>
      <c r="C298" s="1" t="s">
        <v>77</v>
      </c>
      <c r="D298" s="1" t="s">
        <v>89</v>
      </c>
      <c r="E298" s="1" t="s">
        <v>104</v>
      </c>
    </row>
    <row r="299" spans="1:5" x14ac:dyDescent="0.4">
      <c r="A299" s="1" t="s">
        <v>3</v>
      </c>
      <c r="B299" s="1" t="s">
        <v>576</v>
      </c>
      <c r="C299" s="1" t="s">
        <v>323</v>
      </c>
      <c r="D299" s="1" t="s">
        <v>422</v>
      </c>
      <c r="E299" s="1" t="s">
        <v>104</v>
      </c>
    </row>
    <row r="300" spans="1:5" x14ac:dyDescent="0.4">
      <c r="A300" s="1" t="s">
        <v>3</v>
      </c>
      <c r="B300" s="1" t="s">
        <v>576</v>
      </c>
      <c r="C300" s="1" t="s">
        <v>321</v>
      </c>
      <c r="D300" s="1" t="s">
        <v>424</v>
      </c>
      <c r="E300" s="1" t="s">
        <v>104</v>
      </c>
    </row>
    <row r="301" spans="1:5" x14ac:dyDescent="0.4">
      <c r="A301" s="1" t="s">
        <v>3</v>
      </c>
      <c r="B301" s="1" t="s">
        <v>576</v>
      </c>
      <c r="C301" s="1" t="s">
        <v>322</v>
      </c>
      <c r="D301" s="1" t="s">
        <v>425</v>
      </c>
      <c r="E301" s="1" t="s">
        <v>104</v>
      </c>
    </row>
    <row r="302" spans="1:5" x14ac:dyDescent="0.4">
      <c r="A302" s="1" t="s">
        <v>3</v>
      </c>
      <c r="B302" s="1" t="s">
        <v>576</v>
      </c>
      <c r="C302" s="1" t="s">
        <v>325</v>
      </c>
      <c r="D302" s="1" t="s">
        <v>426</v>
      </c>
      <c r="E302" s="1" t="s">
        <v>104</v>
      </c>
    </row>
    <row r="303" spans="1:5" x14ac:dyDescent="0.4">
      <c r="A303" s="1" t="s">
        <v>3</v>
      </c>
      <c r="B303" s="1" t="s">
        <v>576</v>
      </c>
      <c r="C303" s="1" t="s">
        <v>326</v>
      </c>
      <c r="D303" s="1" t="s">
        <v>449</v>
      </c>
      <c r="E303" s="1" t="s">
        <v>104</v>
      </c>
    </row>
    <row r="304" spans="1:5" x14ac:dyDescent="0.4">
      <c r="A304" s="1" t="s">
        <v>3</v>
      </c>
      <c r="B304" s="1" t="s">
        <v>576</v>
      </c>
      <c r="C304" s="1" t="s">
        <v>327</v>
      </c>
      <c r="D304" s="1" t="s">
        <v>428</v>
      </c>
      <c r="E304" s="1" t="s">
        <v>104</v>
      </c>
    </row>
    <row r="305" spans="1:5" ht="56.25" x14ac:dyDescent="0.4">
      <c r="A305" s="1" t="s">
        <v>3</v>
      </c>
      <c r="B305" s="1" t="s">
        <v>576</v>
      </c>
      <c r="C305" s="1" t="s">
        <v>590</v>
      </c>
      <c r="D305" s="1" t="s">
        <v>175</v>
      </c>
      <c r="E305" s="3" t="s">
        <v>176</v>
      </c>
    </row>
    <row r="306" spans="1:5" ht="56.25" x14ac:dyDescent="0.4">
      <c r="A306" s="1" t="s">
        <v>3</v>
      </c>
      <c r="B306" s="1" t="s">
        <v>576</v>
      </c>
      <c r="C306" s="1" t="s">
        <v>591</v>
      </c>
      <c r="D306" s="1" t="s">
        <v>175</v>
      </c>
      <c r="E306" s="3" t="s">
        <v>176</v>
      </c>
    </row>
    <row r="307" spans="1:5" ht="56.25" x14ac:dyDescent="0.4">
      <c r="A307" s="1" t="s">
        <v>3</v>
      </c>
      <c r="B307" s="1" t="s">
        <v>576</v>
      </c>
      <c r="C307" s="1" t="s">
        <v>592</v>
      </c>
      <c r="D307" s="1" t="s">
        <v>175</v>
      </c>
      <c r="E307" s="3" t="s">
        <v>176</v>
      </c>
    </row>
    <row r="308" spans="1:5" ht="56.25" x14ac:dyDescent="0.4">
      <c r="A308" s="1" t="s">
        <v>3</v>
      </c>
      <c r="B308" s="1" t="s">
        <v>576</v>
      </c>
      <c r="C308" s="1" t="s">
        <v>593</v>
      </c>
      <c r="D308" s="1" t="s">
        <v>175</v>
      </c>
      <c r="E308" s="3" t="s">
        <v>176</v>
      </c>
    </row>
    <row r="309" spans="1:5" ht="281.25" x14ac:dyDescent="0.4">
      <c r="A309" s="1" t="s">
        <v>3</v>
      </c>
      <c r="B309" s="1" t="s">
        <v>576</v>
      </c>
      <c r="C309" s="1" t="s">
        <v>595</v>
      </c>
      <c r="D309" s="1" t="s">
        <v>175</v>
      </c>
      <c r="E309" s="3" t="s">
        <v>476</v>
      </c>
    </row>
    <row r="310" spans="1:5" x14ac:dyDescent="0.4">
      <c r="A310" s="1" t="s">
        <v>3</v>
      </c>
      <c r="B310" s="1" t="s">
        <v>576</v>
      </c>
      <c r="C310" s="1" t="s">
        <v>439</v>
      </c>
      <c r="D310" s="1" t="s">
        <v>175</v>
      </c>
      <c r="E310" s="1" t="s">
        <v>104</v>
      </c>
    </row>
    <row r="311" spans="1:5" x14ac:dyDescent="0.4">
      <c r="A311" s="1" t="s">
        <v>3</v>
      </c>
      <c r="B311" s="1" t="s">
        <v>576</v>
      </c>
      <c r="C311" s="1" t="s">
        <v>442</v>
      </c>
      <c r="D311" s="1" t="s">
        <v>175</v>
      </c>
      <c r="E311" s="1" t="s">
        <v>104</v>
      </c>
    </row>
    <row r="312" spans="1:5" x14ac:dyDescent="0.4">
      <c r="A312" s="1" t="s">
        <v>3</v>
      </c>
      <c r="B312" s="1" t="s">
        <v>576</v>
      </c>
      <c r="C312" s="1" t="s">
        <v>474</v>
      </c>
      <c r="D312" s="1" t="s">
        <v>175</v>
      </c>
      <c r="E312" s="1" t="s">
        <v>104</v>
      </c>
    </row>
    <row r="313" spans="1:5" x14ac:dyDescent="0.4">
      <c r="A313" s="1" t="s">
        <v>3</v>
      </c>
      <c r="B313" s="1" t="s">
        <v>576</v>
      </c>
      <c r="C313" s="1" t="s">
        <v>506</v>
      </c>
      <c r="D313" s="1" t="s">
        <v>175</v>
      </c>
      <c r="E313" s="1" t="s">
        <v>104</v>
      </c>
    </row>
    <row r="314" spans="1:5" x14ac:dyDescent="0.4">
      <c r="A314" s="1" t="s">
        <v>3</v>
      </c>
      <c r="B314" s="1" t="s">
        <v>576</v>
      </c>
      <c r="C314" s="1" t="s">
        <v>525</v>
      </c>
      <c r="D314" s="1" t="s">
        <v>175</v>
      </c>
      <c r="E314" s="1" t="s">
        <v>104</v>
      </c>
    </row>
    <row r="315" spans="1:5" ht="409.5" x14ac:dyDescent="0.4">
      <c r="A315" s="1" t="s">
        <v>3</v>
      </c>
      <c r="B315" s="1" t="s">
        <v>596</v>
      </c>
      <c r="C315" s="1" t="s">
        <v>117</v>
      </c>
      <c r="D315" s="1" t="s">
        <v>537</v>
      </c>
      <c r="E315" s="3" t="s">
        <v>445</v>
      </c>
    </row>
    <row r="316" spans="1:5" ht="409.5" x14ac:dyDescent="0.4">
      <c r="A316" s="1" t="s">
        <v>3</v>
      </c>
      <c r="B316" s="1" t="s">
        <v>596</v>
      </c>
      <c r="C316" s="1" t="s">
        <v>182</v>
      </c>
      <c r="D316" s="1" t="s">
        <v>548</v>
      </c>
      <c r="E316" s="3" t="s">
        <v>446</v>
      </c>
    </row>
    <row r="317" spans="1:5" ht="409.5" x14ac:dyDescent="0.4">
      <c r="A317" s="1" t="s">
        <v>3</v>
      </c>
      <c r="B317" s="1" t="s">
        <v>596</v>
      </c>
      <c r="C317" s="1" t="s">
        <v>492</v>
      </c>
      <c r="D317" s="1" t="s">
        <v>551</v>
      </c>
      <c r="E317" s="3" t="s">
        <v>509</v>
      </c>
    </row>
    <row r="318" spans="1:5" ht="409.5" x14ac:dyDescent="0.4">
      <c r="A318" s="1" t="s">
        <v>3</v>
      </c>
      <c r="B318" s="1" t="s">
        <v>597</v>
      </c>
      <c r="C318" s="1" t="s">
        <v>117</v>
      </c>
      <c r="D318" s="1" t="s">
        <v>537</v>
      </c>
      <c r="E318" s="3" t="s">
        <v>445</v>
      </c>
    </row>
    <row r="319" spans="1:5" ht="75" x14ac:dyDescent="0.4">
      <c r="A319" s="1" t="s">
        <v>3</v>
      </c>
      <c r="B319" s="1" t="s">
        <v>597</v>
      </c>
      <c r="C319" s="1" t="s">
        <v>113</v>
      </c>
      <c r="D319" s="1" t="s">
        <v>539</v>
      </c>
      <c r="E319" s="3" t="s">
        <v>598</v>
      </c>
    </row>
    <row r="320" spans="1:5" ht="409.5" x14ac:dyDescent="0.4">
      <c r="A320" s="1" t="s">
        <v>3</v>
      </c>
      <c r="B320" s="1" t="s">
        <v>597</v>
      </c>
      <c r="C320" s="1" t="s">
        <v>182</v>
      </c>
      <c r="D320" s="1" t="s">
        <v>548</v>
      </c>
      <c r="E320" s="3" t="s">
        <v>446</v>
      </c>
    </row>
    <row r="321" spans="1:5" ht="409.5" x14ac:dyDescent="0.4">
      <c r="A321" s="1" t="s">
        <v>3</v>
      </c>
      <c r="B321" s="1" t="s">
        <v>597</v>
      </c>
      <c r="C321" s="1" t="s">
        <v>492</v>
      </c>
      <c r="D321" s="1" t="s">
        <v>551</v>
      </c>
      <c r="E321" s="3" t="s">
        <v>509</v>
      </c>
    </row>
    <row r="322" spans="1:5" ht="409.5" x14ac:dyDescent="0.4">
      <c r="A322" s="1" t="s">
        <v>3</v>
      </c>
      <c r="B322" s="1" t="s">
        <v>599</v>
      </c>
      <c r="C322" s="1" t="s">
        <v>117</v>
      </c>
      <c r="D322" s="1" t="s">
        <v>537</v>
      </c>
      <c r="E322" s="3" t="s">
        <v>445</v>
      </c>
    </row>
    <row r="323" spans="1:5" ht="75" x14ac:dyDescent="0.4">
      <c r="A323" s="1" t="s">
        <v>3</v>
      </c>
      <c r="B323" s="1" t="s">
        <v>599</v>
      </c>
      <c r="C323" s="1" t="s">
        <v>113</v>
      </c>
      <c r="D323" s="1" t="s">
        <v>539</v>
      </c>
      <c r="E323" s="3" t="s">
        <v>513</v>
      </c>
    </row>
    <row r="324" spans="1:5" ht="409.5" x14ac:dyDescent="0.4">
      <c r="A324" s="1" t="s">
        <v>3</v>
      </c>
      <c r="B324" s="1" t="s">
        <v>599</v>
      </c>
      <c r="C324" s="1" t="s">
        <v>182</v>
      </c>
      <c r="D324" s="1" t="s">
        <v>548</v>
      </c>
      <c r="E324" s="3" t="s">
        <v>600</v>
      </c>
    </row>
    <row r="325" spans="1:5" ht="131.25" x14ac:dyDescent="0.4">
      <c r="A325" s="1" t="s">
        <v>3</v>
      </c>
      <c r="B325" s="1" t="s">
        <v>599</v>
      </c>
      <c r="C325" s="1" t="s">
        <v>491</v>
      </c>
      <c r="D325" s="1" t="s">
        <v>501</v>
      </c>
      <c r="E325" s="3" t="s">
        <v>601</v>
      </c>
    </row>
    <row r="326" spans="1:5" ht="409.5" x14ac:dyDescent="0.4">
      <c r="A326" s="1" t="s">
        <v>3</v>
      </c>
      <c r="B326" s="1" t="s">
        <v>599</v>
      </c>
      <c r="C326" s="1" t="s">
        <v>492</v>
      </c>
      <c r="D326" s="1" t="s">
        <v>551</v>
      </c>
      <c r="E326" s="3" t="s">
        <v>602</v>
      </c>
    </row>
    <row r="327" spans="1:5" ht="409.5" x14ac:dyDescent="0.4">
      <c r="A327" s="1" t="s">
        <v>3</v>
      </c>
      <c r="B327" s="1" t="s">
        <v>603</v>
      </c>
      <c r="C327" s="1" t="s">
        <v>117</v>
      </c>
      <c r="D327" s="1" t="s">
        <v>537</v>
      </c>
      <c r="E327" s="3" t="s">
        <v>445</v>
      </c>
    </row>
    <row r="328" spans="1:5" ht="75" x14ac:dyDescent="0.4">
      <c r="A328" s="1" t="s">
        <v>3</v>
      </c>
      <c r="B328" s="1" t="s">
        <v>603</v>
      </c>
      <c r="C328" s="1" t="s">
        <v>113</v>
      </c>
      <c r="D328" s="1" t="s">
        <v>539</v>
      </c>
      <c r="E328" s="3" t="s">
        <v>513</v>
      </c>
    </row>
    <row r="329" spans="1:5" ht="409.5" x14ac:dyDescent="0.4">
      <c r="A329" s="1" t="s">
        <v>3</v>
      </c>
      <c r="B329" s="1" t="s">
        <v>603</v>
      </c>
      <c r="C329" s="1" t="s">
        <v>492</v>
      </c>
      <c r="D329" s="1" t="s">
        <v>551</v>
      </c>
      <c r="E329" s="3" t="s">
        <v>509</v>
      </c>
    </row>
    <row r="330" spans="1:5" ht="409.5" x14ac:dyDescent="0.4">
      <c r="A330" s="1" t="s">
        <v>3</v>
      </c>
      <c r="B330" s="1" t="s">
        <v>605</v>
      </c>
      <c r="C330" s="1" t="s">
        <v>117</v>
      </c>
      <c r="D330" s="1" t="s">
        <v>537</v>
      </c>
      <c r="E330" s="3" t="s">
        <v>445</v>
      </c>
    </row>
    <row r="331" spans="1:5" ht="75" x14ac:dyDescent="0.4">
      <c r="A331" s="1" t="s">
        <v>3</v>
      </c>
      <c r="B331" s="1" t="s">
        <v>605</v>
      </c>
      <c r="C331" s="1" t="s">
        <v>113</v>
      </c>
      <c r="D331" s="1" t="s">
        <v>539</v>
      </c>
      <c r="E331" s="3" t="s">
        <v>513</v>
      </c>
    </row>
    <row r="332" spans="1:5" ht="409.5" x14ac:dyDescent="0.4">
      <c r="A332" s="1" t="s">
        <v>3</v>
      </c>
      <c r="B332" s="1" t="s">
        <v>605</v>
      </c>
      <c r="C332" s="1" t="s">
        <v>492</v>
      </c>
      <c r="D332" s="1" t="s">
        <v>551</v>
      </c>
      <c r="E332" s="3" t="s">
        <v>509</v>
      </c>
    </row>
    <row r="333" spans="1:5" ht="409.5" x14ac:dyDescent="0.4">
      <c r="A333" s="1" t="s">
        <v>3</v>
      </c>
      <c r="B333" s="1" t="s">
        <v>606</v>
      </c>
      <c r="C333" s="1" t="s">
        <v>117</v>
      </c>
      <c r="D333" s="1" t="s">
        <v>537</v>
      </c>
      <c r="E333" s="3" t="s">
        <v>445</v>
      </c>
    </row>
    <row r="334" spans="1:5" ht="75" x14ac:dyDescent="0.4">
      <c r="A334" s="1" t="s">
        <v>3</v>
      </c>
      <c r="B334" s="1" t="s">
        <v>606</v>
      </c>
      <c r="C334" s="1" t="s">
        <v>113</v>
      </c>
      <c r="D334" s="1" t="s">
        <v>539</v>
      </c>
      <c r="E334" s="3" t="s">
        <v>513</v>
      </c>
    </row>
    <row r="335" spans="1:5" ht="409.5" x14ac:dyDescent="0.4">
      <c r="A335" s="1" t="s">
        <v>3</v>
      </c>
      <c r="B335" s="1" t="s">
        <v>606</v>
      </c>
      <c r="C335" s="1" t="s">
        <v>492</v>
      </c>
      <c r="D335" s="1" t="s">
        <v>551</v>
      </c>
      <c r="E335" s="3" t="s">
        <v>509</v>
      </c>
    </row>
    <row r="336" spans="1:5" ht="300" x14ac:dyDescent="0.4">
      <c r="A336" s="1" t="s">
        <v>3</v>
      </c>
      <c r="B336" s="1" t="s">
        <v>611</v>
      </c>
      <c r="C336" s="1" t="s">
        <v>195</v>
      </c>
      <c r="D336" s="1" t="s">
        <v>608</v>
      </c>
      <c r="E336" s="3" t="s">
        <v>301</v>
      </c>
    </row>
    <row r="337" spans="1:5" ht="262.5" x14ac:dyDescent="0.4">
      <c r="A337" s="1" t="s">
        <v>3</v>
      </c>
      <c r="B337" s="1" t="s">
        <v>611</v>
      </c>
      <c r="C337" s="1" t="s">
        <v>607</v>
      </c>
      <c r="D337" s="1" t="s">
        <v>609</v>
      </c>
      <c r="E337" s="3" t="s">
        <v>612</v>
      </c>
    </row>
    <row r="338" spans="1:5" ht="262.5" x14ac:dyDescent="0.4">
      <c r="A338" s="1" t="s">
        <v>3</v>
      </c>
      <c r="B338" s="1" t="s">
        <v>611</v>
      </c>
      <c r="C338" s="1" t="s">
        <v>197</v>
      </c>
      <c r="D338" s="1" t="s">
        <v>610</v>
      </c>
      <c r="E338" s="3" t="s">
        <v>304</v>
      </c>
    </row>
    <row r="339" spans="1:5" x14ac:dyDescent="0.4">
      <c r="A339" s="1" t="s">
        <v>3</v>
      </c>
      <c r="B339" s="1" t="s">
        <v>611</v>
      </c>
      <c r="C339" s="1" t="s">
        <v>195</v>
      </c>
      <c r="D339" s="1" t="s">
        <v>553</v>
      </c>
      <c r="E339" s="1" t="s">
        <v>104</v>
      </c>
    </row>
    <row r="340" spans="1:5" ht="409.5" x14ac:dyDescent="0.4">
      <c r="A340" s="1" t="s">
        <v>3</v>
      </c>
      <c r="B340" s="1" t="s">
        <v>613</v>
      </c>
      <c r="C340" s="1" t="s">
        <v>117</v>
      </c>
      <c r="D340" s="1" t="s">
        <v>537</v>
      </c>
      <c r="E340" s="3" t="s">
        <v>488</v>
      </c>
    </row>
    <row r="341" spans="1:5" ht="300" x14ac:dyDescent="0.4">
      <c r="A341" s="1" t="s">
        <v>3</v>
      </c>
      <c r="B341" s="1" t="s">
        <v>614</v>
      </c>
      <c r="C341" s="1" t="s">
        <v>195</v>
      </c>
      <c r="D341" s="1" t="s">
        <v>553</v>
      </c>
      <c r="E341" s="3" t="s">
        <v>301</v>
      </c>
    </row>
    <row r="342" spans="1:5" x14ac:dyDescent="0.4">
      <c r="A342" s="1" t="s">
        <v>3</v>
      </c>
      <c r="B342" s="1" t="s">
        <v>614</v>
      </c>
      <c r="C342" s="1" t="s">
        <v>195</v>
      </c>
      <c r="D342" s="1" t="s">
        <v>608</v>
      </c>
      <c r="E342" s="1" t="s">
        <v>104</v>
      </c>
    </row>
    <row r="343" spans="1:5" x14ac:dyDescent="0.4">
      <c r="A343" s="1" t="s">
        <v>3</v>
      </c>
      <c r="B343" s="1" t="s">
        <v>614</v>
      </c>
      <c r="C343" s="1" t="s">
        <v>607</v>
      </c>
      <c r="D343" s="1" t="s">
        <v>609</v>
      </c>
      <c r="E343" s="1" t="s">
        <v>104</v>
      </c>
    </row>
    <row r="344" spans="1:5" x14ac:dyDescent="0.4">
      <c r="A344" s="1" t="s">
        <v>3</v>
      </c>
      <c r="B344" s="1" t="s">
        <v>614</v>
      </c>
      <c r="C344" s="1" t="s">
        <v>197</v>
      </c>
      <c r="D344" s="1" t="s">
        <v>610</v>
      </c>
      <c r="E344" s="1" t="s">
        <v>104</v>
      </c>
    </row>
    <row r="345" spans="1:5" ht="75" x14ac:dyDescent="0.4">
      <c r="A345" s="1" t="s">
        <v>3</v>
      </c>
      <c r="B345" s="1" t="s">
        <v>622</v>
      </c>
      <c r="C345" s="1" t="s">
        <v>200</v>
      </c>
      <c r="D345" s="1" t="s">
        <v>560</v>
      </c>
      <c r="E345" s="3" t="s">
        <v>486</v>
      </c>
    </row>
    <row r="346" spans="1:5" ht="187.5" x14ac:dyDescent="0.4">
      <c r="A346" s="1" t="s">
        <v>3</v>
      </c>
      <c r="B346" s="1" t="s">
        <v>622</v>
      </c>
      <c r="C346" s="1" t="s">
        <v>615</v>
      </c>
      <c r="D346" s="1" t="s">
        <v>562</v>
      </c>
      <c r="E346" s="3" t="s">
        <v>623</v>
      </c>
    </row>
    <row r="347" spans="1:5" ht="206.25" x14ac:dyDescent="0.4">
      <c r="A347" s="1" t="s">
        <v>3</v>
      </c>
      <c r="B347" s="1" t="s">
        <v>622</v>
      </c>
      <c r="C347" s="1" t="s">
        <v>616</v>
      </c>
      <c r="D347" s="1" t="s">
        <v>563</v>
      </c>
      <c r="E347" s="3" t="s">
        <v>624</v>
      </c>
    </row>
    <row r="348" spans="1:5" ht="56.25" x14ac:dyDescent="0.4">
      <c r="A348" s="1" t="s">
        <v>3</v>
      </c>
      <c r="B348" s="1" t="s">
        <v>622</v>
      </c>
      <c r="C348" s="1" t="s">
        <v>625</v>
      </c>
      <c r="D348" s="1" t="s">
        <v>175</v>
      </c>
      <c r="E348" s="3" t="s">
        <v>176</v>
      </c>
    </row>
    <row r="349" spans="1:5" x14ac:dyDescent="0.4">
      <c r="A349" s="1" t="s">
        <v>3</v>
      </c>
      <c r="B349" s="1" t="s">
        <v>622</v>
      </c>
      <c r="C349" s="1" t="s">
        <v>592</v>
      </c>
      <c r="D349" s="1" t="s">
        <v>175</v>
      </c>
      <c r="E349" s="1" t="s">
        <v>104</v>
      </c>
    </row>
    <row r="350" spans="1:5" ht="93.75" x14ac:dyDescent="0.4">
      <c r="A350" s="1" t="s">
        <v>3</v>
      </c>
      <c r="B350" s="1" t="s">
        <v>626</v>
      </c>
      <c r="C350" s="1" t="s">
        <v>39</v>
      </c>
      <c r="D350" s="1" t="s">
        <v>1</v>
      </c>
      <c r="E350" s="3" t="s">
        <v>627</v>
      </c>
    </row>
    <row r="351" spans="1:5" ht="318.75" x14ac:dyDescent="0.4">
      <c r="A351" s="1" t="s">
        <v>3</v>
      </c>
      <c r="B351" s="1" t="s">
        <v>670</v>
      </c>
      <c r="C351" s="1" t="s">
        <v>107</v>
      </c>
      <c r="D351" s="1" t="s">
        <v>628</v>
      </c>
      <c r="E351" s="3" t="s">
        <v>165</v>
      </c>
    </row>
    <row r="352" spans="1:5" ht="318.75" x14ac:dyDescent="0.4">
      <c r="A352" s="1" t="s">
        <v>3</v>
      </c>
      <c r="B352" s="1" t="s">
        <v>670</v>
      </c>
      <c r="C352" s="1" t="s">
        <v>115</v>
      </c>
      <c r="D352" s="1" t="s">
        <v>390</v>
      </c>
      <c r="E352" s="3" t="s">
        <v>671</v>
      </c>
    </row>
    <row r="353" spans="1:5" ht="243.75" x14ac:dyDescent="0.4">
      <c r="A353" s="1" t="s">
        <v>3</v>
      </c>
      <c r="B353" s="1" t="s">
        <v>670</v>
      </c>
      <c r="C353" s="1" t="s">
        <v>116</v>
      </c>
      <c r="D353" s="1" t="s">
        <v>391</v>
      </c>
      <c r="E353" s="3" t="s">
        <v>167</v>
      </c>
    </row>
    <row r="354" spans="1:5" ht="409.5" x14ac:dyDescent="0.4">
      <c r="A354" s="1" t="s">
        <v>3</v>
      </c>
      <c r="B354" s="1" t="s">
        <v>670</v>
      </c>
      <c r="C354" s="1" t="s">
        <v>117</v>
      </c>
      <c r="D354" s="1" t="s">
        <v>630</v>
      </c>
      <c r="E354" s="3" t="s">
        <v>430</v>
      </c>
    </row>
    <row r="355" spans="1:5" ht="300" x14ac:dyDescent="0.4">
      <c r="A355" s="1" t="s">
        <v>3</v>
      </c>
      <c r="B355" s="1" t="s">
        <v>670</v>
      </c>
      <c r="C355" s="1" t="s">
        <v>108</v>
      </c>
      <c r="D355" s="1" t="s">
        <v>631</v>
      </c>
      <c r="E355" s="3" t="s">
        <v>169</v>
      </c>
    </row>
    <row r="356" spans="1:5" ht="375" x14ac:dyDescent="0.4">
      <c r="A356" s="1" t="s">
        <v>3</v>
      </c>
      <c r="B356" s="1" t="s">
        <v>670</v>
      </c>
      <c r="C356" s="1" t="s">
        <v>112</v>
      </c>
      <c r="D356" s="1" t="s">
        <v>632</v>
      </c>
      <c r="E356" s="3" t="s">
        <v>578</v>
      </c>
    </row>
    <row r="357" spans="1:5" ht="393.75" x14ac:dyDescent="0.4">
      <c r="A357" s="1" t="s">
        <v>3</v>
      </c>
      <c r="B357" s="1" t="s">
        <v>670</v>
      </c>
      <c r="C357" s="1" t="s">
        <v>113</v>
      </c>
      <c r="D357" s="1" t="s">
        <v>633</v>
      </c>
      <c r="E357" s="3" t="s">
        <v>672</v>
      </c>
    </row>
    <row r="358" spans="1:5" ht="409.5" x14ac:dyDescent="0.4">
      <c r="A358" s="1" t="s">
        <v>3</v>
      </c>
      <c r="B358" s="1" t="s">
        <v>670</v>
      </c>
      <c r="C358" s="1" t="s">
        <v>118</v>
      </c>
      <c r="D358" s="1" t="s">
        <v>634</v>
      </c>
      <c r="E358" s="3" t="s">
        <v>673</v>
      </c>
    </row>
    <row r="359" spans="1:5" ht="318.75" x14ac:dyDescent="0.4">
      <c r="A359" s="1" t="s">
        <v>3</v>
      </c>
      <c r="B359" s="1" t="s">
        <v>670</v>
      </c>
      <c r="C359" s="1" t="s">
        <v>114</v>
      </c>
      <c r="D359" s="1" t="s">
        <v>635</v>
      </c>
      <c r="E359" s="3" t="s">
        <v>173</v>
      </c>
    </row>
    <row r="360" spans="1:5" ht="300" x14ac:dyDescent="0.4">
      <c r="A360" s="1" t="s">
        <v>3</v>
      </c>
      <c r="B360" s="1" t="s">
        <v>670</v>
      </c>
      <c r="C360" s="1" t="s">
        <v>179</v>
      </c>
      <c r="D360" s="1" t="s">
        <v>636</v>
      </c>
      <c r="E360" s="3" t="s">
        <v>290</v>
      </c>
    </row>
    <row r="361" spans="1:5" ht="281.25" x14ac:dyDescent="0.4">
      <c r="A361" s="1" t="s">
        <v>3</v>
      </c>
      <c r="B361" s="1" t="s">
        <v>670</v>
      </c>
      <c r="C361" s="1" t="s">
        <v>186</v>
      </c>
      <c r="D361" s="1" t="s">
        <v>637</v>
      </c>
      <c r="E361" s="3" t="s">
        <v>291</v>
      </c>
    </row>
    <row r="362" spans="1:5" ht="318.75" x14ac:dyDescent="0.4">
      <c r="A362" s="1" t="s">
        <v>3</v>
      </c>
      <c r="B362" s="1" t="s">
        <v>670</v>
      </c>
      <c r="C362" s="1" t="s">
        <v>180</v>
      </c>
      <c r="D362" s="1" t="s">
        <v>638</v>
      </c>
      <c r="E362" s="3" t="s">
        <v>671</v>
      </c>
    </row>
    <row r="363" spans="1:5" ht="300" x14ac:dyDescent="0.4">
      <c r="A363" s="1" t="s">
        <v>3</v>
      </c>
      <c r="B363" s="1" t="s">
        <v>670</v>
      </c>
      <c r="C363" s="1" t="s">
        <v>187</v>
      </c>
      <c r="D363" s="1" t="s">
        <v>639</v>
      </c>
      <c r="E363" s="3" t="s">
        <v>293</v>
      </c>
    </row>
    <row r="364" spans="1:5" ht="281.25" x14ac:dyDescent="0.4">
      <c r="A364" s="1" t="s">
        <v>3</v>
      </c>
      <c r="B364" s="1" t="s">
        <v>670</v>
      </c>
      <c r="C364" s="1" t="s">
        <v>181</v>
      </c>
      <c r="D364" s="1" t="s">
        <v>640</v>
      </c>
      <c r="E364" s="3" t="s">
        <v>581</v>
      </c>
    </row>
    <row r="365" spans="1:5" ht="300" x14ac:dyDescent="0.4">
      <c r="A365" s="1" t="s">
        <v>3</v>
      </c>
      <c r="B365" s="1" t="s">
        <v>670</v>
      </c>
      <c r="C365" s="1" t="s">
        <v>188</v>
      </c>
      <c r="D365" s="1" t="s">
        <v>641</v>
      </c>
      <c r="E365" s="3" t="s">
        <v>295</v>
      </c>
    </row>
    <row r="366" spans="1:5" ht="409.5" x14ac:dyDescent="0.4">
      <c r="A366" s="1" t="s">
        <v>3</v>
      </c>
      <c r="B366" s="1" t="s">
        <v>670</v>
      </c>
      <c r="C366" s="1" t="s">
        <v>182</v>
      </c>
      <c r="D366" s="1" t="s">
        <v>642</v>
      </c>
      <c r="E366" s="3" t="s">
        <v>582</v>
      </c>
    </row>
    <row r="367" spans="1:5" ht="262.5" x14ac:dyDescent="0.4">
      <c r="A367" s="1" t="s">
        <v>3</v>
      </c>
      <c r="B367" s="1" t="s">
        <v>670</v>
      </c>
      <c r="C367" s="1" t="s">
        <v>477</v>
      </c>
      <c r="D367" s="1" t="s">
        <v>643</v>
      </c>
      <c r="E367" s="3" t="s">
        <v>503</v>
      </c>
    </row>
    <row r="368" spans="1:5" ht="262.5" x14ac:dyDescent="0.4">
      <c r="A368" s="1" t="s">
        <v>3</v>
      </c>
      <c r="B368" s="1" t="s">
        <v>670</v>
      </c>
      <c r="C368" s="1" t="s">
        <v>190</v>
      </c>
      <c r="D368" s="1" t="s">
        <v>644</v>
      </c>
      <c r="E368" s="3" t="s">
        <v>299</v>
      </c>
    </row>
    <row r="369" spans="1:5" ht="409.5" x14ac:dyDescent="0.4">
      <c r="A369" s="1" t="s">
        <v>3</v>
      </c>
      <c r="B369" s="1" t="s">
        <v>670</v>
      </c>
      <c r="C369" s="1" t="s">
        <v>491</v>
      </c>
      <c r="D369" s="1" t="s">
        <v>551</v>
      </c>
      <c r="E369" s="3" t="s">
        <v>674</v>
      </c>
    </row>
    <row r="370" spans="1:5" ht="409.5" x14ac:dyDescent="0.4">
      <c r="A370" s="1" t="s">
        <v>3</v>
      </c>
      <c r="B370" s="1" t="s">
        <v>670</v>
      </c>
      <c r="C370" s="1" t="s">
        <v>492</v>
      </c>
      <c r="D370" s="1" t="s">
        <v>646</v>
      </c>
      <c r="E370" s="3" t="s">
        <v>675</v>
      </c>
    </row>
    <row r="371" spans="1:5" ht="262.5" x14ac:dyDescent="0.4">
      <c r="A371" s="1" t="s">
        <v>3</v>
      </c>
      <c r="B371" s="1" t="s">
        <v>670</v>
      </c>
      <c r="C371" s="1" t="s">
        <v>193</v>
      </c>
      <c r="D371" s="1" t="s">
        <v>647</v>
      </c>
      <c r="E371" s="3" t="s">
        <v>300</v>
      </c>
    </row>
    <row r="372" spans="1:5" ht="300" x14ac:dyDescent="0.4">
      <c r="A372" s="1" t="s">
        <v>3</v>
      </c>
      <c r="B372" s="1" t="s">
        <v>670</v>
      </c>
      <c r="C372" s="1" t="s">
        <v>195</v>
      </c>
      <c r="D372" s="1" t="s">
        <v>648</v>
      </c>
      <c r="E372" s="3" t="s">
        <v>301</v>
      </c>
    </row>
    <row r="373" spans="1:5" ht="409.5" x14ac:dyDescent="0.4">
      <c r="A373" s="1" t="s">
        <v>3</v>
      </c>
      <c r="B373" s="1" t="s">
        <v>670</v>
      </c>
      <c r="C373" s="1" t="s">
        <v>528</v>
      </c>
      <c r="D373" s="1" t="s">
        <v>649</v>
      </c>
      <c r="E373" s="3" t="s">
        <v>676</v>
      </c>
    </row>
    <row r="374" spans="1:5" ht="262.5" x14ac:dyDescent="0.4">
      <c r="A374" s="1" t="s">
        <v>3</v>
      </c>
      <c r="B374" s="1" t="s">
        <v>670</v>
      </c>
      <c r="C374" s="1" t="s">
        <v>196</v>
      </c>
      <c r="D374" s="1" t="s">
        <v>650</v>
      </c>
      <c r="E374" s="3" t="s">
        <v>586</v>
      </c>
    </row>
    <row r="375" spans="1:5" ht="262.5" x14ac:dyDescent="0.4">
      <c r="A375" s="1" t="s">
        <v>3</v>
      </c>
      <c r="B375" s="1" t="s">
        <v>670</v>
      </c>
      <c r="C375" s="1" t="s">
        <v>197</v>
      </c>
      <c r="D375" s="1" t="s">
        <v>651</v>
      </c>
      <c r="E375" s="3" t="s">
        <v>304</v>
      </c>
    </row>
    <row r="376" spans="1:5" ht="262.5" x14ac:dyDescent="0.4">
      <c r="A376" s="1" t="s">
        <v>3</v>
      </c>
      <c r="B376" s="1" t="s">
        <v>670</v>
      </c>
      <c r="C376" s="1" t="s">
        <v>198</v>
      </c>
      <c r="D376" s="1" t="s">
        <v>652</v>
      </c>
      <c r="E376" s="3" t="s">
        <v>436</v>
      </c>
    </row>
    <row r="377" spans="1:5" ht="281.25" x14ac:dyDescent="0.4">
      <c r="A377" s="1" t="s">
        <v>3</v>
      </c>
      <c r="B377" s="1" t="s">
        <v>670</v>
      </c>
      <c r="C377" s="1" t="s">
        <v>199</v>
      </c>
      <c r="D377" s="1" t="s">
        <v>653</v>
      </c>
      <c r="E377" s="3" t="s">
        <v>306</v>
      </c>
    </row>
    <row r="378" spans="1:5" ht="409.5" x14ac:dyDescent="0.4">
      <c r="A378" s="1" t="s">
        <v>3</v>
      </c>
      <c r="B378" s="1" t="s">
        <v>670</v>
      </c>
      <c r="C378" s="1" t="s">
        <v>463</v>
      </c>
      <c r="D378" s="1" t="s">
        <v>654</v>
      </c>
      <c r="E378" s="3" t="s">
        <v>677</v>
      </c>
    </row>
    <row r="379" spans="1:5" ht="262.5" x14ac:dyDescent="0.4">
      <c r="A379" s="1" t="s">
        <v>3</v>
      </c>
      <c r="B379" s="1" t="s">
        <v>670</v>
      </c>
      <c r="C379" s="1" t="s">
        <v>200</v>
      </c>
      <c r="D379" s="1" t="s">
        <v>655</v>
      </c>
      <c r="E379" s="3" t="s">
        <v>308</v>
      </c>
    </row>
    <row r="380" spans="1:5" ht="262.5" x14ac:dyDescent="0.4">
      <c r="A380" s="1" t="s">
        <v>3</v>
      </c>
      <c r="B380" s="1" t="s">
        <v>670</v>
      </c>
      <c r="C380" s="1" t="s">
        <v>197</v>
      </c>
      <c r="D380" s="1" t="s">
        <v>656</v>
      </c>
      <c r="E380" s="3" t="s">
        <v>304</v>
      </c>
    </row>
    <row r="381" spans="1:5" ht="393.75" x14ac:dyDescent="0.4">
      <c r="A381" s="1" t="s">
        <v>3</v>
      </c>
      <c r="B381" s="1" t="s">
        <v>670</v>
      </c>
      <c r="C381" s="1" t="s">
        <v>615</v>
      </c>
      <c r="D381" s="1" t="s">
        <v>657</v>
      </c>
      <c r="E381" s="3" t="s">
        <v>678</v>
      </c>
    </row>
    <row r="382" spans="1:5" ht="393.75" x14ac:dyDescent="0.4">
      <c r="A382" s="1" t="s">
        <v>3</v>
      </c>
      <c r="B382" s="1" t="s">
        <v>670</v>
      </c>
      <c r="C382" s="1" t="s">
        <v>616</v>
      </c>
      <c r="D382" s="1" t="s">
        <v>658</v>
      </c>
      <c r="E382" s="3" t="s">
        <v>679</v>
      </c>
    </row>
    <row r="383" spans="1:5" ht="262.5" x14ac:dyDescent="0.4">
      <c r="A383" s="1" t="s">
        <v>3</v>
      </c>
      <c r="B383" s="1" t="s">
        <v>670</v>
      </c>
      <c r="C383" s="1" t="s">
        <v>452</v>
      </c>
      <c r="D383" s="1" t="s">
        <v>659</v>
      </c>
      <c r="E383" s="3" t="s">
        <v>462</v>
      </c>
    </row>
    <row r="384" spans="1:5" ht="356.25" x14ac:dyDescent="0.4">
      <c r="A384" s="1" t="s">
        <v>3</v>
      </c>
      <c r="B384" s="1" t="s">
        <v>670</v>
      </c>
      <c r="C384" s="1" t="s">
        <v>316</v>
      </c>
      <c r="D384" s="1" t="s">
        <v>660</v>
      </c>
      <c r="E384" s="3" t="s">
        <v>680</v>
      </c>
    </row>
    <row r="385" spans="1:5" ht="318.75" x14ac:dyDescent="0.4">
      <c r="A385" s="1" t="s">
        <v>3</v>
      </c>
      <c r="B385" s="1" t="s">
        <v>670</v>
      </c>
      <c r="C385" s="1" t="s">
        <v>317</v>
      </c>
      <c r="D385" s="1" t="s">
        <v>661</v>
      </c>
      <c r="E385" s="3" t="s">
        <v>671</v>
      </c>
    </row>
    <row r="386" spans="1:5" ht="318.75" x14ac:dyDescent="0.4">
      <c r="A386" s="1" t="s">
        <v>3</v>
      </c>
      <c r="B386" s="1" t="s">
        <v>670</v>
      </c>
      <c r="C386" s="1" t="s">
        <v>318</v>
      </c>
      <c r="D386" s="1" t="s">
        <v>662</v>
      </c>
      <c r="E386" s="3" t="s">
        <v>681</v>
      </c>
    </row>
    <row r="387" spans="1:5" ht="318.75" x14ac:dyDescent="0.4">
      <c r="A387" s="1" t="s">
        <v>3</v>
      </c>
      <c r="B387" s="1" t="s">
        <v>670</v>
      </c>
      <c r="C387" s="1" t="s">
        <v>319</v>
      </c>
      <c r="D387" s="1" t="s">
        <v>663</v>
      </c>
      <c r="E387" s="3" t="s">
        <v>682</v>
      </c>
    </row>
    <row r="388" spans="1:5" ht="409.5" x14ac:dyDescent="0.4">
      <c r="A388" s="1" t="s">
        <v>3</v>
      </c>
      <c r="B388" s="1" t="s">
        <v>670</v>
      </c>
      <c r="C388" s="1" t="s">
        <v>77</v>
      </c>
      <c r="D388" s="1" t="s">
        <v>664</v>
      </c>
      <c r="E388" s="3" t="s">
        <v>92</v>
      </c>
    </row>
    <row r="389" spans="1:5" ht="300" x14ac:dyDescent="0.4">
      <c r="A389" s="1" t="s">
        <v>3</v>
      </c>
      <c r="B389" s="1" t="s">
        <v>670</v>
      </c>
      <c r="C389" s="1" t="s">
        <v>323</v>
      </c>
      <c r="D389" s="1" t="s">
        <v>665</v>
      </c>
      <c r="E389" s="3" t="s">
        <v>378</v>
      </c>
    </row>
    <row r="390" spans="1:5" ht="318.75" x14ac:dyDescent="0.4">
      <c r="A390" s="1" t="s">
        <v>3</v>
      </c>
      <c r="B390" s="1" t="s">
        <v>670</v>
      </c>
      <c r="C390" s="1" t="s">
        <v>321</v>
      </c>
      <c r="D390" s="1" t="s">
        <v>666</v>
      </c>
      <c r="E390" s="3" t="s">
        <v>380</v>
      </c>
    </row>
    <row r="391" spans="1:5" ht="300" x14ac:dyDescent="0.4">
      <c r="A391" s="1" t="s">
        <v>3</v>
      </c>
      <c r="B391" s="1" t="s">
        <v>670</v>
      </c>
      <c r="C391" s="1" t="s">
        <v>322</v>
      </c>
      <c r="D391" s="1" t="s">
        <v>361</v>
      </c>
      <c r="E391" s="3" t="s">
        <v>381</v>
      </c>
    </row>
    <row r="392" spans="1:5" ht="262.5" x14ac:dyDescent="0.4">
      <c r="A392" s="1" t="s">
        <v>3</v>
      </c>
      <c r="B392" s="1" t="s">
        <v>670</v>
      </c>
      <c r="C392" s="1" t="s">
        <v>325</v>
      </c>
      <c r="D392" s="1" t="s">
        <v>667</v>
      </c>
      <c r="E392" s="3" t="s">
        <v>382</v>
      </c>
    </row>
    <row r="393" spans="1:5" ht="318.75" x14ac:dyDescent="0.4">
      <c r="A393" s="1" t="s">
        <v>3</v>
      </c>
      <c r="B393" s="1" t="s">
        <v>670</v>
      </c>
      <c r="C393" s="1" t="s">
        <v>326</v>
      </c>
      <c r="D393" s="1" t="s">
        <v>668</v>
      </c>
      <c r="E393" s="3" t="s">
        <v>671</v>
      </c>
    </row>
    <row r="394" spans="1:5" ht="281.25" x14ac:dyDescent="0.4">
      <c r="A394" s="1" t="s">
        <v>3</v>
      </c>
      <c r="B394" s="1" t="s">
        <v>670</v>
      </c>
      <c r="C394" s="1" t="s">
        <v>327</v>
      </c>
      <c r="D394" s="1" t="s">
        <v>669</v>
      </c>
      <c r="E394" s="3" t="s">
        <v>384</v>
      </c>
    </row>
    <row r="395" spans="1:5" x14ac:dyDescent="0.4">
      <c r="A395" s="1" t="s">
        <v>3</v>
      </c>
      <c r="B395" s="1" t="s">
        <v>670</v>
      </c>
      <c r="C395" s="1" t="s">
        <v>107</v>
      </c>
      <c r="D395" s="1" t="s">
        <v>388</v>
      </c>
      <c r="E395" s="1" t="s">
        <v>104</v>
      </c>
    </row>
    <row r="396" spans="1:5" x14ac:dyDescent="0.4">
      <c r="A396" s="1" t="s">
        <v>3</v>
      </c>
      <c r="B396" s="1" t="s">
        <v>670</v>
      </c>
      <c r="C396" s="1" t="s">
        <v>115</v>
      </c>
      <c r="D396" s="1" t="s">
        <v>136</v>
      </c>
      <c r="E396" s="1" t="s">
        <v>104</v>
      </c>
    </row>
    <row r="397" spans="1:5" x14ac:dyDescent="0.4">
      <c r="A397" s="1" t="s">
        <v>3</v>
      </c>
      <c r="B397" s="1" t="s">
        <v>670</v>
      </c>
      <c r="C397" s="1" t="s">
        <v>116</v>
      </c>
      <c r="D397" s="1" t="s">
        <v>140</v>
      </c>
      <c r="E397" s="1" t="s">
        <v>104</v>
      </c>
    </row>
    <row r="398" spans="1:5" x14ac:dyDescent="0.4">
      <c r="A398" s="1" t="s">
        <v>3</v>
      </c>
      <c r="B398" s="1" t="s">
        <v>670</v>
      </c>
      <c r="C398" s="1" t="s">
        <v>117</v>
      </c>
      <c r="D398" s="1" t="s">
        <v>537</v>
      </c>
      <c r="E398" s="1" t="s">
        <v>104</v>
      </c>
    </row>
    <row r="399" spans="1:5" x14ac:dyDescent="0.4">
      <c r="A399" s="1" t="s">
        <v>3</v>
      </c>
      <c r="B399" s="1" t="s">
        <v>670</v>
      </c>
      <c r="C399" s="1" t="s">
        <v>108</v>
      </c>
      <c r="D399" s="1" t="s">
        <v>392</v>
      </c>
      <c r="E399" s="1" t="s">
        <v>104</v>
      </c>
    </row>
    <row r="400" spans="1:5" x14ac:dyDescent="0.4">
      <c r="A400" s="1" t="s">
        <v>3</v>
      </c>
      <c r="B400" s="1" t="s">
        <v>670</v>
      </c>
      <c r="C400" s="1" t="s">
        <v>112</v>
      </c>
      <c r="D400" s="1" t="s">
        <v>538</v>
      </c>
      <c r="E400" s="1" t="s">
        <v>104</v>
      </c>
    </row>
    <row r="401" spans="1:5" x14ac:dyDescent="0.4">
      <c r="A401" s="1" t="s">
        <v>3</v>
      </c>
      <c r="B401" s="1" t="s">
        <v>670</v>
      </c>
      <c r="C401" s="1" t="s">
        <v>113</v>
      </c>
      <c r="D401" s="1" t="s">
        <v>539</v>
      </c>
      <c r="E401" s="1" t="s">
        <v>104</v>
      </c>
    </row>
    <row r="402" spans="1:5" x14ac:dyDescent="0.4">
      <c r="A402" s="1" t="s">
        <v>3</v>
      </c>
      <c r="B402" s="1" t="s">
        <v>670</v>
      </c>
      <c r="C402" s="1" t="s">
        <v>118</v>
      </c>
      <c r="D402" s="1" t="s">
        <v>540</v>
      </c>
      <c r="E402" s="1" t="s">
        <v>104</v>
      </c>
    </row>
    <row r="403" spans="1:5" x14ac:dyDescent="0.4">
      <c r="A403" s="1" t="s">
        <v>3</v>
      </c>
      <c r="B403" s="1" t="s">
        <v>670</v>
      </c>
      <c r="C403" s="1" t="s">
        <v>114</v>
      </c>
      <c r="D403" s="1" t="s">
        <v>541</v>
      </c>
      <c r="E403" s="1" t="s">
        <v>104</v>
      </c>
    </row>
    <row r="404" spans="1:5" x14ac:dyDescent="0.4">
      <c r="A404" s="1" t="s">
        <v>3</v>
      </c>
      <c r="B404" s="1" t="s">
        <v>670</v>
      </c>
      <c r="C404" s="1" t="s">
        <v>179</v>
      </c>
      <c r="D404" s="1" t="s">
        <v>542</v>
      </c>
      <c r="E404" s="1" t="s">
        <v>104</v>
      </c>
    </row>
    <row r="405" spans="1:5" x14ac:dyDescent="0.4">
      <c r="A405" s="1" t="s">
        <v>3</v>
      </c>
      <c r="B405" s="1" t="s">
        <v>670</v>
      </c>
      <c r="C405" s="1" t="s">
        <v>186</v>
      </c>
      <c r="D405" s="1" t="s">
        <v>543</v>
      </c>
      <c r="E405" s="1" t="s">
        <v>104</v>
      </c>
    </row>
    <row r="406" spans="1:5" x14ac:dyDescent="0.4">
      <c r="A406" s="1" t="s">
        <v>3</v>
      </c>
      <c r="B406" s="1" t="s">
        <v>670</v>
      </c>
      <c r="C406" s="1" t="s">
        <v>180</v>
      </c>
      <c r="D406" s="1" t="s">
        <v>544</v>
      </c>
      <c r="E406" s="1" t="s">
        <v>104</v>
      </c>
    </row>
    <row r="407" spans="1:5" x14ac:dyDescent="0.4">
      <c r="A407" s="1" t="s">
        <v>3</v>
      </c>
      <c r="B407" s="1" t="s">
        <v>670</v>
      </c>
      <c r="C407" s="1" t="s">
        <v>187</v>
      </c>
      <c r="D407" s="1" t="s">
        <v>545</v>
      </c>
      <c r="E407" s="1" t="s">
        <v>104</v>
      </c>
    </row>
    <row r="408" spans="1:5" x14ac:dyDescent="0.4">
      <c r="A408" s="1" t="s">
        <v>3</v>
      </c>
      <c r="B408" s="1" t="s">
        <v>670</v>
      </c>
      <c r="C408" s="1" t="s">
        <v>181</v>
      </c>
      <c r="D408" s="1" t="s">
        <v>546</v>
      </c>
      <c r="E408" s="1" t="s">
        <v>104</v>
      </c>
    </row>
    <row r="409" spans="1:5" x14ac:dyDescent="0.4">
      <c r="A409" s="1" t="s">
        <v>3</v>
      </c>
      <c r="B409" s="1" t="s">
        <v>670</v>
      </c>
      <c r="C409" s="1" t="s">
        <v>188</v>
      </c>
      <c r="D409" s="1" t="s">
        <v>547</v>
      </c>
      <c r="E409" s="1" t="s">
        <v>104</v>
      </c>
    </row>
    <row r="410" spans="1:5" x14ac:dyDescent="0.4">
      <c r="A410" s="1" t="s">
        <v>3</v>
      </c>
      <c r="B410" s="1" t="s">
        <v>670</v>
      </c>
      <c r="C410" s="1" t="s">
        <v>182</v>
      </c>
      <c r="D410" s="1" t="s">
        <v>548</v>
      </c>
      <c r="E410" s="1" t="s">
        <v>104</v>
      </c>
    </row>
    <row r="411" spans="1:5" x14ac:dyDescent="0.4">
      <c r="A411" s="1" t="s">
        <v>3</v>
      </c>
      <c r="B411" s="1" t="s">
        <v>670</v>
      </c>
      <c r="C411" s="1" t="s">
        <v>477</v>
      </c>
      <c r="D411" s="1" t="s">
        <v>549</v>
      </c>
      <c r="E411" s="1" t="s">
        <v>104</v>
      </c>
    </row>
    <row r="412" spans="1:5" x14ac:dyDescent="0.4">
      <c r="A412" s="1" t="s">
        <v>3</v>
      </c>
      <c r="B412" s="1" t="s">
        <v>670</v>
      </c>
      <c r="C412" s="1" t="s">
        <v>190</v>
      </c>
      <c r="D412" s="1" t="s">
        <v>550</v>
      </c>
      <c r="E412" s="1" t="s">
        <v>104</v>
      </c>
    </row>
    <row r="413" spans="1:5" x14ac:dyDescent="0.4">
      <c r="A413" s="1" t="s">
        <v>3</v>
      </c>
      <c r="B413" s="1" t="s">
        <v>670</v>
      </c>
      <c r="C413" s="1" t="s">
        <v>491</v>
      </c>
      <c r="D413" s="1" t="s">
        <v>501</v>
      </c>
      <c r="E413" s="1" t="s">
        <v>104</v>
      </c>
    </row>
    <row r="414" spans="1:5" x14ac:dyDescent="0.4">
      <c r="A414" s="1" t="s">
        <v>3</v>
      </c>
      <c r="B414" s="1" t="s">
        <v>670</v>
      </c>
      <c r="C414" s="1" t="s">
        <v>193</v>
      </c>
      <c r="D414" s="1" t="s">
        <v>552</v>
      </c>
      <c r="E414" s="1" t="s">
        <v>104</v>
      </c>
    </row>
    <row r="415" spans="1:5" x14ac:dyDescent="0.4">
      <c r="A415" s="1" t="s">
        <v>3</v>
      </c>
      <c r="B415" s="1" t="s">
        <v>670</v>
      </c>
      <c r="C415" s="1" t="s">
        <v>195</v>
      </c>
      <c r="D415" s="1" t="s">
        <v>553</v>
      </c>
      <c r="E415" s="1" t="s">
        <v>104</v>
      </c>
    </row>
    <row r="416" spans="1:5" x14ac:dyDescent="0.4">
      <c r="A416" s="1" t="s">
        <v>3</v>
      </c>
      <c r="B416" s="1" t="s">
        <v>670</v>
      </c>
      <c r="C416" s="1" t="s">
        <v>528</v>
      </c>
      <c r="D416" s="1" t="s">
        <v>554</v>
      </c>
      <c r="E416" s="1" t="s">
        <v>104</v>
      </c>
    </row>
    <row r="417" spans="1:5" x14ac:dyDescent="0.4">
      <c r="A417" s="1" t="s">
        <v>3</v>
      </c>
      <c r="B417" s="1" t="s">
        <v>670</v>
      </c>
      <c r="C417" s="1" t="s">
        <v>196</v>
      </c>
      <c r="D417" s="1" t="s">
        <v>555</v>
      </c>
      <c r="E417" s="1" t="s">
        <v>104</v>
      </c>
    </row>
    <row r="418" spans="1:5" x14ac:dyDescent="0.4">
      <c r="A418" s="1" t="s">
        <v>3</v>
      </c>
      <c r="B418" s="1" t="s">
        <v>670</v>
      </c>
      <c r="C418" s="1" t="s">
        <v>197</v>
      </c>
      <c r="D418" s="1" t="s">
        <v>556</v>
      </c>
      <c r="E418" s="1" t="s">
        <v>104</v>
      </c>
    </row>
    <row r="419" spans="1:5" x14ac:dyDescent="0.4">
      <c r="A419" s="1" t="s">
        <v>3</v>
      </c>
      <c r="B419" s="1" t="s">
        <v>670</v>
      </c>
      <c r="C419" s="1" t="s">
        <v>198</v>
      </c>
      <c r="D419" s="1" t="s">
        <v>557</v>
      </c>
      <c r="E419" s="1" t="s">
        <v>104</v>
      </c>
    </row>
    <row r="420" spans="1:5" x14ac:dyDescent="0.4">
      <c r="A420" s="1" t="s">
        <v>3</v>
      </c>
      <c r="B420" s="1" t="s">
        <v>670</v>
      </c>
      <c r="C420" s="1" t="s">
        <v>199</v>
      </c>
      <c r="D420" s="1" t="s">
        <v>558</v>
      </c>
      <c r="E420" s="1" t="s">
        <v>104</v>
      </c>
    </row>
    <row r="421" spans="1:5" x14ac:dyDescent="0.4">
      <c r="A421" s="1" t="s">
        <v>3</v>
      </c>
      <c r="B421" s="1" t="s">
        <v>670</v>
      </c>
      <c r="C421" s="1" t="s">
        <v>463</v>
      </c>
      <c r="D421" s="1" t="s">
        <v>559</v>
      </c>
      <c r="E421" s="1" t="s">
        <v>104</v>
      </c>
    </row>
    <row r="422" spans="1:5" x14ac:dyDescent="0.4">
      <c r="A422" s="1" t="s">
        <v>3</v>
      </c>
      <c r="B422" s="1" t="s">
        <v>670</v>
      </c>
      <c r="C422" s="1" t="s">
        <v>200</v>
      </c>
      <c r="D422" s="1" t="s">
        <v>560</v>
      </c>
      <c r="E422" s="1" t="s">
        <v>104</v>
      </c>
    </row>
    <row r="423" spans="1:5" x14ac:dyDescent="0.4">
      <c r="A423" s="1" t="s">
        <v>3</v>
      </c>
      <c r="B423" s="1" t="s">
        <v>670</v>
      </c>
      <c r="C423" s="1" t="s">
        <v>197</v>
      </c>
      <c r="D423" s="1" t="s">
        <v>561</v>
      </c>
      <c r="E423" s="1" t="s">
        <v>104</v>
      </c>
    </row>
    <row r="424" spans="1:5" x14ac:dyDescent="0.4">
      <c r="A424" s="1" t="s">
        <v>3</v>
      </c>
      <c r="B424" s="1" t="s">
        <v>670</v>
      </c>
      <c r="C424" s="1" t="s">
        <v>615</v>
      </c>
      <c r="D424" s="1" t="s">
        <v>562</v>
      </c>
      <c r="E424" s="1" t="s">
        <v>104</v>
      </c>
    </row>
    <row r="425" spans="1:5" x14ac:dyDescent="0.4">
      <c r="A425" s="1" t="s">
        <v>3</v>
      </c>
      <c r="B425" s="1" t="s">
        <v>670</v>
      </c>
      <c r="C425" s="1" t="s">
        <v>616</v>
      </c>
      <c r="D425" s="1" t="s">
        <v>563</v>
      </c>
      <c r="E425" s="1" t="s">
        <v>104</v>
      </c>
    </row>
    <row r="426" spans="1:5" x14ac:dyDescent="0.4">
      <c r="A426" s="1" t="s">
        <v>3</v>
      </c>
      <c r="B426" s="1" t="s">
        <v>670</v>
      </c>
      <c r="C426" s="1" t="s">
        <v>452</v>
      </c>
      <c r="D426" s="1" t="s">
        <v>564</v>
      </c>
      <c r="E426" s="1" t="s">
        <v>104</v>
      </c>
    </row>
    <row r="427" spans="1:5" x14ac:dyDescent="0.4">
      <c r="A427" s="1" t="s">
        <v>3</v>
      </c>
      <c r="B427" s="1" t="s">
        <v>670</v>
      </c>
      <c r="C427" s="1" t="s">
        <v>316</v>
      </c>
      <c r="D427" s="1" t="s">
        <v>565</v>
      </c>
      <c r="E427" s="1" t="s">
        <v>104</v>
      </c>
    </row>
    <row r="428" spans="1:5" x14ac:dyDescent="0.4">
      <c r="A428" s="1" t="s">
        <v>3</v>
      </c>
      <c r="B428" s="1" t="s">
        <v>670</v>
      </c>
      <c r="C428" s="1" t="s">
        <v>317</v>
      </c>
      <c r="D428" s="1" t="s">
        <v>566</v>
      </c>
      <c r="E428" s="1" t="s">
        <v>104</v>
      </c>
    </row>
    <row r="429" spans="1:5" x14ac:dyDescent="0.4">
      <c r="A429" s="1" t="s">
        <v>3</v>
      </c>
      <c r="B429" s="1" t="s">
        <v>670</v>
      </c>
      <c r="C429" s="1" t="s">
        <v>318</v>
      </c>
      <c r="D429" s="1" t="s">
        <v>567</v>
      </c>
      <c r="E429" s="1" t="s">
        <v>104</v>
      </c>
    </row>
    <row r="430" spans="1:5" x14ac:dyDescent="0.4">
      <c r="A430" s="1" t="s">
        <v>3</v>
      </c>
      <c r="B430" s="1" t="s">
        <v>670</v>
      </c>
      <c r="C430" s="1" t="s">
        <v>319</v>
      </c>
      <c r="D430" s="1" t="s">
        <v>568</v>
      </c>
      <c r="E430" s="1" t="s">
        <v>104</v>
      </c>
    </row>
    <row r="431" spans="1:5" x14ac:dyDescent="0.4">
      <c r="A431" s="1" t="s">
        <v>3</v>
      </c>
      <c r="B431" s="1" t="s">
        <v>670</v>
      </c>
      <c r="C431" s="1" t="s">
        <v>77</v>
      </c>
      <c r="D431" s="1" t="s">
        <v>569</v>
      </c>
      <c r="E431" s="1" t="s">
        <v>104</v>
      </c>
    </row>
    <row r="432" spans="1:5" x14ac:dyDescent="0.4">
      <c r="A432" s="1" t="s">
        <v>3</v>
      </c>
      <c r="B432" s="1" t="s">
        <v>670</v>
      </c>
      <c r="C432" s="1" t="s">
        <v>323</v>
      </c>
      <c r="D432" s="1" t="s">
        <v>570</v>
      </c>
      <c r="E432" s="1" t="s">
        <v>104</v>
      </c>
    </row>
    <row r="433" spans="1:5" x14ac:dyDescent="0.4">
      <c r="A433" s="1" t="s">
        <v>3</v>
      </c>
      <c r="B433" s="1" t="s">
        <v>670</v>
      </c>
      <c r="C433" s="1" t="s">
        <v>321</v>
      </c>
      <c r="D433" s="1" t="s">
        <v>571</v>
      </c>
      <c r="E433" s="1" t="s">
        <v>104</v>
      </c>
    </row>
    <row r="434" spans="1:5" x14ac:dyDescent="0.4">
      <c r="A434" s="1" t="s">
        <v>3</v>
      </c>
      <c r="B434" s="1" t="s">
        <v>670</v>
      </c>
      <c r="C434" s="1" t="s">
        <v>322</v>
      </c>
      <c r="D434" s="1" t="s">
        <v>572</v>
      </c>
      <c r="E434" s="1" t="s">
        <v>104</v>
      </c>
    </row>
    <row r="435" spans="1:5" x14ac:dyDescent="0.4">
      <c r="A435" s="1" t="s">
        <v>3</v>
      </c>
      <c r="B435" s="1" t="s">
        <v>670</v>
      </c>
      <c r="C435" s="1" t="s">
        <v>325</v>
      </c>
      <c r="D435" s="1" t="s">
        <v>573</v>
      </c>
      <c r="E435" s="1" t="s">
        <v>104</v>
      </c>
    </row>
    <row r="436" spans="1:5" x14ac:dyDescent="0.4">
      <c r="A436" s="1" t="s">
        <v>3</v>
      </c>
      <c r="B436" s="1" t="s">
        <v>670</v>
      </c>
      <c r="C436" s="1" t="s">
        <v>326</v>
      </c>
      <c r="D436" s="1" t="s">
        <v>574</v>
      </c>
      <c r="E436" s="1" t="s">
        <v>104</v>
      </c>
    </row>
    <row r="437" spans="1:5" x14ac:dyDescent="0.4">
      <c r="A437" s="1" t="s">
        <v>3</v>
      </c>
      <c r="B437" s="1" t="s">
        <v>670</v>
      </c>
      <c r="C437" s="1" t="s">
        <v>327</v>
      </c>
      <c r="D437" s="1" t="s">
        <v>575</v>
      </c>
      <c r="E437" s="1" t="s">
        <v>104</v>
      </c>
    </row>
    <row r="438" spans="1:5" ht="56.25" x14ac:dyDescent="0.4">
      <c r="A438" s="1" t="s">
        <v>3</v>
      </c>
      <c r="B438" s="1" t="s">
        <v>689</v>
      </c>
      <c r="C438" s="1" t="s">
        <v>683</v>
      </c>
      <c r="D438" s="1" t="s">
        <v>175</v>
      </c>
      <c r="E438" s="3" t="s">
        <v>176</v>
      </c>
    </row>
    <row r="439" spans="1:5" ht="56.25" x14ac:dyDescent="0.4">
      <c r="A439" s="1" t="s">
        <v>3</v>
      </c>
      <c r="B439" s="1" t="s">
        <v>689</v>
      </c>
      <c r="C439" s="1" t="s">
        <v>684</v>
      </c>
      <c r="D439" s="1" t="s">
        <v>175</v>
      </c>
      <c r="E439" s="3" t="s">
        <v>176</v>
      </c>
    </row>
    <row r="440" spans="1:5" ht="281.25" x14ac:dyDescent="0.4">
      <c r="A440" s="1" t="s">
        <v>3</v>
      </c>
      <c r="B440" s="1" t="s">
        <v>689</v>
      </c>
      <c r="C440" s="1" t="s">
        <v>685</v>
      </c>
      <c r="D440" s="1" t="s">
        <v>175</v>
      </c>
      <c r="E440" s="3" t="s">
        <v>476</v>
      </c>
    </row>
    <row r="441" spans="1:5" ht="281.25" x14ac:dyDescent="0.4">
      <c r="A441" s="1" t="s">
        <v>3</v>
      </c>
      <c r="B441" s="1" t="s">
        <v>689</v>
      </c>
      <c r="C441" s="1" t="s">
        <v>686</v>
      </c>
      <c r="D441" s="1" t="s">
        <v>175</v>
      </c>
      <c r="E441" s="3" t="s">
        <v>690</v>
      </c>
    </row>
    <row r="442" spans="1:5" ht="56.25" x14ac:dyDescent="0.4">
      <c r="A442" s="1" t="s">
        <v>3</v>
      </c>
      <c r="B442" s="1" t="s">
        <v>689</v>
      </c>
      <c r="C442" s="1" t="s">
        <v>688</v>
      </c>
      <c r="D442" s="1" t="s">
        <v>175</v>
      </c>
      <c r="E442" s="3" t="s">
        <v>176</v>
      </c>
    </row>
    <row r="443" spans="1:5" x14ac:dyDescent="0.4">
      <c r="A443" s="1" t="s">
        <v>3</v>
      </c>
      <c r="B443" s="1" t="s">
        <v>689</v>
      </c>
      <c r="C443" s="1" t="s">
        <v>590</v>
      </c>
      <c r="D443" s="1" t="s">
        <v>175</v>
      </c>
      <c r="E443" s="1" t="s">
        <v>104</v>
      </c>
    </row>
    <row r="444" spans="1:5" x14ac:dyDescent="0.4">
      <c r="A444" s="1" t="s">
        <v>3</v>
      </c>
      <c r="B444" s="1" t="s">
        <v>689</v>
      </c>
      <c r="C444" s="1" t="s">
        <v>591</v>
      </c>
      <c r="D444" s="1" t="s">
        <v>175</v>
      </c>
      <c r="E444" s="1" t="s">
        <v>104</v>
      </c>
    </row>
    <row r="445" spans="1:5" x14ac:dyDescent="0.4">
      <c r="A445" s="1" t="s">
        <v>3</v>
      </c>
      <c r="B445" s="1" t="s">
        <v>689</v>
      </c>
      <c r="C445" s="1" t="s">
        <v>593</v>
      </c>
      <c r="D445" s="1" t="s">
        <v>175</v>
      </c>
      <c r="E445" s="1" t="s">
        <v>104</v>
      </c>
    </row>
    <row r="446" spans="1:5" x14ac:dyDescent="0.4">
      <c r="A446" s="1" t="s">
        <v>3</v>
      </c>
      <c r="B446" s="1" t="s">
        <v>689</v>
      </c>
      <c r="C446" s="1" t="s">
        <v>595</v>
      </c>
      <c r="D446" s="1" t="s">
        <v>175</v>
      </c>
      <c r="E446" s="1" t="s">
        <v>104</v>
      </c>
    </row>
    <row r="447" spans="1:5" x14ac:dyDescent="0.4">
      <c r="A447" s="1" t="s">
        <v>3</v>
      </c>
      <c r="B447" s="1" t="s">
        <v>689</v>
      </c>
      <c r="C447" s="1" t="s">
        <v>625</v>
      </c>
      <c r="D447" s="1" t="s">
        <v>175</v>
      </c>
      <c r="E447" s="1" t="s">
        <v>104</v>
      </c>
    </row>
    <row r="448" spans="1:5" ht="318.75" x14ac:dyDescent="0.4">
      <c r="A448" s="1" t="s">
        <v>3</v>
      </c>
      <c r="B448" s="1" t="s">
        <v>735</v>
      </c>
      <c r="C448" s="1" t="s">
        <v>107</v>
      </c>
      <c r="D448" s="1" t="s">
        <v>691</v>
      </c>
      <c r="E448" s="3" t="s">
        <v>165</v>
      </c>
    </row>
    <row r="449" spans="1:5" ht="318.75" x14ac:dyDescent="0.4">
      <c r="A449" s="1" t="s">
        <v>3</v>
      </c>
      <c r="B449" s="1" t="s">
        <v>735</v>
      </c>
      <c r="C449" s="1" t="s">
        <v>115</v>
      </c>
      <c r="D449" s="1" t="s">
        <v>140</v>
      </c>
      <c r="E449" s="3" t="s">
        <v>671</v>
      </c>
    </row>
    <row r="450" spans="1:5" ht="243.75" x14ac:dyDescent="0.4">
      <c r="A450" s="1" t="s">
        <v>3</v>
      </c>
      <c r="B450" s="1" t="s">
        <v>735</v>
      </c>
      <c r="C450" s="1" t="s">
        <v>116</v>
      </c>
      <c r="D450" s="1" t="s">
        <v>537</v>
      </c>
      <c r="E450" s="3" t="s">
        <v>167</v>
      </c>
    </row>
    <row r="451" spans="1:5" ht="409.5" x14ac:dyDescent="0.4">
      <c r="A451" s="1" t="s">
        <v>3</v>
      </c>
      <c r="B451" s="1" t="s">
        <v>735</v>
      </c>
      <c r="C451" s="1" t="s">
        <v>117</v>
      </c>
      <c r="D451" s="1" t="s">
        <v>692</v>
      </c>
      <c r="E451" s="3" t="s">
        <v>430</v>
      </c>
    </row>
    <row r="452" spans="1:5" ht="300" x14ac:dyDescent="0.4">
      <c r="A452" s="1" t="s">
        <v>3</v>
      </c>
      <c r="B452" s="1" t="s">
        <v>735</v>
      </c>
      <c r="C452" s="1" t="s">
        <v>108</v>
      </c>
      <c r="D452" s="1" t="s">
        <v>693</v>
      </c>
      <c r="E452" s="3" t="s">
        <v>169</v>
      </c>
    </row>
    <row r="453" spans="1:5" ht="375" x14ac:dyDescent="0.4">
      <c r="A453" s="1" t="s">
        <v>3</v>
      </c>
      <c r="B453" s="1" t="s">
        <v>735</v>
      </c>
      <c r="C453" s="1" t="s">
        <v>112</v>
      </c>
      <c r="D453" s="1" t="s">
        <v>694</v>
      </c>
      <c r="E453" s="3" t="s">
        <v>578</v>
      </c>
    </row>
    <row r="454" spans="1:5" ht="393.75" x14ac:dyDescent="0.4">
      <c r="A454" s="1" t="s">
        <v>3</v>
      </c>
      <c r="B454" s="1" t="s">
        <v>735</v>
      </c>
      <c r="C454" s="1" t="s">
        <v>113</v>
      </c>
      <c r="D454" s="1" t="s">
        <v>696</v>
      </c>
      <c r="E454" s="3" t="s">
        <v>736</v>
      </c>
    </row>
    <row r="455" spans="1:5" ht="409.5" x14ac:dyDescent="0.4">
      <c r="A455" s="1" t="s">
        <v>3</v>
      </c>
      <c r="B455" s="1" t="s">
        <v>735</v>
      </c>
      <c r="C455" s="1" t="s">
        <v>118</v>
      </c>
      <c r="D455" s="1" t="s">
        <v>697</v>
      </c>
      <c r="E455" s="3" t="s">
        <v>737</v>
      </c>
    </row>
    <row r="456" spans="1:5" ht="318.75" x14ac:dyDescent="0.4">
      <c r="A456" s="1" t="s">
        <v>3</v>
      </c>
      <c r="B456" s="1" t="s">
        <v>735</v>
      </c>
      <c r="C456" s="1" t="s">
        <v>114</v>
      </c>
      <c r="D456" s="1" t="s">
        <v>698</v>
      </c>
      <c r="E456" s="3" t="s">
        <v>173</v>
      </c>
    </row>
    <row r="457" spans="1:5" ht="300" x14ac:dyDescent="0.4">
      <c r="A457" s="1" t="s">
        <v>3</v>
      </c>
      <c r="B457" s="1" t="s">
        <v>735</v>
      </c>
      <c r="C457" s="1" t="s">
        <v>179</v>
      </c>
      <c r="D457" s="1" t="s">
        <v>699</v>
      </c>
      <c r="E457" s="3" t="s">
        <v>290</v>
      </c>
    </row>
    <row r="458" spans="1:5" ht="281.25" x14ac:dyDescent="0.4">
      <c r="A458" s="1" t="s">
        <v>3</v>
      </c>
      <c r="B458" s="1" t="s">
        <v>735</v>
      </c>
      <c r="C458" s="1" t="s">
        <v>186</v>
      </c>
      <c r="D458" s="1" t="s">
        <v>700</v>
      </c>
      <c r="E458" s="3" t="s">
        <v>291</v>
      </c>
    </row>
    <row r="459" spans="1:5" ht="318.75" x14ac:dyDescent="0.4">
      <c r="A459" s="1" t="s">
        <v>3</v>
      </c>
      <c r="B459" s="1" t="s">
        <v>735</v>
      </c>
      <c r="C459" s="1" t="s">
        <v>180</v>
      </c>
      <c r="D459" s="1" t="s">
        <v>701</v>
      </c>
      <c r="E459" s="3" t="s">
        <v>671</v>
      </c>
    </row>
    <row r="460" spans="1:5" ht="300" x14ac:dyDescent="0.4">
      <c r="A460" s="1" t="s">
        <v>3</v>
      </c>
      <c r="B460" s="1" t="s">
        <v>735</v>
      </c>
      <c r="C460" s="1" t="s">
        <v>187</v>
      </c>
      <c r="D460" s="1" t="s">
        <v>702</v>
      </c>
      <c r="E460" s="3" t="s">
        <v>293</v>
      </c>
    </row>
    <row r="461" spans="1:5" ht="281.25" x14ac:dyDescent="0.4">
      <c r="A461" s="1" t="s">
        <v>3</v>
      </c>
      <c r="B461" s="1" t="s">
        <v>735</v>
      </c>
      <c r="C461" s="1" t="s">
        <v>181</v>
      </c>
      <c r="D461" s="1" t="s">
        <v>703</v>
      </c>
      <c r="E461" s="3" t="s">
        <v>581</v>
      </c>
    </row>
    <row r="462" spans="1:5" ht="300" x14ac:dyDescent="0.4">
      <c r="A462" s="1" t="s">
        <v>3</v>
      </c>
      <c r="B462" s="1" t="s">
        <v>735</v>
      </c>
      <c r="C462" s="1" t="s">
        <v>188</v>
      </c>
      <c r="D462" s="1" t="s">
        <v>704</v>
      </c>
      <c r="E462" s="3" t="s">
        <v>295</v>
      </c>
    </row>
    <row r="463" spans="1:5" ht="409.5" x14ac:dyDescent="0.4">
      <c r="A463" s="1" t="s">
        <v>3</v>
      </c>
      <c r="B463" s="1" t="s">
        <v>735</v>
      </c>
      <c r="C463" s="1" t="s">
        <v>182</v>
      </c>
      <c r="D463" s="1" t="s">
        <v>705</v>
      </c>
      <c r="E463" s="3" t="s">
        <v>582</v>
      </c>
    </row>
    <row r="464" spans="1:5" ht="262.5" x14ac:dyDescent="0.4">
      <c r="A464" s="1" t="s">
        <v>3</v>
      </c>
      <c r="B464" s="1" t="s">
        <v>735</v>
      </c>
      <c r="C464" s="1" t="s">
        <v>477</v>
      </c>
      <c r="D464" s="1" t="s">
        <v>706</v>
      </c>
      <c r="E464" s="3" t="s">
        <v>503</v>
      </c>
    </row>
    <row r="465" spans="1:5" ht="262.5" x14ac:dyDescent="0.4">
      <c r="A465" s="1" t="s">
        <v>3</v>
      </c>
      <c r="B465" s="1" t="s">
        <v>735</v>
      </c>
      <c r="C465" s="1" t="s">
        <v>190</v>
      </c>
      <c r="D465" s="1" t="s">
        <v>707</v>
      </c>
      <c r="E465" s="3" t="s">
        <v>299</v>
      </c>
    </row>
    <row r="466" spans="1:5" ht="409.5" x14ac:dyDescent="0.4">
      <c r="A466" s="1" t="s">
        <v>3</v>
      </c>
      <c r="B466" s="1" t="s">
        <v>735</v>
      </c>
      <c r="C466" s="1" t="s">
        <v>491</v>
      </c>
      <c r="D466" s="1" t="s">
        <v>646</v>
      </c>
      <c r="E466" s="3" t="s">
        <v>738</v>
      </c>
    </row>
    <row r="467" spans="1:5" ht="409.5" x14ac:dyDescent="0.4">
      <c r="A467" s="1" t="s">
        <v>3</v>
      </c>
      <c r="B467" s="1" t="s">
        <v>735</v>
      </c>
      <c r="C467" s="1" t="s">
        <v>492</v>
      </c>
      <c r="D467" s="1" t="s">
        <v>710</v>
      </c>
      <c r="E467" s="3" t="s">
        <v>739</v>
      </c>
    </row>
    <row r="468" spans="1:5" ht="262.5" x14ac:dyDescent="0.4">
      <c r="A468" s="1" t="s">
        <v>3</v>
      </c>
      <c r="B468" s="1" t="s">
        <v>735</v>
      </c>
      <c r="C468" s="1" t="s">
        <v>193</v>
      </c>
      <c r="D468" s="1" t="s">
        <v>711</v>
      </c>
      <c r="E468" s="3" t="s">
        <v>300</v>
      </c>
    </row>
    <row r="469" spans="1:5" ht="300" x14ac:dyDescent="0.4">
      <c r="A469" s="1" t="s">
        <v>3</v>
      </c>
      <c r="B469" s="1" t="s">
        <v>735</v>
      </c>
      <c r="C469" s="1" t="s">
        <v>195</v>
      </c>
      <c r="D469" s="1" t="s">
        <v>712</v>
      </c>
      <c r="E469" s="3" t="s">
        <v>301</v>
      </c>
    </row>
    <row r="470" spans="1:5" ht="409.5" x14ac:dyDescent="0.4">
      <c r="A470" s="1" t="s">
        <v>3</v>
      </c>
      <c r="B470" s="1" t="s">
        <v>735</v>
      </c>
      <c r="C470" s="1" t="s">
        <v>528</v>
      </c>
      <c r="D470" s="1" t="s">
        <v>713</v>
      </c>
      <c r="E470" s="3" t="s">
        <v>740</v>
      </c>
    </row>
    <row r="471" spans="1:5" ht="262.5" x14ac:dyDescent="0.4">
      <c r="A471" s="1" t="s">
        <v>3</v>
      </c>
      <c r="B471" s="1" t="s">
        <v>735</v>
      </c>
      <c r="C471" s="1" t="s">
        <v>196</v>
      </c>
      <c r="D471" s="1" t="s">
        <v>714</v>
      </c>
      <c r="E471" s="3" t="s">
        <v>586</v>
      </c>
    </row>
    <row r="472" spans="1:5" ht="262.5" x14ac:dyDescent="0.4">
      <c r="A472" s="1" t="s">
        <v>3</v>
      </c>
      <c r="B472" s="1" t="s">
        <v>735</v>
      </c>
      <c r="C472" s="1" t="s">
        <v>197</v>
      </c>
      <c r="D472" s="1" t="s">
        <v>715</v>
      </c>
      <c r="E472" s="3" t="s">
        <v>304</v>
      </c>
    </row>
    <row r="473" spans="1:5" ht="262.5" x14ac:dyDescent="0.4">
      <c r="A473" s="1" t="s">
        <v>3</v>
      </c>
      <c r="B473" s="1" t="s">
        <v>735</v>
      </c>
      <c r="C473" s="1" t="s">
        <v>198</v>
      </c>
      <c r="D473" s="1" t="s">
        <v>716</v>
      </c>
      <c r="E473" s="3" t="s">
        <v>436</v>
      </c>
    </row>
    <row r="474" spans="1:5" ht="281.25" x14ac:dyDescent="0.4">
      <c r="A474" s="1" t="s">
        <v>3</v>
      </c>
      <c r="B474" s="1" t="s">
        <v>735</v>
      </c>
      <c r="C474" s="1" t="s">
        <v>199</v>
      </c>
      <c r="D474" s="1" t="s">
        <v>717</v>
      </c>
      <c r="E474" s="3" t="s">
        <v>306</v>
      </c>
    </row>
    <row r="475" spans="1:5" ht="409.5" x14ac:dyDescent="0.4">
      <c r="A475" s="1" t="s">
        <v>3</v>
      </c>
      <c r="B475" s="1" t="s">
        <v>735</v>
      </c>
      <c r="C475" s="1" t="s">
        <v>463</v>
      </c>
      <c r="D475" s="1" t="s">
        <v>718</v>
      </c>
      <c r="E475" s="3" t="s">
        <v>741</v>
      </c>
    </row>
    <row r="476" spans="1:5" ht="262.5" x14ac:dyDescent="0.4">
      <c r="A476" s="1" t="s">
        <v>3</v>
      </c>
      <c r="B476" s="1" t="s">
        <v>735</v>
      </c>
      <c r="C476" s="1" t="s">
        <v>200</v>
      </c>
      <c r="D476" s="1" t="s">
        <v>719</v>
      </c>
      <c r="E476" s="3" t="s">
        <v>308</v>
      </c>
    </row>
    <row r="477" spans="1:5" ht="262.5" x14ac:dyDescent="0.4">
      <c r="A477" s="1" t="s">
        <v>3</v>
      </c>
      <c r="B477" s="1" t="s">
        <v>735</v>
      </c>
      <c r="C477" s="1" t="s">
        <v>197</v>
      </c>
      <c r="D477" s="1" t="s">
        <v>720</v>
      </c>
      <c r="E477" s="3" t="s">
        <v>304</v>
      </c>
    </row>
    <row r="478" spans="1:5" ht="393.75" x14ac:dyDescent="0.4">
      <c r="A478" s="1" t="s">
        <v>3</v>
      </c>
      <c r="B478" s="1" t="s">
        <v>735</v>
      </c>
      <c r="C478" s="1" t="s">
        <v>615</v>
      </c>
      <c r="D478" s="1" t="s">
        <v>721</v>
      </c>
      <c r="E478" s="3" t="s">
        <v>742</v>
      </c>
    </row>
    <row r="479" spans="1:5" ht="393.75" x14ac:dyDescent="0.4">
      <c r="A479" s="1" t="s">
        <v>3</v>
      </c>
      <c r="B479" s="1" t="s">
        <v>735</v>
      </c>
      <c r="C479" s="1" t="s">
        <v>616</v>
      </c>
      <c r="D479" s="1" t="s">
        <v>722</v>
      </c>
      <c r="E479" s="3" t="s">
        <v>743</v>
      </c>
    </row>
    <row r="480" spans="1:5" ht="262.5" x14ac:dyDescent="0.4">
      <c r="A480" s="1" t="s">
        <v>3</v>
      </c>
      <c r="B480" s="1" t="s">
        <v>735</v>
      </c>
      <c r="C480" s="1" t="s">
        <v>452</v>
      </c>
      <c r="D480" s="1" t="s">
        <v>723</v>
      </c>
      <c r="E480" s="3" t="s">
        <v>462</v>
      </c>
    </row>
    <row r="481" spans="1:5" ht="356.25" x14ac:dyDescent="0.4">
      <c r="A481" s="1" t="s">
        <v>3</v>
      </c>
      <c r="B481" s="1" t="s">
        <v>735</v>
      </c>
      <c r="C481" s="1" t="s">
        <v>316</v>
      </c>
      <c r="D481" s="1" t="s">
        <v>725</v>
      </c>
      <c r="E481" s="3" t="s">
        <v>744</v>
      </c>
    </row>
    <row r="482" spans="1:5" ht="318.75" x14ac:dyDescent="0.4">
      <c r="A482" s="1" t="s">
        <v>3</v>
      </c>
      <c r="B482" s="1" t="s">
        <v>735</v>
      </c>
      <c r="C482" s="1" t="s">
        <v>317</v>
      </c>
      <c r="D482" s="1" t="s">
        <v>726</v>
      </c>
      <c r="E482" s="3" t="s">
        <v>671</v>
      </c>
    </row>
    <row r="483" spans="1:5" ht="318.75" x14ac:dyDescent="0.4">
      <c r="A483" s="1" t="s">
        <v>3</v>
      </c>
      <c r="B483" s="1" t="s">
        <v>735</v>
      </c>
      <c r="C483" s="1" t="s">
        <v>318</v>
      </c>
      <c r="D483" s="1" t="s">
        <v>727</v>
      </c>
      <c r="E483" s="3" t="s">
        <v>745</v>
      </c>
    </row>
    <row r="484" spans="1:5" ht="318.75" x14ac:dyDescent="0.4">
      <c r="A484" s="1" t="s">
        <v>3</v>
      </c>
      <c r="B484" s="1" t="s">
        <v>735</v>
      </c>
      <c r="C484" s="1" t="s">
        <v>319</v>
      </c>
      <c r="D484" s="1" t="s">
        <v>728</v>
      </c>
      <c r="E484" s="3" t="s">
        <v>746</v>
      </c>
    </row>
    <row r="485" spans="1:5" ht="409.5" x14ac:dyDescent="0.4">
      <c r="A485" s="1" t="s">
        <v>3</v>
      </c>
      <c r="B485" s="1" t="s">
        <v>735</v>
      </c>
      <c r="C485" s="1" t="s">
        <v>77</v>
      </c>
      <c r="D485" s="1" t="s">
        <v>729</v>
      </c>
      <c r="E485" s="3" t="s">
        <v>92</v>
      </c>
    </row>
    <row r="486" spans="1:5" ht="300" x14ac:dyDescent="0.4">
      <c r="A486" s="1" t="s">
        <v>3</v>
      </c>
      <c r="B486" s="1" t="s">
        <v>735</v>
      </c>
      <c r="C486" s="1" t="s">
        <v>323</v>
      </c>
      <c r="D486" s="1" t="s">
        <v>730</v>
      </c>
      <c r="E486" s="3" t="s">
        <v>378</v>
      </c>
    </row>
    <row r="487" spans="1:5" ht="318.75" x14ac:dyDescent="0.4">
      <c r="A487" s="1" t="s">
        <v>3</v>
      </c>
      <c r="B487" s="1" t="s">
        <v>735</v>
      </c>
      <c r="C487" s="1" t="s">
        <v>321</v>
      </c>
      <c r="D487" s="1" t="s">
        <v>731</v>
      </c>
      <c r="E487" s="3" t="s">
        <v>380</v>
      </c>
    </row>
    <row r="488" spans="1:5" ht="300" x14ac:dyDescent="0.4">
      <c r="A488" s="1" t="s">
        <v>3</v>
      </c>
      <c r="B488" s="1" t="s">
        <v>735</v>
      </c>
      <c r="C488" s="1" t="s">
        <v>322</v>
      </c>
      <c r="D488" s="1" t="s">
        <v>426</v>
      </c>
      <c r="E488" s="3" t="s">
        <v>381</v>
      </c>
    </row>
    <row r="489" spans="1:5" ht="262.5" x14ac:dyDescent="0.4">
      <c r="A489" s="1" t="s">
        <v>3</v>
      </c>
      <c r="B489" s="1" t="s">
        <v>735</v>
      </c>
      <c r="C489" s="1" t="s">
        <v>325</v>
      </c>
      <c r="D489" s="1" t="s">
        <v>732</v>
      </c>
      <c r="E489" s="3" t="s">
        <v>382</v>
      </c>
    </row>
    <row r="490" spans="1:5" ht="318.75" x14ac:dyDescent="0.4">
      <c r="A490" s="1" t="s">
        <v>3</v>
      </c>
      <c r="B490" s="1" t="s">
        <v>735</v>
      </c>
      <c r="C490" s="1" t="s">
        <v>326</v>
      </c>
      <c r="D490" s="1" t="s">
        <v>733</v>
      </c>
      <c r="E490" s="3" t="s">
        <v>671</v>
      </c>
    </row>
    <row r="491" spans="1:5" ht="281.25" x14ac:dyDescent="0.4">
      <c r="A491" s="1" t="s">
        <v>3</v>
      </c>
      <c r="B491" s="1" t="s">
        <v>735</v>
      </c>
      <c r="C491" s="1" t="s">
        <v>327</v>
      </c>
      <c r="D491" s="1" t="s">
        <v>734</v>
      </c>
      <c r="E491" s="3" t="s">
        <v>384</v>
      </c>
    </row>
    <row r="492" spans="1:5" x14ac:dyDescent="0.4">
      <c r="A492" s="1" t="s">
        <v>3</v>
      </c>
      <c r="B492" s="1" t="s">
        <v>735</v>
      </c>
      <c r="C492" s="1" t="s">
        <v>107</v>
      </c>
      <c r="D492" s="1" t="s">
        <v>628</v>
      </c>
      <c r="E492" s="1" t="s">
        <v>104</v>
      </c>
    </row>
    <row r="493" spans="1:5" x14ac:dyDescent="0.4">
      <c r="A493" s="1" t="s">
        <v>3</v>
      </c>
      <c r="B493" s="1" t="s">
        <v>735</v>
      </c>
      <c r="C493" s="1" t="s">
        <v>115</v>
      </c>
      <c r="D493" s="1" t="s">
        <v>390</v>
      </c>
      <c r="E493" s="1" t="s">
        <v>104</v>
      </c>
    </row>
    <row r="494" spans="1:5" x14ac:dyDescent="0.4">
      <c r="A494" s="1" t="s">
        <v>3</v>
      </c>
      <c r="B494" s="1" t="s">
        <v>735</v>
      </c>
      <c r="C494" s="1" t="s">
        <v>116</v>
      </c>
      <c r="D494" s="1" t="s">
        <v>391</v>
      </c>
      <c r="E494" s="1" t="s">
        <v>104</v>
      </c>
    </row>
    <row r="495" spans="1:5" x14ac:dyDescent="0.4">
      <c r="A495" s="1" t="s">
        <v>3</v>
      </c>
      <c r="B495" s="1" t="s">
        <v>735</v>
      </c>
      <c r="C495" s="1" t="s">
        <v>117</v>
      </c>
      <c r="D495" s="1" t="s">
        <v>630</v>
      </c>
      <c r="E495" s="1" t="s">
        <v>104</v>
      </c>
    </row>
    <row r="496" spans="1:5" x14ac:dyDescent="0.4">
      <c r="A496" s="1" t="s">
        <v>3</v>
      </c>
      <c r="B496" s="1" t="s">
        <v>735</v>
      </c>
      <c r="C496" s="1" t="s">
        <v>108</v>
      </c>
      <c r="D496" s="1" t="s">
        <v>631</v>
      </c>
      <c r="E496" s="1" t="s">
        <v>104</v>
      </c>
    </row>
    <row r="497" spans="1:5" x14ac:dyDescent="0.4">
      <c r="A497" s="1" t="s">
        <v>3</v>
      </c>
      <c r="B497" s="1" t="s">
        <v>735</v>
      </c>
      <c r="C497" s="1" t="s">
        <v>112</v>
      </c>
      <c r="D497" s="1" t="s">
        <v>632</v>
      </c>
      <c r="E497" s="1" t="s">
        <v>104</v>
      </c>
    </row>
    <row r="498" spans="1:5" x14ac:dyDescent="0.4">
      <c r="A498" s="1" t="s">
        <v>3</v>
      </c>
      <c r="B498" s="1" t="s">
        <v>735</v>
      </c>
      <c r="C498" s="1" t="s">
        <v>113</v>
      </c>
      <c r="D498" s="1" t="s">
        <v>633</v>
      </c>
      <c r="E498" s="1" t="s">
        <v>104</v>
      </c>
    </row>
    <row r="499" spans="1:5" x14ac:dyDescent="0.4">
      <c r="A499" s="1" t="s">
        <v>3</v>
      </c>
      <c r="B499" s="1" t="s">
        <v>735</v>
      </c>
      <c r="C499" s="1" t="s">
        <v>118</v>
      </c>
      <c r="D499" s="1" t="s">
        <v>634</v>
      </c>
      <c r="E499" s="1" t="s">
        <v>104</v>
      </c>
    </row>
    <row r="500" spans="1:5" x14ac:dyDescent="0.4">
      <c r="A500" s="1" t="s">
        <v>3</v>
      </c>
      <c r="B500" s="1" t="s">
        <v>735</v>
      </c>
      <c r="C500" s="1" t="s">
        <v>114</v>
      </c>
      <c r="D500" s="1" t="s">
        <v>635</v>
      </c>
      <c r="E500" s="1" t="s">
        <v>104</v>
      </c>
    </row>
    <row r="501" spans="1:5" x14ac:dyDescent="0.4">
      <c r="A501" s="1" t="s">
        <v>3</v>
      </c>
      <c r="B501" s="1" t="s">
        <v>735</v>
      </c>
      <c r="C501" s="1" t="s">
        <v>179</v>
      </c>
      <c r="D501" s="1" t="s">
        <v>636</v>
      </c>
      <c r="E501" s="1" t="s">
        <v>104</v>
      </c>
    </row>
    <row r="502" spans="1:5" x14ac:dyDescent="0.4">
      <c r="A502" s="1" t="s">
        <v>3</v>
      </c>
      <c r="B502" s="1" t="s">
        <v>735</v>
      </c>
      <c r="C502" s="1" t="s">
        <v>186</v>
      </c>
      <c r="D502" s="1" t="s">
        <v>637</v>
      </c>
      <c r="E502" s="1" t="s">
        <v>104</v>
      </c>
    </row>
    <row r="503" spans="1:5" x14ac:dyDescent="0.4">
      <c r="A503" s="1" t="s">
        <v>3</v>
      </c>
      <c r="B503" s="1" t="s">
        <v>735</v>
      </c>
      <c r="C503" s="1" t="s">
        <v>180</v>
      </c>
      <c r="D503" s="1" t="s">
        <v>638</v>
      </c>
      <c r="E503" s="1" t="s">
        <v>104</v>
      </c>
    </row>
    <row r="504" spans="1:5" x14ac:dyDescent="0.4">
      <c r="A504" s="1" t="s">
        <v>3</v>
      </c>
      <c r="B504" s="1" t="s">
        <v>735</v>
      </c>
      <c r="C504" s="1" t="s">
        <v>187</v>
      </c>
      <c r="D504" s="1" t="s">
        <v>639</v>
      </c>
      <c r="E504" s="1" t="s">
        <v>104</v>
      </c>
    </row>
    <row r="505" spans="1:5" x14ac:dyDescent="0.4">
      <c r="A505" s="1" t="s">
        <v>3</v>
      </c>
      <c r="B505" s="1" t="s">
        <v>735</v>
      </c>
      <c r="C505" s="1" t="s">
        <v>181</v>
      </c>
      <c r="D505" s="1" t="s">
        <v>640</v>
      </c>
      <c r="E505" s="1" t="s">
        <v>104</v>
      </c>
    </row>
    <row r="506" spans="1:5" x14ac:dyDescent="0.4">
      <c r="A506" s="1" t="s">
        <v>3</v>
      </c>
      <c r="B506" s="1" t="s">
        <v>735</v>
      </c>
      <c r="C506" s="1" t="s">
        <v>188</v>
      </c>
      <c r="D506" s="1" t="s">
        <v>641</v>
      </c>
      <c r="E506" s="1" t="s">
        <v>104</v>
      </c>
    </row>
    <row r="507" spans="1:5" x14ac:dyDescent="0.4">
      <c r="A507" s="1" t="s">
        <v>3</v>
      </c>
      <c r="B507" s="1" t="s">
        <v>735</v>
      </c>
      <c r="C507" s="1" t="s">
        <v>182</v>
      </c>
      <c r="D507" s="1" t="s">
        <v>642</v>
      </c>
      <c r="E507" s="1" t="s">
        <v>104</v>
      </c>
    </row>
    <row r="508" spans="1:5" x14ac:dyDescent="0.4">
      <c r="A508" s="1" t="s">
        <v>3</v>
      </c>
      <c r="B508" s="1" t="s">
        <v>735</v>
      </c>
      <c r="C508" s="1" t="s">
        <v>477</v>
      </c>
      <c r="D508" s="1" t="s">
        <v>643</v>
      </c>
      <c r="E508" s="1" t="s">
        <v>104</v>
      </c>
    </row>
    <row r="509" spans="1:5" x14ac:dyDescent="0.4">
      <c r="A509" s="1" t="s">
        <v>3</v>
      </c>
      <c r="B509" s="1" t="s">
        <v>735</v>
      </c>
      <c r="C509" s="1" t="s">
        <v>190</v>
      </c>
      <c r="D509" s="1" t="s">
        <v>644</v>
      </c>
      <c r="E509" s="1" t="s">
        <v>104</v>
      </c>
    </row>
    <row r="510" spans="1:5" x14ac:dyDescent="0.4">
      <c r="A510" s="1" t="s">
        <v>3</v>
      </c>
      <c r="B510" s="1" t="s">
        <v>735</v>
      </c>
      <c r="C510" s="1" t="s">
        <v>491</v>
      </c>
      <c r="D510" s="1" t="s">
        <v>551</v>
      </c>
      <c r="E510" s="1" t="s">
        <v>104</v>
      </c>
    </row>
    <row r="511" spans="1:5" x14ac:dyDescent="0.4">
      <c r="A511" s="1" t="s">
        <v>3</v>
      </c>
      <c r="B511" s="1" t="s">
        <v>735</v>
      </c>
      <c r="C511" s="1" t="s">
        <v>193</v>
      </c>
      <c r="D511" s="1" t="s">
        <v>647</v>
      </c>
      <c r="E511" s="1" t="s">
        <v>104</v>
      </c>
    </row>
    <row r="512" spans="1:5" x14ac:dyDescent="0.4">
      <c r="A512" s="1" t="s">
        <v>3</v>
      </c>
      <c r="B512" s="1" t="s">
        <v>735</v>
      </c>
      <c r="C512" s="1" t="s">
        <v>195</v>
      </c>
      <c r="D512" s="1" t="s">
        <v>648</v>
      </c>
      <c r="E512" s="1" t="s">
        <v>104</v>
      </c>
    </row>
    <row r="513" spans="1:5" x14ac:dyDescent="0.4">
      <c r="A513" s="1" t="s">
        <v>3</v>
      </c>
      <c r="B513" s="1" t="s">
        <v>735</v>
      </c>
      <c r="C513" s="1" t="s">
        <v>528</v>
      </c>
      <c r="D513" s="1" t="s">
        <v>649</v>
      </c>
      <c r="E513" s="1" t="s">
        <v>104</v>
      </c>
    </row>
    <row r="514" spans="1:5" x14ac:dyDescent="0.4">
      <c r="A514" s="1" t="s">
        <v>3</v>
      </c>
      <c r="B514" s="1" t="s">
        <v>735</v>
      </c>
      <c r="C514" s="1" t="s">
        <v>196</v>
      </c>
      <c r="D514" s="1" t="s">
        <v>650</v>
      </c>
      <c r="E514" s="1" t="s">
        <v>104</v>
      </c>
    </row>
    <row r="515" spans="1:5" x14ac:dyDescent="0.4">
      <c r="A515" s="1" t="s">
        <v>3</v>
      </c>
      <c r="B515" s="1" t="s">
        <v>735</v>
      </c>
      <c r="C515" s="1" t="s">
        <v>197</v>
      </c>
      <c r="D515" s="1" t="s">
        <v>651</v>
      </c>
      <c r="E515" s="1" t="s">
        <v>104</v>
      </c>
    </row>
    <row r="516" spans="1:5" x14ac:dyDescent="0.4">
      <c r="A516" s="1" t="s">
        <v>3</v>
      </c>
      <c r="B516" s="1" t="s">
        <v>735</v>
      </c>
      <c r="C516" s="1" t="s">
        <v>198</v>
      </c>
      <c r="D516" s="1" t="s">
        <v>652</v>
      </c>
      <c r="E516" s="1" t="s">
        <v>104</v>
      </c>
    </row>
    <row r="517" spans="1:5" x14ac:dyDescent="0.4">
      <c r="A517" s="1" t="s">
        <v>3</v>
      </c>
      <c r="B517" s="1" t="s">
        <v>735</v>
      </c>
      <c r="C517" s="1" t="s">
        <v>199</v>
      </c>
      <c r="D517" s="1" t="s">
        <v>653</v>
      </c>
      <c r="E517" s="1" t="s">
        <v>104</v>
      </c>
    </row>
    <row r="518" spans="1:5" x14ac:dyDescent="0.4">
      <c r="A518" s="1" t="s">
        <v>3</v>
      </c>
      <c r="B518" s="1" t="s">
        <v>735</v>
      </c>
      <c r="C518" s="1" t="s">
        <v>463</v>
      </c>
      <c r="D518" s="1" t="s">
        <v>654</v>
      </c>
      <c r="E518" s="1" t="s">
        <v>104</v>
      </c>
    </row>
    <row r="519" spans="1:5" x14ac:dyDescent="0.4">
      <c r="A519" s="1" t="s">
        <v>3</v>
      </c>
      <c r="B519" s="1" t="s">
        <v>735</v>
      </c>
      <c r="C519" s="1" t="s">
        <v>200</v>
      </c>
      <c r="D519" s="1" t="s">
        <v>655</v>
      </c>
      <c r="E519" s="1" t="s">
        <v>104</v>
      </c>
    </row>
    <row r="520" spans="1:5" x14ac:dyDescent="0.4">
      <c r="A520" s="1" t="s">
        <v>3</v>
      </c>
      <c r="B520" s="1" t="s">
        <v>735</v>
      </c>
      <c r="C520" s="1" t="s">
        <v>197</v>
      </c>
      <c r="D520" s="1" t="s">
        <v>656</v>
      </c>
      <c r="E520" s="1" t="s">
        <v>104</v>
      </c>
    </row>
    <row r="521" spans="1:5" x14ac:dyDescent="0.4">
      <c r="A521" s="1" t="s">
        <v>3</v>
      </c>
      <c r="B521" s="1" t="s">
        <v>735</v>
      </c>
      <c r="C521" s="1" t="s">
        <v>615</v>
      </c>
      <c r="D521" s="1" t="s">
        <v>657</v>
      </c>
      <c r="E521" s="1" t="s">
        <v>104</v>
      </c>
    </row>
    <row r="522" spans="1:5" x14ac:dyDescent="0.4">
      <c r="A522" s="1" t="s">
        <v>3</v>
      </c>
      <c r="B522" s="1" t="s">
        <v>735</v>
      </c>
      <c r="C522" s="1" t="s">
        <v>616</v>
      </c>
      <c r="D522" s="1" t="s">
        <v>658</v>
      </c>
      <c r="E522" s="1" t="s">
        <v>104</v>
      </c>
    </row>
    <row r="523" spans="1:5" x14ac:dyDescent="0.4">
      <c r="A523" s="1" t="s">
        <v>3</v>
      </c>
      <c r="B523" s="1" t="s">
        <v>735</v>
      </c>
      <c r="C523" s="1" t="s">
        <v>452</v>
      </c>
      <c r="D523" s="1" t="s">
        <v>659</v>
      </c>
      <c r="E523" s="1" t="s">
        <v>104</v>
      </c>
    </row>
    <row r="524" spans="1:5" x14ac:dyDescent="0.4">
      <c r="A524" s="1" t="s">
        <v>3</v>
      </c>
      <c r="B524" s="1" t="s">
        <v>735</v>
      </c>
      <c r="C524" s="1" t="s">
        <v>316</v>
      </c>
      <c r="D524" s="1" t="s">
        <v>660</v>
      </c>
      <c r="E524" s="1" t="s">
        <v>104</v>
      </c>
    </row>
    <row r="525" spans="1:5" x14ac:dyDescent="0.4">
      <c r="A525" s="1" t="s">
        <v>3</v>
      </c>
      <c r="B525" s="1" t="s">
        <v>735</v>
      </c>
      <c r="C525" s="1" t="s">
        <v>317</v>
      </c>
      <c r="D525" s="1" t="s">
        <v>661</v>
      </c>
      <c r="E525" s="1" t="s">
        <v>104</v>
      </c>
    </row>
    <row r="526" spans="1:5" x14ac:dyDescent="0.4">
      <c r="A526" s="1" t="s">
        <v>3</v>
      </c>
      <c r="B526" s="1" t="s">
        <v>735</v>
      </c>
      <c r="C526" s="1" t="s">
        <v>318</v>
      </c>
      <c r="D526" s="1" t="s">
        <v>662</v>
      </c>
      <c r="E526" s="1" t="s">
        <v>104</v>
      </c>
    </row>
    <row r="527" spans="1:5" x14ac:dyDescent="0.4">
      <c r="A527" s="1" t="s">
        <v>3</v>
      </c>
      <c r="B527" s="1" t="s">
        <v>735</v>
      </c>
      <c r="C527" s="1" t="s">
        <v>319</v>
      </c>
      <c r="D527" s="1" t="s">
        <v>663</v>
      </c>
      <c r="E527" s="1" t="s">
        <v>104</v>
      </c>
    </row>
    <row r="528" spans="1:5" x14ac:dyDescent="0.4">
      <c r="A528" s="1" t="s">
        <v>3</v>
      </c>
      <c r="B528" s="1" t="s">
        <v>735</v>
      </c>
      <c r="C528" s="1" t="s">
        <v>77</v>
      </c>
      <c r="D528" s="1" t="s">
        <v>664</v>
      </c>
      <c r="E528" s="1" t="s">
        <v>104</v>
      </c>
    </row>
    <row r="529" spans="1:5" x14ac:dyDescent="0.4">
      <c r="A529" s="1" t="s">
        <v>3</v>
      </c>
      <c r="B529" s="1" t="s">
        <v>735</v>
      </c>
      <c r="C529" s="1" t="s">
        <v>323</v>
      </c>
      <c r="D529" s="1" t="s">
        <v>665</v>
      </c>
      <c r="E529" s="1" t="s">
        <v>104</v>
      </c>
    </row>
    <row r="530" spans="1:5" x14ac:dyDescent="0.4">
      <c r="A530" s="1" t="s">
        <v>3</v>
      </c>
      <c r="B530" s="1" t="s">
        <v>735</v>
      </c>
      <c r="C530" s="1" t="s">
        <v>321</v>
      </c>
      <c r="D530" s="1" t="s">
        <v>666</v>
      </c>
      <c r="E530" s="1" t="s">
        <v>104</v>
      </c>
    </row>
    <row r="531" spans="1:5" x14ac:dyDescent="0.4">
      <c r="A531" s="1" t="s">
        <v>3</v>
      </c>
      <c r="B531" s="1" t="s">
        <v>735</v>
      </c>
      <c r="C531" s="1" t="s">
        <v>322</v>
      </c>
      <c r="D531" s="1" t="s">
        <v>361</v>
      </c>
      <c r="E531" s="1" t="s">
        <v>104</v>
      </c>
    </row>
    <row r="532" spans="1:5" x14ac:dyDescent="0.4">
      <c r="A532" s="1" t="s">
        <v>3</v>
      </c>
      <c r="B532" s="1" t="s">
        <v>735</v>
      </c>
      <c r="C532" s="1" t="s">
        <v>325</v>
      </c>
      <c r="D532" s="1" t="s">
        <v>667</v>
      </c>
      <c r="E532" s="1" t="s">
        <v>104</v>
      </c>
    </row>
    <row r="533" spans="1:5" x14ac:dyDescent="0.4">
      <c r="A533" s="1" t="s">
        <v>3</v>
      </c>
      <c r="B533" s="1" t="s">
        <v>735</v>
      </c>
      <c r="C533" s="1" t="s">
        <v>326</v>
      </c>
      <c r="D533" s="1" t="s">
        <v>668</v>
      </c>
      <c r="E533" s="1" t="s">
        <v>104</v>
      </c>
    </row>
    <row r="534" spans="1:5" x14ac:dyDescent="0.4">
      <c r="A534" s="1" t="s">
        <v>3</v>
      </c>
      <c r="B534" s="1" t="s">
        <v>735</v>
      </c>
      <c r="C534" s="1" t="s">
        <v>327</v>
      </c>
      <c r="D534" s="1" t="s">
        <v>669</v>
      </c>
      <c r="E534" s="1" t="s">
        <v>104</v>
      </c>
    </row>
    <row r="535" spans="1:5" ht="56.25" x14ac:dyDescent="0.4">
      <c r="A535" s="1" t="s">
        <v>3</v>
      </c>
      <c r="B535" s="1" t="s">
        <v>735</v>
      </c>
      <c r="C535" s="1" t="s">
        <v>747</v>
      </c>
      <c r="D535" s="1" t="s">
        <v>175</v>
      </c>
      <c r="E535" s="3" t="s">
        <v>176</v>
      </c>
    </row>
    <row r="536" spans="1:5" ht="56.25" x14ac:dyDescent="0.4">
      <c r="A536" s="1" t="s">
        <v>3</v>
      </c>
      <c r="B536" s="1" t="s">
        <v>735</v>
      </c>
      <c r="C536" s="1" t="s">
        <v>749</v>
      </c>
      <c r="D536" s="1" t="s">
        <v>175</v>
      </c>
      <c r="E536" s="3" t="s">
        <v>176</v>
      </c>
    </row>
    <row r="537" spans="1:5" ht="56.25" x14ac:dyDescent="0.4">
      <c r="A537" s="1" t="s">
        <v>3</v>
      </c>
      <c r="B537" s="1" t="s">
        <v>735</v>
      </c>
      <c r="C537" s="1" t="s">
        <v>750</v>
      </c>
      <c r="D537" s="1" t="s">
        <v>175</v>
      </c>
      <c r="E537" s="3" t="s">
        <v>176</v>
      </c>
    </row>
    <row r="538" spans="1:5" ht="281.25" x14ac:dyDescent="0.4">
      <c r="A538" s="1" t="s">
        <v>3</v>
      </c>
      <c r="B538" s="1" t="s">
        <v>735</v>
      </c>
      <c r="C538" s="1" t="s">
        <v>751</v>
      </c>
      <c r="D538" s="1" t="s">
        <v>175</v>
      </c>
      <c r="E538" s="3" t="s">
        <v>476</v>
      </c>
    </row>
    <row r="539" spans="1:5" x14ac:dyDescent="0.4">
      <c r="A539" s="1" t="s">
        <v>3</v>
      </c>
      <c r="B539" s="1" t="s">
        <v>735</v>
      </c>
      <c r="C539" s="1" t="s">
        <v>683</v>
      </c>
      <c r="D539" s="1" t="s">
        <v>175</v>
      </c>
      <c r="E539" s="1" t="s">
        <v>104</v>
      </c>
    </row>
    <row r="540" spans="1:5" x14ac:dyDescent="0.4">
      <c r="A540" s="1" t="s">
        <v>3</v>
      </c>
      <c r="B540" s="1" t="s">
        <v>735</v>
      </c>
      <c r="C540" s="1" t="s">
        <v>684</v>
      </c>
      <c r="D540" s="1" t="s">
        <v>175</v>
      </c>
      <c r="E540" s="1" t="s">
        <v>104</v>
      </c>
    </row>
    <row r="541" spans="1:5" x14ac:dyDescent="0.4">
      <c r="A541" s="1" t="s">
        <v>3</v>
      </c>
      <c r="B541" s="1" t="s">
        <v>735</v>
      </c>
      <c r="C541" s="1" t="s">
        <v>685</v>
      </c>
      <c r="D541" s="1" t="s">
        <v>175</v>
      </c>
      <c r="E541" s="1" t="s">
        <v>104</v>
      </c>
    </row>
    <row r="542" spans="1:5" x14ac:dyDescent="0.4">
      <c r="A542" s="1" t="s">
        <v>3</v>
      </c>
      <c r="B542" s="1" t="s">
        <v>735</v>
      </c>
      <c r="C542" s="1" t="s">
        <v>688</v>
      </c>
      <c r="D542" s="1" t="s">
        <v>175</v>
      </c>
      <c r="E542" s="1" t="s">
        <v>104</v>
      </c>
    </row>
    <row r="543" spans="1:5" ht="409.5" x14ac:dyDescent="0.4">
      <c r="A543" s="1" t="s">
        <v>3</v>
      </c>
      <c r="B543" s="1" t="s">
        <v>752</v>
      </c>
      <c r="C543" s="1" t="s">
        <v>117</v>
      </c>
      <c r="D543" s="1" t="s">
        <v>692</v>
      </c>
      <c r="E543" s="3" t="s">
        <v>445</v>
      </c>
    </row>
    <row r="544" spans="1:5" ht="409.5" x14ac:dyDescent="0.4">
      <c r="A544" s="1" t="s">
        <v>3</v>
      </c>
      <c r="B544" s="1" t="s">
        <v>752</v>
      </c>
      <c r="C544" s="1" t="s">
        <v>182</v>
      </c>
      <c r="D544" s="1" t="s">
        <v>705</v>
      </c>
      <c r="E544" s="3" t="s">
        <v>446</v>
      </c>
    </row>
    <row r="545" spans="1:5" ht="409.5" x14ac:dyDescent="0.4">
      <c r="A545" s="1" t="s">
        <v>3</v>
      </c>
      <c r="B545" s="1" t="s">
        <v>752</v>
      </c>
      <c r="C545" s="1" t="s">
        <v>492</v>
      </c>
      <c r="D545" s="1" t="s">
        <v>710</v>
      </c>
      <c r="E545" s="3" t="s">
        <v>509</v>
      </c>
    </row>
    <row r="546" spans="1:5" ht="409.5" x14ac:dyDescent="0.4">
      <c r="A546" s="1" t="s">
        <v>3</v>
      </c>
      <c r="B546" s="1" t="s">
        <v>755</v>
      </c>
      <c r="C546" s="1" t="s">
        <v>117</v>
      </c>
      <c r="D546" s="1" t="s">
        <v>692</v>
      </c>
      <c r="E546" s="3" t="s">
        <v>488</v>
      </c>
    </row>
    <row r="547" spans="1:5" ht="409.5" x14ac:dyDescent="0.4">
      <c r="A547" s="1" t="s">
        <v>3</v>
      </c>
      <c r="B547" s="1" t="s">
        <v>755</v>
      </c>
      <c r="C547" s="1" t="s">
        <v>182</v>
      </c>
      <c r="D547" s="1" t="s">
        <v>705</v>
      </c>
      <c r="E547" s="3" t="s">
        <v>446</v>
      </c>
    </row>
    <row r="548" spans="1:5" ht="409.5" x14ac:dyDescent="0.4">
      <c r="A548" s="1" t="s">
        <v>3</v>
      </c>
      <c r="B548" s="1" t="s">
        <v>755</v>
      </c>
      <c r="C548" s="1" t="s">
        <v>492</v>
      </c>
      <c r="D548" s="1" t="s">
        <v>710</v>
      </c>
      <c r="E548" s="3" t="s">
        <v>509</v>
      </c>
    </row>
    <row r="549" spans="1:5" ht="187.5" x14ac:dyDescent="0.4">
      <c r="A549" s="1" t="s">
        <v>3</v>
      </c>
      <c r="B549" s="1" t="s">
        <v>755</v>
      </c>
      <c r="C549" s="1" t="s">
        <v>615</v>
      </c>
      <c r="D549" s="1" t="s">
        <v>721</v>
      </c>
      <c r="E549" s="3" t="s">
        <v>756</v>
      </c>
    </row>
    <row r="550" spans="1:5" ht="56.25" x14ac:dyDescent="0.4">
      <c r="A550" s="1" t="s">
        <v>3</v>
      </c>
      <c r="B550" s="1" t="s">
        <v>758</v>
      </c>
      <c r="C550" s="1" t="s">
        <v>757</v>
      </c>
      <c r="D550" s="1" t="s">
        <v>175</v>
      </c>
      <c r="E550" s="3" t="s">
        <v>176</v>
      </c>
    </row>
    <row r="551" spans="1:5" ht="409.5" x14ac:dyDescent="0.4">
      <c r="A551" s="1" t="s">
        <v>3</v>
      </c>
      <c r="B551" s="1" t="s">
        <v>767</v>
      </c>
      <c r="C551" s="1" t="s">
        <v>182</v>
      </c>
      <c r="D551" s="1" t="s">
        <v>705</v>
      </c>
      <c r="E551" s="3" t="s">
        <v>446</v>
      </c>
    </row>
    <row r="552" spans="1:5" ht="409.5" x14ac:dyDescent="0.4">
      <c r="A552" s="1" t="s">
        <v>3</v>
      </c>
      <c r="B552" s="1" t="s">
        <v>767</v>
      </c>
      <c r="C552" s="1" t="s">
        <v>492</v>
      </c>
      <c r="D552" s="1" t="s">
        <v>710</v>
      </c>
      <c r="E552" s="3" t="s">
        <v>509</v>
      </c>
    </row>
    <row r="553" spans="1:5" ht="409.5" x14ac:dyDescent="0.4">
      <c r="A553" s="1" t="s">
        <v>3</v>
      </c>
      <c r="B553" s="1" t="s">
        <v>767</v>
      </c>
      <c r="C553" s="1" t="s">
        <v>77</v>
      </c>
      <c r="D553" s="1" t="s">
        <v>759</v>
      </c>
      <c r="E553" s="3" t="s">
        <v>92</v>
      </c>
    </row>
    <row r="554" spans="1:5" ht="300" x14ac:dyDescent="0.4">
      <c r="A554" s="1" t="s">
        <v>3</v>
      </c>
      <c r="B554" s="1" t="s">
        <v>767</v>
      </c>
      <c r="C554" s="1" t="s">
        <v>323</v>
      </c>
      <c r="D554" s="1" t="s">
        <v>760</v>
      </c>
      <c r="E554" s="3" t="s">
        <v>378</v>
      </c>
    </row>
    <row r="555" spans="1:5" ht="281.25" x14ac:dyDescent="0.4">
      <c r="A555" s="1" t="s">
        <v>3</v>
      </c>
      <c r="B555" s="1" t="s">
        <v>767</v>
      </c>
      <c r="C555" s="1" t="s">
        <v>320</v>
      </c>
      <c r="D555" s="1" t="s">
        <v>761</v>
      </c>
      <c r="E555" s="3" t="s">
        <v>379</v>
      </c>
    </row>
    <row r="556" spans="1:5" ht="318.75" x14ac:dyDescent="0.4">
      <c r="A556" s="1" t="s">
        <v>3</v>
      </c>
      <c r="B556" s="1" t="s">
        <v>767</v>
      </c>
      <c r="C556" s="1" t="s">
        <v>321</v>
      </c>
      <c r="D556" s="1" t="s">
        <v>762</v>
      </c>
      <c r="E556" s="3" t="s">
        <v>380</v>
      </c>
    </row>
    <row r="557" spans="1:5" ht="300" x14ac:dyDescent="0.4">
      <c r="A557" s="1" t="s">
        <v>3</v>
      </c>
      <c r="B557" s="1" t="s">
        <v>767</v>
      </c>
      <c r="C557" s="1" t="s">
        <v>322</v>
      </c>
      <c r="D557" s="1" t="s">
        <v>763</v>
      </c>
      <c r="E557" s="3" t="s">
        <v>381</v>
      </c>
    </row>
    <row r="558" spans="1:5" ht="262.5" x14ac:dyDescent="0.4">
      <c r="A558" s="1" t="s">
        <v>3</v>
      </c>
      <c r="B558" s="1" t="s">
        <v>767</v>
      </c>
      <c r="C558" s="1" t="s">
        <v>325</v>
      </c>
      <c r="D558" s="1" t="s">
        <v>764</v>
      </c>
      <c r="E558" s="3" t="s">
        <v>382</v>
      </c>
    </row>
    <row r="559" spans="1:5" ht="318.75" x14ac:dyDescent="0.4">
      <c r="A559" s="1" t="s">
        <v>3</v>
      </c>
      <c r="B559" s="1" t="s">
        <v>767</v>
      </c>
      <c r="C559" s="1" t="s">
        <v>326</v>
      </c>
      <c r="D559" s="1" t="s">
        <v>765</v>
      </c>
      <c r="E559" s="3" t="s">
        <v>671</v>
      </c>
    </row>
    <row r="560" spans="1:5" ht="281.25" x14ac:dyDescent="0.4">
      <c r="A560" s="1" t="s">
        <v>3</v>
      </c>
      <c r="B560" s="1" t="s">
        <v>767</v>
      </c>
      <c r="C560" s="1" t="s">
        <v>327</v>
      </c>
      <c r="D560" s="1" t="s">
        <v>766</v>
      </c>
      <c r="E560" s="3" t="s">
        <v>384</v>
      </c>
    </row>
    <row r="561" spans="1:5" x14ac:dyDescent="0.4">
      <c r="A561" s="1" t="s">
        <v>3</v>
      </c>
      <c r="B561" s="1" t="s">
        <v>767</v>
      </c>
      <c r="C561" s="1" t="s">
        <v>77</v>
      </c>
      <c r="D561" s="1" t="s">
        <v>729</v>
      </c>
      <c r="E561" s="1" t="s">
        <v>104</v>
      </c>
    </row>
    <row r="562" spans="1:5" x14ac:dyDescent="0.4">
      <c r="A562" s="1" t="s">
        <v>3</v>
      </c>
      <c r="B562" s="1" t="s">
        <v>767</v>
      </c>
      <c r="C562" s="1" t="s">
        <v>323</v>
      </c>
      <c r="D562" s="1" t="s">
        <v>730</v>
      </c>
      <c r="E562" s="1" t="s">
        <v>104</v>
      </c>
    </row>
    <row r="563" spans="1:5" x14ac:dyDescent="0.4">
      <c r="A563" s="1" t="s">
        <v>3</v>
      </c>
      <c r="B563" s="1" t="s">
        <v>767</v>
      </c>
      <c r="C563" s="1" t="s">
        <v>320</v>
      </c>
      <c r="D563" s="1" t="s">
        <v>385</v>
      </c>
      <c r="E563" s="1" t="s">
        <v>104</v>
      </c>
    </row>
    <row r="564" spans="1:5" x14ac:dyDescent="0.4">
      <c r="A564" s="1" t="s">
        <v>3</v>
      </c>
      <c r="B564" s="1" t="s">
        <v>767</v>
      </c>
      <c r="C564" s="1" t="s">
        <v>321</v>
      </c>
      <c r="D564" s="1" t="s">
        <v>731</v>
      </c>
      <c r="E564" s="1" t="s">
        <v>104</v>
      </c>
    </row>
    <row r="565" spans="1:5" x14ac:dyDescent="0.4">
      <c r="A565" s="1" t="s">
        <v>3</v>
      </c>
      <c r="B565" s="1" t="s">
        <v>767</v>
      </c>
      <c r="C565" s="1" t="s">
        <v>322</v>
      </c>
      <c r="D565" s="1" t="s">
        <v>426</v>
      </c>
      <c r="E565" s="1" t="s">
        <v>104</v>
      </c>
    </row>
    <row r="566" spans="1:5" x14ac:dyDescent="0.4">
      <c r="A566" s="1" t="s">
        <v>3</v>
      </c>
      <c r="B566" s="1" t="s">
        <v>767</v>
      </c>
      <c r="C566" s="1" t="s">
        <v>325</v>
      </c>
      <c r="D566" s="1" t="s">
        <v>732</v>
      </c>
      <c r="E566" s="1" t="s">
        <v>104</v>
      </c>
    </row>
    <row r="567" spans="1:5" x14ac:dyDescent="0.4">
      <c r="A567" s="1" t="s">
        <v>3</v>
      </c>
      <c r="B567" s="1" t="s">
        <v>767</v>
      </c>
      <c r="C567" s="1" t="s">
        <v>326</v>
      </c>
      <c r="D567" s="1" t="s">
        <v>733</v>
      </c>
      <c r="E567" s="1" t="s">
        <v>104</v>
      </c>
    </row>
    <row r="568" spans="1:5" x14ac:dyDescent="0.4">
      <c r="A568" s="1" t="s">
        <v>3</v>
      </c>
      <c r="B568" s="1" t="s">
        <v>767</v>
      </c>
      <c r="C568" s="1" t="s">
        <v>327</v>
      </c>
      <c r="D568" s="1" t="s">
        <v>734</v>
      </c>
      <c r="E568" s="1" t="s">
        <v>104</v>
      </c>
    </row>
    <row r="569" spans="1:5" ht="409.5" x14ac:dyDescent="0.4">
      <c r="A569" s="1" t="s">
        <v>3</v>
      </c>
      <c r="B569" s="1" t="s">
        <v>774</v>
      </c>
      <c r="C569" s="1" t="s">
        <v>182</v>
      </c>
      <c r="D569" s="1" t="s">
        <v>705</v>
      </c>
      <c r="E569" s="3" t="s">
        <v>446</v>
      </c>
    </row>
    <row r="570" spans="1:5" ht="409.5" x14ac:dyDescent="0.4">
      <c r="A570" s="1" t="s">
        <v>3</v>
      </c>
      <c r="B570" s="1" t="s">
        <v>774</v>
      </c>
      <c r="C570" s="1" t="s">
        <v>492</v>
      </c>
      <c r="D570" s="1" t="s">
        <v>710</v>
      </c>
      <c r="E570" s="3" t="s">
        <v>509</v>
      </c>
    </row>
    <row r="571" spans="1:5" ht="409.5" x14ac:dyDescent="0.4">
      <c r="A571" s="1" t="s">
        <v>3</v>
      </c>
      <c r="B571" s="1" t="s">
        <v>774</v>
      </c>
      <c r="C571" s="1" t="s">
        <v>77</v>
      </c>
      <c r="D571" s="1" t="s">
        <v>768</v>
      </c>
      <c r="E571" s="3" t="s">
        <v>92</v>
      </c>
    </row>
    <row r="572" spans="1:5" ht="300" x14ac:dyDescent="0.4">
      <c r="A572" s="1" t="s">
        <v>3</v>
      </c>
      <c r="B572" s="1" t="s">
        <v>774</v>
      </c>
      <c r="C572" s="1" t="s">
        <v>323</v>
      </c>
      <c r="D572" s="1" t="s">
        <v>769</v>
      </c>
      <c r="E572" s="3" t="s">
        <v>378</v>
      </c>
    </row>
    <row r="573" spans="1:5" ht="281.25" x14ac:dyDescent="0.4">
      <c r="A573" s="1" t="s">
        <v>3</v>
      </c>
      <c r="B573" s="1" t="s">
        <v>774</v>
      </c>
      <c r="C573" s="1" t="s">
        <v>320</v>
      </c>
      <c r="D573" s="1" t="s">
        <v>770</v>
      </c>
      <c r="E573" s="3" t="s">
        <v>379</v>
      </c>
    </row>
    <row r="574" spans="1:5" ht="318.75" x14ac:dyDescent="0.4">
      <c r="A574" s="1" t="s">
        <v>3</v>
      </c>
      <c r="B574" s="1" t="s">
        <v>774</v>
      </c>
      <c r="C574" s="1" t="s">
        <v>321</v>
      </c>
      <c r="D574" s="1" t="s">
        <v>771</v>
      </c>
      <c r="E574" s="3" t="s">
        <v>380</v>
      </c>
    </row>
    <row r="575" spans="1:5" ht="300" x14ac:dyDescent="0.4">
      <c r="A575" s="1" t="s">
        <v>3</v>
      </c>
      <c r="B575" s="1" t="s">
        <v>774</v>
      </c>
      <c r="C575" s="1" t="s">
        <v>322</v>
      </c>
      <c r="D575" s="1" t="s">
        <v>428</v>
      </c>
      <c r="E575" s="3" t="s">
        <v>381</v>
      </c>
    </row>
    <row r="576" spans="1:5" ht="262.5" x14ac:dyDescent="0.4">
      <c r="A576" s="1" t="s">
        <v>3</v>
      </c>
      <c r="B576" s="1" t="s">
        <v>774</v>
      </c>
      <c r="C576" s="1" t="s">
        <v>325</v>
      </c>
      <c r="D576" s="1" t="s">
        <v>734</v>
      </c>
      <c r="E576" s="3" t="s">
        <v>382</v>
      </c>
    </row>
    <row r="577" spans="1:5" ht="318.75" x14ac:dyDescent="0.4">
      <c r="A577" s="1" t="s">
        <v>3</v>
      </c>
      <c r="B577" s="1" t="s">
        <v>774</v>
      </c>
      <c r="C577" s="1" t="s">
        <v>326</v>
      </c>
      <c r="D577" s="1" t="s">
        <v>772</v>
      </c>
      <c r="E577" s="3" t="s">
        <v>671</v>
      </c>
    </row>
    <row r="578" spans="1:5" ht="281.25" x14ac:dyDescent="0.4">
      <c r="A578" s="1" t="s">
        <v>3</v>
      </c>
      <c r="B578" s="1" t="s">
        <v>774</v>
      </c>
      <c r="C578" s="1" t="s">
        <v>327</v>
      </c>
      <c r="D578" s="1" t="s">
        <v>773</v>
      </c>
      <c r="E578" s="3" t="s">
        <v>384</v>
      </c>
    </row>
    <row r="579" spans="1:5" x14ac:dyDescent="0.4">
      <c r="A579" s="1" t="s">
        <v>3</v>
      </c>
      <c r="B579" s="1" t="s">
        <v>774</v>
      </c>
      <c r="C579" s="1" t="s">
        <v>77</v>
      </c>
      <c r="D579" s="1" t="s">
        <v>759</v>
      </c>
      <c r="E579" s="1" t="s">
        <v>104</v>
      </c>
    </row>
    <row r="580" spans="1:5" x14ac:dyDescent="0.4">
      <c r="A580" s="1" t="s">
        <v>3</v>
      </c>
      <c r="B580" s="1" t="s">
        <v>774</v>
      </c>
      <c r="C580" s="1" t="s">
        <v>323</v>
      </c>
      <c r="D580" s="1" t="s">
        <v>760</v>
      </c>
      <c r="E580" s="1" t="s">
        <v>104</v>
      </c>
    </row>
    <row r="581" spans="1:5" x14ac:dyDescent="0.4">
      <c r="A581" s="1" t="s">
        <v>3</v>
      </c>
      <c r="B581" s="1" t="s">
        <v>774</v>
      </c>
      <c r="C581" s="1" t="s">
        <v>320</v>
      </c>
      <c r="D581" s="1" t="s">
        <v>761</v>
      </c>
      <c r="E581" s="1" t="s">
        <v>104</v>
      </c>
    </row>
    <row r="582" spans="1:5" x14ac:dyDescent="0.4">
      <c r="A582" s="1" t="s">
        <v>3</v>
      </c>
      <c r="B582" s="1" t="s">
        <v>774</v>
      </c>
      <c r="C582" s="1" t="s">
        <v>321</v>
      </c>
      <c r="D582" s="1" t="s">
        <v>762</v>
      </c>
      <c r="E582" s="1" t="s">
        <v>104</v>
      </c>
    </row>
    <row r="583" spans="1:5" x14ac:dyDescent="0.4">
      <c r="A583" s="1" t="s">
        <v>3</v>
      </c>
      <c r="B583" s="1" t="s">
        <v>774</v>
      </c>
      <c r="C583" s="1" t="s">
        <v>322</v>
      </c>
      <c r="D583" s="1" t="s">
        <v>763</v>
      </c>
      <c r="E583" s="1" t="s">
        <v>104</v>
      </c>
    </row>
    <row r="584" spans="1:5" x14ac:dyDescent="0.4">
      <c r="A584" s="1" t="s">
        <v>3</v>
      </c>
      <c r="B584" s="1" t="s">
        <v>774</v>
      </c>
      <c r="C584" s="1" t="s">
        <v>325</v>
      </c>
      <c r="D584" s="1" t="s">
        <v>764</v>
      </c>
      <c r="E584" s="1" t="s">
        <v>104</v>
      </c>
    </row>
    <row r="585" spans="1:5" x14ac:dyDescent="0.4">
      <c r="A585" s="1" t="s">
        <v>3</v>
      </c>
      <c r="B585" s="1" t="s">
        <v>774</v>
      </c>
      <c r="C585" s="1" t="s">
        <v>326</v>
      </c>
      <c r="D585" s="1" t="s">
        <v>765</v>
      </c>
      <c r="E585" s="1" t="s">
        <v>104</v>
      </c>
    </row>
    <row r="586" spans="1:5" x14ac:dyDescent="0.4">
      <c r="A586" s="1" t="s">
        <v>3</v>
      </c>
      <c r="B586" s="1" t="s">
        <v>774</v>
      </c>
      <c r="C586" s="1" t="s">
        <v>327</v>
      </c>
      <c r="D586" s="1" t="s">
        <v>766</v>
      </c>
      <c r="E586" s="1" t="s">
        <v>104</v>
      </c>
    </row>
    <row r="587" spans="1:5" ht="409.5" x14ac:dyDescent="0.4">
      <c r="A587" s="1" t="s">
        <v>3</v>
      </c>
      <c r="B587" s="1" t="s">
        <v>775</v>
      </c>
      <c r="C587" s="1" t="s">
        <v>182</v>
      </c>
      <c r="D587" s="1" t="s">
        <v>705</v>
      </c>
      <c r="E587" s="3" t="s">
        <v>446</v>
      </c>
    </row>
    <row r="588" spans="1:5" ht="409.5" x14ac:dyDescent="0.4">
      <c r="A588" s="1" t="s">
        <v>3</v>
      </c>
      <c r="B588" s="1" t="s">
        <v>775</v>
      </c>
      <c r="C588" s="1" t="s">
        <v>492</v>
      </c>
      <c r="D588" s="1" t="s">
        <v>710</v>
      </c>
      <c r="E588" s="3" t="s">
        <v>509</v>
      </c>
    </row>
    <row r="589" spans="1:5" ht="409.5" x14ac:dyDescent="0.4">
      <c r="A589" s="1" t="s">
        <v>3</v>
      </c>
      <c r="B589" s="1" t="s">
        <v>776</v>
      </c>
      <c r="C589" s="1" t="s">
        <v>182</v>
      </c>
      <c r="D589" s="1" t="s">
        <v>705</v>
      </c>
      <c r="E589" s="3" t="s">
        <v>446</v>
      </c>
    </row>
    <row r="590" spans="1:5" ht="409.5" x14ac:dyDescent="0.4">
      <c r="A590" s="1" t="s">
        <v>3</v>
      </c>
      <c r="B590" s="1" t="s">
        <v>776</v>
      </c>
      <c r="C590" s="1" t="s">
        <v>492</v>
      </c>
      <c r="D590" s="1" t="s">
        <v>710</v>
      </c>
      <c r="E590" s="3" t="s">
        <v>509</v>
      </c>
    </row>
    <row r="591" spans="1:5" ht="409.5" x14ac:dyDescent="0.4">
      <c r="A591" s="1" t="s">
        <v>3</v>
      </c>
      <c r="B591" s="1" t="s">
        <v>783</v>
      </c>
      <c r="C591" s="1" t="s">
        <v>182</v>
      </c>
      <c r="D591" s="1" t="s">
        <v>705</v>
      </c>
      <c r="E591" s="3" t="s">
        <v>446</v>
      </c>
    </row>
    <row r="592" spans="1:5" ht="409.5" x14ac:dyDescent="0.4">
      <c r="A592" s="1" t="s">
        <v>3</v>
      </c>
      <c r="B592" s="1" t="s">
        <v>783</v>
      </c>
      <c r="C592" s="1" t="s">
        <v>492</v>
      </c>
      <c r="D592" s="1" t="s">
        <v>710</v>
      </c>
      <c r="E592" s="3" t="s">
        <v>509</v>
      </c>
    </row>
    <row r="593" spans="1:5" ht="409.5" x14ac:dyDescent="0.4">
      <c r="A593" s="1" t="s">
        <v>3</v>
      </c>
      <c r="B593" s="1" t="s">
        <v>783</v>
      </c>
      <c r="C593" s="1" t="s">
        <v>77</v>
      </c>
      <c r="D593" s="1" t="s">
        <v>777</v>
      </c>
      <c r="E593" s="3" t="s">
        <v>92</v>
      </c>
    </row>
    <row r="594" spans="1:5" ht="300" x14ac:dyDescent="0.4">
      <c r="A594" s="1" t="s">
        <v>3</v>
      </c>
      <c r="B594" s="1" t="s">
        <v>783</v>
      </c>
      <c r="C594" s="1" t="s">
        <v>323</v>
      </c>
      <c r="D594" s="1" t="s">
        <v>778</v>
      </c>
      <c r="E594" s="3" t="s">
        <v>378</v>
      </c>
    </row>
    <row r="595" spans="1:5" ht="281.25" x14ac:dyDescent="0.4">
      <c r="A595" s="1" t="s">
        <v>3</v>
      </c>
      <c r="B595" s="1" t="s">
        <v>783</v>
      </c>
      <c r="C595" s="1" t="s">
        <v>320</v>
      </c>
      <c r="D595" s="1" t="s">
        <v>779</v>
      </c>
      <c r="E595" s="3" t="s">
        <v>379</v>
      </c>
    </row>
    <row r="596" spans="1:5" ht="318.75" x14ac:dyDescent="0.4">
      <c r="A596" s="1" t="s">
        <v>3</v>
      </c>
      <c r="B596" s="1" t="s">
        <v>783</v>
      </c>
      <c r="C596" s="1" t="s">
        <v>321</v>
      </c>
      <c r="D596" s="1" t="s">
        <v>780</v>
      </c>
      <c r="E596" s="3" t="s">
        <v>380</v>
      </c>
    </row>
    <row r="597" spans="1:5" ht="300" x14ac:dyDescent="0.4">
      <c r="A597" s="1" t="s">
        <v>3</v>
      </c>
      <c r="B597" s="1" t="s">
        <v>783</v>
      </c>
      <c r="C597" s="1" t="s">
        <v>322</v>
      </c>
      <c r="D597" s="1" t="s">
        <v>781</v>
      </c>
      <c r="E597" s="3" t="s">
        <v>381</v>
      </c>
    </row>
    <row r="598" spans="1:5" ht="131.25" x14ac:dyDescent="0.4">
      <c r="A598" s="1" t="s">
        <v>3</v>
      </c>
      <c r="B598" s="1" t="s">
        <v>783</v>
      </c>
      <c r="C598" s="1" t="s">
        <v>325</v>
      </c>
      <c r="D598" s="1" t="s">
        <v>773</v>
      </c>
      <c r="E598" s="3" t="s">
        <v>784</v>
      </c>
    </row>
    <row r="599" spans="1:5" ht="318.75" x14ac:dyDescent="0.4">
      <c r="A599" s="1" t="s">
        <v>3</v>
      </c>
      <c r="B599" s="1" t="s">
        <v>783</v>
      </c>
      <c r="C599" s="1" t="s">
        <v>326</v>
      </c>
      <c r="D599" s="1" t="s">
        <v>782</v>
      </c>
      <c r="E599" s="3" t="s">
        <v>671</v>
      </c>
    </row>
    <row r="600" spans="1:5" ht="281.25" x14ac:dyDescent="0.4">
      <c r="A600" s="1" t="s">
        <v>3</v>
      </c>
      <c r="B600" s="1" t="s">
        <v>783</v>
      </c>
      <c r="C600" s="1" t="s">
        <v>327</v>
      </c>
      <c r="D600" s="1" t="s">
        <v>764</v>
      </c>
      <c r="E600" s="3" t="s">
        <v>384</v>
      </c>
    </row>
    <row r="601" spans="1:5" x14ac:dyDescent="0.4">
      <c r="A601" s="1" t="s">
        <v>3</v>
      </c>
      <c r="B601" s="1" t="s">
        <v>783</v>
      </c>
      <c r="C601" s="1" t="s">
        <v>77</v>
      </c>
      <c r="D601" s="1" t="s">
        <v>768</v>
      </c>
      <c r="E601" s="1" t="s">
        <v>104</v>
      </c>
    </row>
    <row r="602" spans="1:5" x14ac:dyDescent="0.4">
      <c r="A602" s="1" t="s">
        <v>3</v>
      </c>
      <c r="B602" s="1" t="s">
        <v>783</v>
      </c>
      <c r="C602" s="1" t="s">
        <v>323</v>
      </c>
      <c r="D602" s="1" t="s">
        <v>769</v>
      </c>
      <c r="E602" s="1" t="s">
        <v>104</v>
      </c>
    </row>
    <row r="603" spans="1:5" x14ac:dyDescent="0.4">
      <c r="A603" s="1" t="s">
        <v>3</v>
      </c>
      <c r="B603" s="1" t="s">
        <v>783</v>
      </c>
      <c r="C603" s="1" t="s">
        <v>320</v>
      </c>
      <c r="D603" s="1" t="s">
        <v>770</v>
      </c>
      <c r="E603" s="1" t="s">
        <v>104</v>
      </c>
    </row>
    <row r="604" spans="1:5" x14ac:dyDescent="0.4">
      <c r="A604" s="1" t="s">
        <v>3</v>
      </c>
      <c r="B604" s="1" t="s">
        <v>783</v>
      </c>
      <c r="C604" s="1" t="s">
        <v>321</v>
      </c>
      <c r="D604" s="1" t="s">
        <v>771</v>
      </c>
      <c r="E604" s="1" t="s">
        <v>104</v>
      </c>
    </row>
    <row r="605" spans="1:5" x14ac:dyDescent="0.4">
      <c r="A605" s="1" t="s">
        <v>3</v>
      </c>
      <c r="B605" s="1" t="s">
        <v>783</v>
      </c>
      <c r="C605" s="1" t="s">
        <v>322</v>
      </c>
      <c r="D605" s="1" t="s">
        <v>428</v>
      </c>
      <c r="E605" s="1" t="s">
        <v>104</v>
      </c>
    </row>
    <row r="606" spans="1:5" x14ac:dyDescent="0.4">
      <c r="A606" s="1" t="s">
        <v>3</v>
      </c>
      <c r="B606" s="1" t="s">
        <v>783</v>
      </c>
      <c r="C606" s="1" t="s">
        <v>325</v>
      </c>
      <c r="D606" s="1" t="s">
        <v>734</v>
      </c>
      <c r="E606" s="1" t="s">
        <v>104</v>
      </c>
    </row>
    <row r="607" spans="1:5" x14ac:dyDescent="0.4">
      <c r="A607" s="1" t="s">
        <v>3</v>
      </c>
      <c r="B607" s="1" t="s">
        <v>783</v>
      </c>
      <c r="C607" s="1" t="s">
        <v>326</v>
      </c>
      <c r="D607" s="1" t="s">
        <v>772</v>
      </c>
      <c r="E607" s="1" t="s">
        <v>104</v>
      </c>
    </row>
    <row r="608" spans="1:5" ht="409.5" x14ac:dyDescent="0.4">
      <c r="A608" s="1" t="s">
        <v>3</v>
      </c>
      <c r="B608" s="1" t="s">
        <v>788</v>
      </c>
      <c r="C608" s="1" t="s">
        <v>182</v>
      </c>
      <c r="D608" s="1" t="s">
        <v>705</v>
      </c>
      <c r="E608" s="3" t="s">
        <v>446</v>
      </c>
    </row>
    <row r="609" spans="1:5" ht="262.5" x14ac:dyDescent="0.4">
      <c r="A609" s="1" t="s">
        <v>3</v>
      </c>
      <c r="B609" s="1" t="s">
        <v>788</v>
      </c>
      <c r="C609" s="1" t="s">
        <v>785</v>
      </c>
      <c r="D609" s="1" t="s">
        <v>786</v>
      </c>
      <c r="E609" s="3" t="s">
        <v>382</v>
      </c>
    </row>
    <row r="610" spans="1:5" ht="409.5" x14ac:dyDescent="0.4">
      <c r="A610" s="1" t="s">
        <v>3</v>
      </c>
      <c r="B610" s="1" t="s">
        <v>788</v>
      </c>
      <c r="C610" s="1" t="s">
        <v>492</v>
      </c>
      <c r="D610" s="1" t="s">
        <v>710</v>
      </c>
      <c r="E610" s="3" t="s">
        <v>509</v>
      </c>
    </row>
    <row r="611" spans="1:5" ht="206.25" x14ac:dyDescent="0.4">
      <c r="A611" s="1" t="s">
        <v>3</v>
      </c>
      <c r="B611" s="1" t="s">
        <v>788</v>
      </c>
      <c r="C611" s="1" t="s">
        <v>463</v>
      </c>
      <c r="D611" s="1" t="s">
        <v>718</v>
      </c>
      <c r="E611" s="3" t="s">
        <v>789</v>
      </c>
    </row>
    <row r="612" spans="1:5" ht="409.5" x14ac:dyDescent="0.4">
      <c r="A612" s="1" t="s">
        <v>3</v>
      </c>
      <c r="B612" s="1" t="s">
        <v>788</v>
      </c>
      <c r="C612" s="1" t="s">
        <v>77</v>
      </c>
      <c r="D612" s="1" t="s">
        <v>759</v>
      </c>
      <c r="E612" s="3" t="s">
        <v>92</v>
      </c>
    </row>
    <row r="613" spans="1:5" ht="300" x14ac:dyDescent="0.4">
      <c r="A613" s="1" t="s">
        <v>3</v>
      </c>
      <c r="B613" s="1" t="s">
        <v>788</v>
      </c>
      <c r="C613" s="1" t="s">
        <v>323</v>
      </c>
      <c r="D613" s="1" t="s">
        <v>760</v>
      </c>
      <c r="E613" s="3" t="s">
        <v>378</v>
      </c>
    </row>
    <row r="614" spans="1:5" ht="281.25" x14ac:dyDescent="0.4">
      <c r="A614" s="1" t="s">
        <v>3</v>
      </c>
      <c r="B614" s="1" t="s">
        <v>788</v>
      </c>
      <c r="C614" s="1" t="s">
        <v>320</v>
      </c>
      <c r="D614" s="1" t="s">
        <v>761</v>
      </c>
      <c r="E614" s="3" t="s">
        <v>379</v>
      </c>
    </row>
    <row r="615" spans="1:5" ht="318.75" x14ac:dyDescent="0.4">
      <c r="A615" s="1" t="s">
        <v>3</v>
      </c>
      <c r="B615" s="1" t="s">
        <v>788</v>
      </c>
      <c r="C615" s="1" t="s">
        <v>321</v>
      </c>
      <c r="D615" s="1" t="s">
        <v>762</v>
      </c>
      <c r="E615" s="3" t="s">
        <v>380</v>
      </c>
    </row>
    <row r="616" spans="1:5" ht="300" x14ac:dyDescent="0.4">
      <c r="A616" s="1" t="s">
        <v>3</v>
      </c>
      <c r="B616" s="1" t="s">
        <v>788</v>
      </c>
      <c r="C616" s="1" t="s">
        <v>322</v>
      </c>
      <c r="D616" s="1" t="s">
        <v>763</v>
      </c>
      <c r="E616" s="3" t="s">
        <v>381</v>
      </c>
    </row>
    <row r="617" spans="1:5" ht="131.25" x14ac:dyDescent="0.4">
      <c r="A617" s="1" t="s">
        <v>3</v>
      </c>
      <c r="B617" s="1" t="s">
        <v>788</v>
      </c>
      <c r="C617" s="1" t="s">
        <v>325</v>
      </c>
      <c r="D617" s="1" t="s">
        <v>764</v>
      </c>
      <c r="E617" s="3" t="s">
        <v>784</v>
      </c>
    </row>
    <row r="618" spans="1:5" ht="318.75" x14ac:dyDescent="0.4">
      <c r="A618" s="1" t="s">
        <v>3</v>
      </c>
      <c r="B618" s="1" t="s">
        <v>788</v>
      </c>
      <c r="C618" s="1" t="s">
        <v>326</v>
      </c>
      <c r="D618" s="1" t="s">
        <v>765</v>
      </c>
      <c r="E618" s="3" t="s">
        <v>671</v>
      </c>
    </row>
    <row r="619" spans="1:5" ht="281.25" x14ac:dyDescent="0.4">
      <c r="A619" s="1" t="s">
        <v>3</v>
      </c>
      <c r="B619" s="1" t="s">
        <v>788</v>
      </c>
      <c r="C619" s="1" t="s">
        <v>327</v>
      </c>
      <c r="D619" s="1" t="s">
        <v>766</v>
      </c>
      <c r="E619" s="3" t="s">
        <v>384</v>
      </c>
    </row>
    <row r="620" spans="1:5" x14ac:dyDescent="0.4">
      <c r="A620" s="1" t="s">
        <v>3</v>
      </c>
      <c r="B620" s="1" t="s">
        <v>788</v>
      </c>
      <c r="C620" s="1" t="s">
        <v>77</v>
      </c>
      <c r="D620" s="1" t="s">
        <v>777</v>
      </c>
      <c r="E620" s="1" t="s">
        <v>104</v>
      </c>
    </row>
    <row r="621" spans="1:5" x14ac:dyDescent="0.4">
      <c r="A621" s="1" t="s">
        <v>3</v>
      </c>
      <c r="B621" s="1" t="s">
        <v>788</v>
      </c>
      <c r="C621" s="1" t="s">
        <v>323</v>
      </c>
      <c r="D621" s="1" t="s">
        <v>778</v>
      </c>
      <c r="E621" s="1" t="s">
        <v>104</v>
      </c>
    </row>
    <row r="622" spans="1:5" x14ac:dyDescent="0.4">
      <c r="A622" s="1" t="s">
        <v>3</v>
      </c>
      <c r="B622" s="1" t="s">
        <v>788</v>
      </c>
      <c r="C622" s="1" t="s">
        <v>320</v>
      </c>
      <c r="D622" s="1" t="s">
        <v>779</v>
      </c>
      <c r="E622" s="1" t="s">
        <v>104</v>
      </c>
    </row>
    <row r="623" spans="1:5" x14ac:dyDescent="0.4">
      <c r="A623" s="1" t="s">
        <v>3</v>
      </c>
      <c r="B623" s="1" t="s">
        <v>788</v>
      </c>
      <c r="C623" s="1" t="s">
        <v>321</v>
      </c>
      <c r="D623" s="1" t="s">
        <v>780</v>
      </c>
      <c r="E623" s="1" t="s">
        <v>104</v>
      </c>
    </row>
    <row r="624" spans="1:5" x14ac:dyDescent="0.4">
      <c r="A624" s="1" t="s">
        <v>3</v>
      </c>
      <c r="B624" s="1" t="s">
        <v>788</v>
      </c>
      <c r="C624" s="1" t="s">
        <v>322</v>
      </c>
      <c r="D624" s="1" t="s">
        <v>781</v>
      </c>
      <c r="E624" s="1" t="s">
        <v>104</v>
      </c>
    </row>
    <row r="625" spans="1:5" x14ac:dyDescent="0.4">
      <c r="A625" s="1" t="s">
        <v>3</v>
      </c>
      <c r="B625" s="1" t="s">
        <v>788</v>
      </c>
      <c r="C625" s="1" t="s">
        <v>325</v>
      </c>
      <c r="D625" s="1" t="s">
        <v>773</v>
      </c>
      <c r="E625" s="1" t="s">
        <v>104</v>
      </c>
    </row>
    <row r="626" spans="1:5" x14ac:dyDescent="0.4">
      <c r="A626" s="1" t="s">
        <v>3</v>
      </c>
      <c r="B626" s="1" t="s">
        <v>788</v>
      </c>
      <c r="C626" s="1" t="s">
        <v>326</v>
      </c>
      <c r="D626" s="1" t="s">
        <v>782</v>
      </c>
      <c r="E626" s="1" t="s">
        <v>104</v>
      </c>
    </row>
    <row r="627" spans="1:5" ht="409.5" x14ac:dyDescent="0.4">
      <c r="A627" s="1" t="s">
        <v>3</v>
      </c>
      <c r="B627" s="1" t="s">
        <v>791</v>
      </c>
      <c r="C627" s="1" t="s">
        <v>182</v>
      </c>
      <c r="D627" s="1" t="s">
        <v>705</v>
      </c>
      <c r="E627" s="3" t="s">
        <v>446</v>
      </c>
    </row>
    <row r="628" spans="1:5" ht="409.5" x14ac:dyDescent="0.4">
      <c r="A628" s="1" t="s">
        <v>3</v>
      </c>
      <c r="B628" s="1" t="s">
        <v>791</v>
      </c>
      <c r="C628" s="1" t="s">
        <v>492</v>
      </c>
      <c r="D628" s="1" t="s">
        <v>710</v>
      </c>
      <c r="E628" s="3" t="s">
        <v>509</v>
      </c>
    </row>
    <row r="629" spans="1:5" ht="112.5" x14ac:dyDescent="0.4">
      <c r="A629" s="1" t="s">
        <v>3</v>
      </c>
      <c r="B629" s="1" t="s">
        <v>791</v>
      </c>
      <c r="C629" s="1" t="s">
        <v>320</v>
      </c>
      <c r="D629" s="1" t="s">
        <v>761</v>
      </c>
      <c r="E629" s="3" t="s">
        <v>511</v>
      </c>
    </row>
    <row r="630" spans="1:5" x14ac:dyDescent="0.4">
      <c r="A630" s="1" t="s">
        <v>3</v>
      </c>
      <c r="B630" s="1" t="s">
        <v>791</v>
      </c>
      <c r="C630" s="1" t="s">
        <v>785</v>
      </c>
      <c r="D630" s="1" t="s">
        <v>786</v>
      </c>
      <c r="E630" s="1" t="s">
        <v>104</v>
      </c>
    </row>
    <row r="631" spans="1:5" ht="409.5" x14ac:dyDescent="0.4">
      <c r="A631" s="1" t="s">
        <v>3</v>
      </c>
      <c r="B631" s="1" t="s">
        <v>794</v>
      </c>
      <c r="C631" s="1" t="s">
        <v>182</v>
      </c>
      <c r="D631" s="1" t="s">
        <v>705</v>
      </c>
      <c r="E631" s="3" t="s">
        <v>600</v>
      </c>
    </row>
    <row r="632" spans="1:5" ht="75" x14ac:dyDescent="0.4">
      <c r="A632" s="1" t="s">
        <v>3</v>
      </c>
      <c r="B632" s="1" t="s">
        <v>795</v>
      </c>
      <c r="C632" s="1" t="s">
        <v>616</v>
      </c>
      <c r="D632" s="1" t="s">
        <v>722</v>
      </c>
      <c r="E632" s="3" t="s">
        <v>486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BFB54-A8F6-43DA-8626-7B67989CDB0C}">
  <dimension ref="A1:I7"/>
  <sheetViews>
    <sheetView workbookViewId="0"/>
  </sheetViews>
  <sheetFormatPr defaultRowHeight="18.75" x14ac:dyDescent="0.4"/>
  <cols>
    <col min="1" max="16384" width="9" style="2"/>
  </cols>
  <sheetData>
    <row r="1" spans="1:9" x14ac:dyDescent="0.4">
      <c r="A1" s="2" t="s">
        <v>36</v>
      </c>
      <c r="B1" s="2" t="s">
        <v>10</v>
      </c>
      <c r="C1" s="2" t="s">
        <v>11</v>
      </c>
      <c r="D1" s="2" t="s">
        <v>28</v>
      </c>
      <c r="E1" s="2" t="s">
        <v>25</v>
      </c>
      <c r="F1" s="2" t="s">
        <v>23</v>
      </c>
      <c r="G1" s="2" t="s">
        <v>24</v>
      </c>
      <c r="H1" s="2" t="s">
        <v>37</v>
      </c>
      <c r="I1" s="2" t="s">
        <v>30</v>
      </c>
    </row>
    <row r="2" spans="1:9" x14ac:dyDescent="0.4">
      <c r="A2" s="2" t="s">
        <v>747</v>
      </c>
      <c r="B2" s="2" t="s">
        <v>121</v>
      </c>
      <c r="C2" s="2" t="s">
        <v>153</v>
      </c>
      <c r="D2" s="2" t="s">
        <v>160</v>
      </c>
      <c r="E2" s="2" t="s">
        <v>1</v>
      </c>
      <c r="F2" s="2" t="s">
        <v>1</v>
      </c>
      <c r="G2" s="2" t="s">
        <v>1</v>
      </c>
      <c r="H2" s="2" t="s">
        <v>7</v>
      </c>
      <c r="I2" s="2" t="s">
        <v>1</v>
      </c>
    </row>
    <row r="3" spans="1:9" x14ac:dyDescent="0.4">
      <c r="A3" s="2" t="s">
        <v>686</v>
      </c>
      <c r="B3" s="2" t="s">
        <v>121</v>
      </c>
      <c r="C3" s="2" t="s">
        <v>494</v>
      </c>
      <c r="D3" s="2" t="s">
        <v>497</v>
      </c>
      <c r="E3" s="2" t="s">
        <v>1</v>
      </c>
      <c r="F3" s="2" t="s">
        <v>687</v>
      </c>
      <c r="G3" s="2" t="s">
        <v>645</v>
      </c>
      <c r="H3" s="2" t="s">
        <v>748</v>
      </c>
      <c r="I3" s="2" t="s">
        <v>1</v>
      </c>
    </row>
    <row r="4" spans="1:9" x14ac:dyDescent="0.4">
      <c r="A4" s="2" t="s">
        <v>749</v>
      </c>
      <c r="B4" s="2" t="s">
        <v>121</v>
      </c>
      <c r="C4" s="2" t="s">
        <v>619</v>
      </c>
      <c r="D4" s="2" t="s">
        <v>621</v>
      </c>
      <c r="E4" s="2" t="s">
        <v>1</v>
      </c>
      <c r="F4" s="2" t="s">
        <v>1</v>
      </c>
      <c r="G4" s="2" t="s">
        <v>1</v>
      </c>
      <c r="H4" s="2" t="s">
        <v>7</v>
      </c>
      <c r="I4" s="2" t="s">
        <v>1</v>
      </c>
    </row>
    <row r="5" spans="1:9" x14ac:dyDescent="0.4">
      <c r="A5" s="2" t="s">
        <v>750</v>
      </c>
      <c r="B5" s="2" t="s">
        <v>121</v>
      </c>
      <c r="C5" s="2" t="s">
        <v>254</v>
      </c>
      <c r="D5" s="2" t="s">
        <v>257</v>
      </c>
      <c r="E5" s="2" t="s">
        <v>1</v>
      </c>
      <c r="F5" s="2" t="s">
        <v>1</v>
      </c>
      <c r="G5" s="2" t="s">
        <v>1</v>
      </c>
      <c r="H5" s="2" t="s">
        <v>7</v>
      </c>
      <c r="I5" s="2" t="s">
        <v>1</v>
      </c>
    </row>
    <row r="6" spans="1:9" x14ac:dyDescent="0.4">
      <c r="A6" s="2" t="s">
        <v>751</v>
      </c>
      <c r="B6" s="2" t="s">
        <v>78</v>
      </c>
      <c r="C6" s="2" t="s">
        <v>464</v>
      </c>
      <c r="D6" s="2" t="s">
        <v>471</v>
      </c>
      <c r="E6" s="2" t="s">
        <v>1</v>
      </c>
      <c r="F6" s="2" t="s">
        <v>469</v>
      </c>
      <c r="G6" s="2" t="s">
        <v>470</v>
      </c>
      <c r="H6" s="2" t="s">
        <v>748</v>
      </c>
      <c r="I6" s="2" t="s">
        <v>1</v>
      </c>
    </row>
    <row r="7" spans="1:9" x14ac:dyDescent="0.4">
      <c r="A7" s="2" t="s">
        <v>757</v>
      </c>
      <c r="B7" s="2" t="s">
        <v>121</v>
      </c>
      <c r="C7" s="2" t="s">
        <v>619</v>
      </c>
      <c r="D7" s="2" t="s">
        <v>754</v>
      </c>
      <c r="E7" s="2" t="s">
        <v>1</v>
      </c>
      <c r="F7" s="2" t="s">
        <v>1</v>
      </c>
      <c r="G7" s="2" t="s">
        <v>1</v>
      </c>
      <c r="H7" s="2" t="s">
        <v>7</v>
      </c>
      <c r="I7" s="2" t="s">
        <v>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0CDFE-67C9-4770-AF06-AE4D1EB9A58B}">
  <dimension ref="A1:AC46"/>
  <sheetViews>
    <sheetView workbookViewId="0"/>
  </sheetViews>
  <sheetFormatPr defaultRowHeight="18.75" x14ac:dyDescent="0.4"/>
  <cols>
    <col min="1" max="16384" width="9" style="2"/>
  </cols>
  <sheetData>
    <row r="1" spans="1:29" x14ac:dyDescent="0.4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24</v>
      </c>
      <c r="Q1" s="2" t="s">
        <v>25</v>
      </c>
      <c r="R1" s="2" t="s">
        <v>26</v>
      </c>
      <c r="S1" s="2" t="s">
        <v>27</v>
      </c>
      <c r="T1" s="2" t="s">
        <v>28</v>
      </c>
      <c r="U1" s="2" t="s">
        <v>29</v>
      </c>
      <c r="V1" s="2" t="s">
        <v>30</v>
      </c>
      <c r="W1" s="2" t="s">
        <v>31</v>
      </c>
      <c r="X1" s="2" t="s">
        <v>32</v>
      </c>
      <c r="Y1" s="2" t="s">
        <v>33</v>
      </c>
      <c r="Z1" s="2" t="s">
        <v>617</v>
      </c>
      <c r="AA1" s="2" t="s">
        <v>618</v>
      </c>
      <c r="AB1" s="2" t="s">
        <v>34</v>
      </c>
      <c r="AC1" s="2" t="s">
        <v>35</v>
      </c>
    </row>
    <row r="2" spans="1:29" x14ac:dyDescent="0.4">
      <c r="A2" s="2" t="s">
        <v>107</v>
      </c>
      <c r="B2" s="2" t="s">
        <v>121</v>
      </c>
      <c r="C2" s="2" t="s">
        <v>122</v>
      </c>
      <c r="D2" s="2" t="s">
        <v>123</v>
      </c>
      <c r="E2" s="2" t="s">
        <v>7</v>
      </c>
      <c r="F2" s="2" t="s">
        <v>124</v>
      </c>
      <c r="G2" s="2" t="s">
        <v>125</v>
      </c>
      <c r="H2" s="2" t="s">
        <v>126</v>
      </c>
      <c r="I2" s="2" t="s">
        <v>85</v>
      </c>
      <c r="K2" s="2" t="s">
        <v>86</v>
      </c>
      <c r="L2" s="2" t="s">
        <v>1</v>
      </c>
      <c r="M2" s="2" t="s">
        <v>7</v>
      </c>
      <c r="N2" s="2" t="s">
        <v>1</v>
      </c>
      <c r="O2" s="2" t="s">
        <v>1</v>
      </c>
      <c r="P2" s="2" t="s">
        <v>1</v>
      </c>
      <c r="Q2" s="2" t="s">
        <v>1</v>
      </c>
      <c r="R2" s="2" t="s">
        <v>1</v>
      </c>
      <c r="S2" s="2" t="s">
        <v>691</v>
      </c>
      <c r="T2" s="2" t="s">
        <v>1</v>
      </c>
      <c r="U2" s="2" t="s">
        <v>1</v>
      </c>
      <c r="V2" s="2" t="s">
        <v>1</v>
      </c>
      <c r="W2" s="2" t="s">
        <v>1</v>
      </c>
      <c r="X2" s="2" t="s">
        <v>86</v>
      </c>
      <c r="Z2" s="2" t="s">
        <v>86</v>
      </c>
      <c r="AA2" s="2" t="s">
        <v>1</v>
      </c>
      <c r="AB2" s="2" t="s">
        <v>1</v>
      </c>
      <c r="AC2" s="2" t="s">
        <v>1</v>
      </c>
    </row>
    <row r="3" spans="1:29" x14ac:dyDescent="0.4">
      <c r="A3" s="2" t="s">
        <v>115</v>
      </c>
      <c r="B3" s="2" t="s">
        <v>121</v>
      </c>
      <c r="C3" s="2" t="s">
        <v>122</v>
      </c>
      <c r="D3" s="2" t="s">
        <v>109</v>
      </c>
      <c r="E3" s="2" t="s">
        <v>7</v>
      </c>
      <c r="F3" s="2" t="s">
        <v>128</v>
      </c>
      <c r="G3" s="2" t="s">
        <v>129</v>
      </c>
      <c r="H3" s="2" t="s">
        <v>629</v>
      </c>
      <c r="I3" s="2" t="s">
        <v>130</v>
      </c>
      <c r="K3" s="2" t="s">
        <v>86</v>
      </c>
      <c r="L3" s="2" t="s">
        <v>1</v>
      </c>
      <c r="M3" s="2" t="s">
        <v>7</v>
      </c>
      <c r="N3" s="2" t="s">
        <v>1</v>
      </c>
      <c r="O3" s="2" t="s">
        <v>1</v>
      </c>
      <c r="P3" s="2" t="s">
        <v>1</v>
      </c>
      <c r="Q3" s="2" t="s">
        <v>1</v>
      </c>
      <c r="R3" s="2" t="s">
        <v>1</v>
      </c>
      <c r="S3" s="2" t="s">
        <v>140</v>
      </c>
      <c r="T3" s="2" t="s">
        <v>1</v>
      </c>
      <c r="U3" s="2" t="s">
        <v>1</v>
      </c>
      <c r="V3" s="2" t="s">
        <v>1</v>
      </c>
      <c r="W3" s="2" t="s">
        <v>1</v>
      </c>
      <c r="X3" s="2" t="s">
        <v>86</v>
      </c>
      <c r="Z3" s="2" t="s">
        <v>86</v>
      </c>
      <c r="AA3" s="2" t="s">
        <v>1</v>
      </c>
      <c r="AB3" s="2" t="s">
        <v>1</v>
      </c>
      <c r="AC3" s="2" t="s">
        <v>1</v>
      </c>
    </row>
    <row r="4" spans="1:29" x14ac:dyDescent="0.4">
      <c r="A4" s="2" t="s">
        <v>116</v>
      </c>
      <c r="B4" s="2" t="s">
        <v>121</v>
      </c>
      <c r="C4" s="2" t="s">
        <v>122</v>
      </c>
      <c r="D4" s="2" t="s">
        <v>132</v>
      </c>
      <c r="E4" s="2" t="s">
        <v>7</v>
      </c>
      <c r="F4" s="2" t="s">
        <v>133</v>
      </c>
      <c r="G4" s="2" t="s">
        <v>134</v>
      </c>
      <c r="H4" s="2" t="s">
        <v>135</v>
      </c>
      <c r="I4" s="2" t="s">
        <v>2</v>
      </c>
      <c r="K4" s="2" t="s">
        <v>86</v>
      </c>
      <c r="L4" s="2" t="s">
        <v>1</v>
      </c>
      <c r="M4" s="2" t="s">
        <v>7</v>
      </c>
      <c r="N4" s="2" t="s">
        <v>1</v>
      </c>
      <c r="O4" s="2" t="s">
        <v>1</v>
      </c>
      <c r="P4" s="2" t="s">
        <v>1</v>
      </c>
      <c r="Q4" s="2" t="s">
        <v>1</v>
      </c>
      <c r="R4" s="2" t="s">
        <v>1</v>
      </c>
      <c r="S4" s="2" t="s">
        <v>537</v>
      </c>
      <c r="T4" s="2" t="s">
        <v>1</v>
      </c>
      <c r="U4" s="2" t="s">
        <v>1</v>
      </c>
      <c r="V4" s="2" t="s">
        <v>1</v>
      </c>
      <c r="W4" s="2" t="s">
        <v>1</v>
      </c>
      <c r="X4" s="2" t="s">
        <v>86</v>
      </c>
      <c r="Z4" s="2" t="s">
        <v>86</v>
      </c>
      <c r="AA4" s="2" t="s">
        <v>1</v>
      </c>
      <c r="AB4" s="2" t="s">
        <v>1</v>
      </c>
      <c r="AC4" s="2" t="s">
        <v>1</v>
      </c>
    </row>
    <row r="5" spans="1:29" x14ac:dyDescent="0.4">
      <c r="A5" s="2" t="s">
        <v>117</v>
      </c>
      <c r="B5" s="2" t="s">
        <v>121</v>
      </c>
      <c r="C5" s="2" t="s">
        <v>122</v>
      </c>
      <c r="D5" s="2" t="s">
        <v>137</v>
      </c>
      <c r="E5" s="2" t="s">
        <v>7</v>
      </c>
      <c r="F5" s="2" t="s">
        <v>138</v>
      </c>
      <c r="G5" s="2" t="s">
        <v>125</v>
      </c>
      <c r="H5" s="2" t="s">
        <v>139</v>
      </c>
      <c r="I5" s="2" t="s">
        <v>85</v>
      </c>
      <c r="J5" s="2" t="s">
        <v>753</v>
      </c>
      <c r="K5" s="2" t="s">
        <v>86</v>
      </c>
      <c r="L5" s="2" t="s">
        <v>1</v>
      </c>
      <c r="M5" s="2" t="s">
        <v>7</v>
      </c>
      <c r="N5" s="2" t="s">
        <v>1</v>
      </c>
      <c r="O5" s="2" t="s">
        <v>1</v>
      </c>
      <c r="P5" s="2" t="s">
        <v>1</v>
      </c>
      <c r="Q5" s="2" t="s">
        <v>1</v>
      </c>
      <c r="R5" s="2" t="s">
        <v>1</v>
      </c>
      <c r="S5" s="2" t="s">
        <v>692</v>
      </c>
      <c r="T5" s="2" t="s">
        <v>1</v>
      </c>
      <c r="U5" s="2" t="s">
        <v>1</v>
      </c>
      <c r="V5" s="2" t="s">
        <v>1</v>
      </c>
      <c r="W5" s="2" t="s">
        <v>1</v>
      </c>
      <c r="X5" s="2" t="s">
        <v>86</v>
      </c>
      <c r="Z5" s="2" t="s">
        <v>86</v>
      </c>
      <c r="AA5" s="2" t="s">
        <v>1</v>
      </c>
      <c r="AB5" s="2" t="s">
        <v>1</v>
      </c>
      <c r="AC5" s="2" t="s">
        <v>1</v>
      </c>
    </row>
    <row r="6" spans="1:29" x14ac:dyDescent="0.4">
      <c r="A6" s="2" t="s">
        <v>108</v>
      </c>
      <c r="B6" s="2" t="s">
        <v>121</v>
      </c>
      <c r="C6" s="2" t="s">
        <v>122</v>
      </c>
      <c r="D6" s="2" t="s">
        <v>141</v>
      </c>
      <c r="E6" s="2" t="s">
        <v>7</v>
      </c>
      <c r="F6" s="2" t="s">
        <v>142</v>
      </c>
      <c r="G6" s="2" t="s">
        <v>125</v>
      </c>
      <c r="H6" s="2" t="s">
        <v>143</v>
      </c>
      <c r="I6" s="2" t="s">
        <v>85</v>
      </c>
      <c r="K6" s="2" t="s">
        <v>86</v>
      </c>
      <c r="L6" s="2" t="s">
        <v>1</v>
      </c>
      <c r="M6" s="2" t="s">
        <v>7</v>
      </c>
      <c r="N6" s="2" t="s">
        <v>1</v>
      </c>
      <c r="O6" s="2" t="s">
        <v>1</v>
      </c>
      <c r="P6" s="2" t="s">
        <v>1</v>
      </c>
      <c r="Q6" s="2" t="s">
        <v>1</v>
      </c>
      <c r="R6" s="2" t="s">
        <v>1</v>
      </c>
      <c r="S6" s="2" t="s">
        <v>693</v>
      </c>
      <c r="T6" s="2" t="s">
        <v>1</v>
      </c>
      <c r="U6" s="2" t="s">
        <v>1</v>
      </c>
      <c r="V6" s="2" t="s">
        <v>1</v>
      </c>
      <c r="W6" s="2" t="s">
        <v>1</v>
      </c>
      <c r="X6" s="2" t="s">
        <v>86</v>
      </c>
      <c r="Z6" s="2" t="s">
        <v>86</v>
      </c>
      <c r="AA6" s="2" t="s">
        <v>1</v>
      </c>
      <c r="AB6" s="2" t="s">
        <v>1</v>
      </c>
      <c r="AC6" s="2" t="s">
        <v>1</v>
      </c>
    </row>
    <row r="7" spans="1:29" x14ac:dyDescent="0.4">
      <c r="A7" s="2" t="s">
        <v>112</v>
      </c>
      <c r="B7" s="2" t="s">
        <v>121</v>
      </c>
      <c r="C7" s="2" t="s">
        <v>122</v>
      </c>
      <c r="D7" s="2" t="s">
        <v>145</v>
      </c>
      <c r="E7" s="2" t="s">
        <v>7</v>
      </c>
      <c r="F7" s="2" t="s">
        <v>146</v>
      </c>
      <c r="G7" s="2" t="s">
        <v>125</v>
      </c>
      <c r="H7" s="2" t="s">
        <v>147</v>
      </c>
      <c r="I7" s="2" t="s">
        <v>517</v>
      </c>
      <c r="K7" s="2" t="s">
        <v>86</v>
      </c>
      <c r="L7" s="2" t="s">
        <v>1</v>
      </c>
      <c r="M7" s="2" t="s">
        <v>7</v>
      </c>
      <c r="N7" s="2" t="s">
        <v>1</v>
      </c>
      <c r="O7" s="2" t="s">
        <v>1</v>
      </c>
      <c r="P7" s="2" t="s">
        <v>1</v>
      </c>
      <c r="Q7" s="2" t="s">
        <v>1</v>
      </c>
      <c r="R7" s="2" t="s">
        <v>1</v>
      </c>
      <c r="S7" s="2" t="s">
        <v>694</v>
      </c>
      <c r="T7" s="2" t="s">
        <v>1</v>
      </c>
      <c r="U7" s="2" t="s">
        <v>1</v>
      </c>
      <c r="V7" s="2" t="s">
        <v>1</v>
      </c>
      <c r="W7" s="2" t="s">
        <v>1</v>
      </c>
      <c r="X7" s="2" t="s">
        <v>86</v>
      </c>
      <c r="Z7" s="2" t="s">
        <v>86</v>
      </c>
      <c r="AA7" s="2" t="s">
        <v>1</v>
      </c>
      <c r="AB7" s="2" t="s">
        <v>1</v>
      </c>
      <c r="AC7" s="2" t="s">
        <v>1</v>
      </c>
    </row>
    <row r="8" spans="1:29" x14ac:dyDescent="0.4">
      <c r="A8" s="2" t="s">
        <v>113</v>
      </c>
      <c r="B8" s="2" t="s">
        <v>121</v>
      </c>
      <c r="C8" s="2" t="s">
        <v>122</v>
      </c>
      <c r="D8" s="2" t="s">
        <v>149</v>
      </c>
      <c r="E8" s="2" t="s">
        <v>7</v>
      </c>
      <c r="F8" s="2" t="s">
        <v>150</v>
      </c>
      <c r="G8" s="2" t="s">
        <v>125</v>
      </c>
      <c r="H8" s="2" t="s">
        <v>151</v>
      </c>
      <c r="I8" s="2" t="s">
        <v>85</v>
      </c>
      <c r="K8" s="2" t="s">
        <v>86</v>
      </c>
      <c r="L8" s="2" t="s">
        <v>1</v>
      </c>
      <c r="M8" s="2" t="s">
        <v>1</v>
      </c>
      <c r="N8" s="2" t="s">
        <v>695</v>
      </c>
      <c r="O8" s="2" t="s">
        <v>1</v>
      </c>
      <c r="P8" s="2" t="s">
        <v>1</v>
      </c>
      <c r="Q8" s="2" t="s">
        <v>1</v>
      </c>
      <c r="R8" s="2" t="s">
        <v>1</v>
      </c>
      <c r="S8" s="2" t="s">
        <v>696</v>
      </c>
      <c r="T8" s="2" t="s">
        <v>1</v>
      </c>
      <c r="U8" s="2" t="s">
        <v>1</v>
      </c>
      <c r="V8" s="2" t="s">
        <v>1</v>
      </c>
      <c r="W8" s="2" t="s">
        <v>1</v>
      </c>
      <c r="X8" s="2" t="s">
        <v>86</v>
      </c>
      <c r="Z8" s="2" t="s">
        <v>86</v>
      </c>
      <c r="AA8" s="2" t="s">
        <v>1</v>
      </c>
      <c r="AB8" s="2" t="s">
        <v>1</v>
      </c>
      <c r="AC8" s="2" t="s">
        <v>594</v>
      </c>
    </row>
    <row r="9" spans="1:29" x14ac:dyDescent="0.4">
      <c r="A9" s="2" t="s">
        <v>118</v>
      </c>
      <c r="B9" s="2" t="s">
        <v>121</v>
      </c>
      <c r="C9" s="2" t="s">
        <v>153</v>
      </c>
      <c r="D9" s="2" t="s">
        <v>154</v>
      </c>
      <c r="E9" s="2" t="s">
        <v>155</v>
      </c>
      <c r="F9" s="2" t="s">
        <v>156</v>
      </c>
      <c r="G9" s="2" t="s">
        <v>125</v>
      </c>
      <c r="H9" s="2" t="s">
        <v>157</v>
      </c>
      <c r="I9" s="2" t="s">
        <v>85</v>
      </c>
      <c r="K9" s="2" t="s">
        <v>158</v>
      </c>
      <c r="L9" s="2" t="s">
        <v>697</v>
      </c>
      <c r="M9" s="2" t="s">
        <v>7</v>
      </c>
      <c r="N9" s="2" t="s">
        <v>1</v>
      </c>
      <c r="O9" s="2" t="s">
        <v>1</v>
      </c>
      <c r="P9" s="2" t="s">
        <v>1</v>
      </c>
      <c r="Q9" s="2" t="s">
        <v>1</v>
      </c>
      <c r="R9" s="2" t="s">
        <v>1</v>
      </c>
      <c r="S9" s="2" t="s">
        <v>697</v>
      </c>
      <c r="T9" s="2" t="s">
        <v>160</v>
      </c>
      <c r="U9" s="2" t="s">
        <v>1</v>
      </c>
      <c r="V9" s="2" t="s">
        <v>1</v>
      </c>
      <c r="W9" s="2" t="s">
        <v>1</v>
      </c>
      <c r="X9" s="2" t="s">
        <v>86</v>
      </c>
      <c r="Z9" s="2" t="s">
        <v>86</v>
      </c>
      <c r="AA9" s="2" t="s">
        <v>1</v>
      </c>
      <c r="AB9" s="2" t="s">
        <v>1</v>
      </c>
      <c r="AC9" s="2" t="s">
        <v>1</v>
      </c>
    </row>
    <row r="10" spans="1:29" x14ac:dyDescent="0.4">
      <c r="A10" s="2" t="s">
        <v>114</v>
      </c>
      <c r="B10" s="2" t="s">
        <v>121</v>
      </c>
      <c r="C10" s="2" t="s">
        <v>122</v>
      </c>
      <c r="D10" s="2" t="s">
        <v>154</v>
      </c>
      <c r="E10" s="2" t="s">
        <v>7</v>
      </c>
      <c r="F10" s="2" t="s">
        <v>161</v>
      </c>
      <c r="G10" s="2" t="s">
        <v>125</v>
      </c>
      <c r="H10" s="2" t="s">
        <v>162</v>
      </c>
      <c r="I10" s="2" t="s">
        <v>85</v>
      </c>
      <c r="K10" s="2" t="s">
        <v>86</v>
      </c>
      <c r="L10" s="2" t="s">
        <v>1</v>
      </c>
      <c r="M10" s="2" t="s">
        <v>7</v>
      </c>
      <c r="N10" s="2" t="s">
        <v>1</v>
      </c>
      <c r="O10" s="2" t="s">
        <v>1</v>
      </c>
      <c r="P10" s="2" t="s">
        <v>1</v>
      </c>
      <c r="Q10" s="2" t="s">
        <v>1</v>
      </c>
      <c r="R10" s="2" t="s">
        <v>1</v>
      </c>
      <c r="S10" s="2" t="s">
        <v>698</v>
      </c>
      <c r="T10" s="2" t="s">
        <v>1</v>
      </c>
      <c r="U10" s="2" t="s">
        <v>1</v>
      </c>
      <c r="V10" s="2" t="s">
        <v>1</v>
      </c>
      <c r="W10" s="2" t="s">
        <v>1</v>
      </c>
      <c r="X10" s="2" t="s">
        <v>86</v>
      </c>
      <c r="Z10" s="2" t="s">
        <v>86</v>
      </c>
      <c r="AA10" s="2" t="s">
        <v>1</v>
      </c>
      <c r="AB10" s="2" t="s">
        <v>1</v>
      </c>
      <c r="AC10" s="2" t="s">
        <v>1</v>
      </c>
    </row>
    <row r="11" spans="1:29" x14ac:dyDescent="0.4">
      <c r="A11" s="2" t="s">
        <v>179</v>
      </c>
      <c r="B11" s="2" t="s">
        <v>121</v>
      </c>
      <c r="C11" s="2" t="s">
        <v>205</v>
      </c>
      <c r="D11" s="2" t="s">
        <v>206</v>
      </c>
      <c r="E11" s="2" t="s">
        <v>207</v>
      </c>
      <c r="F11" s="2" t="s">
        <v>208</v>
      </c>
      <c r="G11" s="2" t="s">
        <v>125</v>
      </c>
      <c r="H11" s="2" t="s">
        <v>209</v>
      </c>
      <c r="I11" s="2" t="s">
        <v>85</v>
      </c>
      <c r="K11" s="2" t="s">
        <v>86</v>
      </c>
      <c r="L11" s="2" t="s">
        <v>1</v>
      </c>
      <c r="M11" s="2" t="s">
        <v>7</v>
      </c>
      <c r="N11" s="2" t="s">
        <v>1</v>
      </c>
      <c r="O11" s="2" t="s">
        <v>1</v>
      </c>
      <c r="P11" s="2" t="s">
        <v>1</v>
      </c>
      <c r="Q11" s="2" t="s">
        <v>1</v>
      </c>
      <c r="R11" s="2" t="s">
        <v>1</v>
      </c>
      <c r="S11" s="2" t="s">
        <v>699</v>
      </c>
      <c r="T11" s="2" t="s">
        <v>1</v>
      </c>
      <c r="U11" s="2" t="s">
        <v>1</v>
      </c>
      <c r="V11" s="2" t="s">
        <v>1</v>
      </c>
      <c r="W11" s="2" t="s">
        <v>1</v>
      </c>
      <c r="X11" s="2" t="s">
        <v>86</v>
      </c>
      <c r="Z11" s="2" t="s">
        <v>86</v>
      </c>
      <c r="AA11" s="2" t="s">
        <v>1</v>
      </c>
      <c r="AB11" s="2" t="s">
        <v>1</v>
      </c>
      <c r="AC11" s="2" t="s">
        <v>1</v>
      </c>
    </row>
    <row r="12" spans="1:29" x14ac:dyDescent="0.4">
      <c r="A12" s="2" t="s">
        <v>186</v>
      </c>
      <c r="B12" s="2" t="s">
        <v>78</v>
      </c>
      <c r="C12" s="2" t="s">
        <v>211</v>
      </c>
      <c r="D12" s="2" t="s">
        <v>212</v>
      </c>
      <c r="E12" s="2" t="s">
        <v>213</v>
      </c>
      <c r="F12" s="2" t="s">
        <v>214</v>
      </c>
      <c r="G12" s="2" t="s">
        <v>125</v>
      </c>
      <c r="H12" s="2" t="s">
        <v>215</v>
      </c>
      <c r="I12" s="2" t="s">
        <v>85</v>
      </c>
      <c r="K12" s="2" t="s">
        <v>86</v>
      </c>
      <c r="L12" s="2" t="s">
        <v>1</v>
      </c>
      <c r="M12" s="2" t="s">
        <v>7</v>
      </c>
      <c r="N12" s="2" t="s">
        <v>1</v>
      </c>
      <c r="O12" s="2" t="s">
        <v>1</v>
      </c>
      <c r="P12" s="2" t="s">
        <v>1</v>
      </c>
      <c r="Q12" s="2" t="s">
        <v>1</v>
      </c>
      <c r="R12" s="2" t="s">
        <v>1</v>
      </c>
      <c r="S12" s="2" t="s">
        <v>700</v>
      </c>
      <c r="T12" s="2" t="s">
        <v>1</v>
      </c>
      <c r="U12" s="2" t="s">
        <v>1</v>
      </c>
      <c r="V12" s="2" t="s">
        <v>1</v>
      </c>
      <c r="W12" s="2" t="s">
        <v>1</v>
      </c>
      <c r="X12" s="2" t="s">
        <v>86</v>
      </c>
      <c r="Z12" s="2" t="s">
        <v>86</v>
      </c>
      <c r="AA12" s="2" t="s">
        <v>1</v>
      </c>
      <c r="AB12" s="2" t="s">
        <v>1</v>
      </c>
      <c r="AC12" s="2" t="s">
        <v>1</v>
      </c>
    </row>
    <row r="13" spans="1:29" x14ac:dyDescent="0.4">
      <c r="A13" s="2" t="s">
        <v>180</v>
      </c>
      <c r="B13" s="2" t="s">
        <v>121</v>
      </c>
      <c r="C13" s="2" t="s">
        <v>217</v>
      </c>
      <c r="D13" s="2" t="s">
        <v>218</v>
      </c>
      <c r="E13" s="2" t="s">
        <v>219</v>
      </c>
      <c r="F13" s="2" t="s">
        <v>220</v>
      </c>
      <c r="G13" s="2" t="s">
        <v>129</v>
      </c>
      <c r="H13" s="2" t="s">
        <v>629</v>
      </c>
      <c r="I13" s="2" t="s">
        <v>130</v>
      </c>
      <c r="K13" s="2" t="s">
        <v>86</v>
      </c>
      <c r="L13" s="2" t="s">
        <v>1</v>
      </c>
      <c r="M13" s="2" t="s">
        <v>7</v>
      </c>
      <c r="N13" s="2" t="s">
        <v>1</v>
      </c>
      <c r="O13" s="2" t="s">
        <v>1</v>
      </c>
      <c r="P13" s="2" t="s">
        <v>1</v>
      </c>
      <c r="Q13" s="2" t="s">
        <v>1</v>
      </c>
      <c r="R13" s="2" t="s">
        <v>1</v>
      </c>
      <c r="S13" s="2" t="s">
        <v>701</v>
      </c>
      <c r="T13" s="2" t="s">
        <v>1</v>
      </c>
      <c r="U13" s="2" t="s">
        <v>1</v>
      </c>
      <c r="V13" s="2" t="s">
        <v>1</v>
      </c>
      <c r="W13" s="2" t="s">
        <v>1</v>
      </c>
      <c r="X13" s="2" t="s">
        <v>86</v>
      </c>
      <c r="Z13" s="2" t="s">
        <v>86</v>
      </c>
      <c r="AA13" s="2" t="s">
        <v>1</v>
      </c>
      <c r="AB13" s="2" t="s">
        <v>1</v>
      </c>
      <c r="AC13" s="2" t="s">
        <v>1</v>
      </c>
    </row>
    <row r="14" spans="1:29" x14ac:dyDescent="0.4">
      <c r="A14" s="2" t="s">
        <v>187</v>
      </c>
      <c r="B14" s="2" t="s">
        <v>78</v>
      </c>
      <c r="C14" s="2" t="s">
        <v>211</v>
      </c>
      <c r="D14" s="2" t="s">
        <v>222</v>
      </c>
      <c r="E14" s="2" t="s">
        <v>213</v>
      </c>
      <c r="F14" s="2" t="s">
        <v>223</v>
      </c>
      <c r="G14" s="2" t="s">
        <v>125</v>
      </c>
      <c r="H14" s="2" t="s">
        <v>224</v>
      </c>
      <c r="I14" s="2" t="s">
        <v>85</v>
      </c>
      <c r="K14" s="2" t="s">
        <v>86</v>
      </c>
      <c r="L14" s="2" t="s">
        <v>1</v>
      </c>
      <c r="M14" s="2" t="s">
        <v>7</v>
      </c>
      <c r="N14" s="2" t="s">
        <v>1</v>
      </c>
      <c r="O14" s="2" t="s">
        <v>1</v>
      </c>
      <c r="P14" s="2" t="s">
        <v>1</v>
      </c>
      <c r="Q14" s="2" t="s">
        <v>1</v>
      </c>
      <c r="R14" s="2" t="s">
        <v>1</v>
      </c>
      <c r="S14" s="2" t="s">
        <v>702</v>
      </c>
      <c r="T14" s="2" t="s">
        <v>1</v>
      </c>
      <c r="U14" s="2" t="s">
        <v>1</v>
      </c>
      <c r="V14" s="2" t="s">
        <v>1</v>
      </c>
      <c r="W14" s="2" t="s">
        <v>1</v>
      </c>
      <c r="X14" s="2" t="s">
        <v>86</v>
      </c>
      <c r="Z14" s="2" t="s">
        <v>86</v>
      </c>
      <c r="AA14" s="2" t="s">
        <v>1</v>
      </c>
      <c r="AB14" s="2" t="s">
        <v>1</v>
      </c>
      <c r="AC14" s="2" t="s">
        <v>1</v>
      </c>
    </row>
    <row r="15" spans="1:29" x14ac:dyDescent="0.4">
      <c r="A15" s="2" t="s">
        <v>181</v>
      </c>
      <c r="B15" s="2" t="s">
        <v>121</v>
      </c>
      <c r="C15" s="2" t="s">
        <v>217</v>
      </c>
      <c r="D15" s="2" t="s">
        <v>226</v>
      </c>
      <c r="E15" s="2" t="s">
        <v>219</v>
      </c>
      <c r="F15" s="2" t="s">
        <v>227</v>
      </c>
      <c r="G15" s="2" t="s">
        <v>125</v>
      </c>
      <c r="H15" s="2" t="s">
        <v>228</v>
      </c>
      <c r="I15" s="2" t="s">
        <v>85</v>
      </c>
      <c r="K15" s="2" t="s">
        <v>86</v>
      </c>
      <c r="L15" s="2" t="s">
        <v>1</v>
      </c>
      <c r="M15" s="2" t="s">
        <v>7</v>
      </c>
      <c r="N15" s="2" t="s">
        <v>1</v>
      </c>
      <c r="O15" s="2" t="s">
        <v>1</v>
      </c>
      <c r="P15" s="2" t="s">
        <v>1</v>
      </c>
      <c r="Q15" s="2" t="s">
        <v>1</v>
      </c>
      <c r="R15" s="2" t="s">
        <v>1</v>
      </c>
      <c r="S15" s="2" t="s">
        <v>703</v>
      </c>
      <c r="T15" s="2" t="s">
        <v>1</v>
      </c>
      <c r="U15" s="2" t="s">
        <v>1</v>
      </c>
      <c r="V15" s="2" t="s">
        <v>1</v>
      </c>
      <c r="W15" s="2" t="s">
        <v>1</v>
      </c>
      <c r="X15" s="2" t="s">
        <v>86</v>
      </c>
      <c r="Z15" s="2" t="s">
        <v>86</v>
      </c>
      <c r="AA15" s="2" t="s">
        <v>1</v>
      </c>
      <c r="AB15" s="2" t="s">
        <v>1</v>
      </c>
      <c r="AC15" s="2" t="s">
        <v>1</v>
      </c>
    </row>
    <row r="16" spans="1:29" x14ac:dyDescent="0.4">
      <c r="A16" s="2" t="s">
        <v>188</v>
      </c>
      <c r="B16" s="2" t="s">
        <v>78</v>
      </c>
      <c r="C16" s="2" t="s">
        <v>211</v>
      </c>
      <c r="D16" s="2" t="s">
        <v>230</v>
      </c>
      <c r="E16" s="2" t="s">
        <v>231</v>
      </c>
      <c r="F16" s="2" t="s">
        <v>232</v>
      </c>
      <c r="G16" s="2" t="s">
        <v>125</v>
      </c>
      <c r="H16" s="2" t="s">
        <v>233</v>
      </c>
      <c r="I16" s="2" t="s">
        <v>85</v>
      </c>
      <c r="K16" s="2" t="s">
        <v>86</v>
      </c>
      <c r="L16" s="2" t="s">
        <v>1</v>
      </c>
      <c r="M16" s="2" t="s">
        <v>7</v>
      </c>
      <c r="N16" s="2" t="s">
        <v>1</v>
      </c>
      <c r="O16" s="2" t="s">
        <v>1</v>
      </c>
      <c r="P16" s="2" t="s">
        <v>1</v>
      </c>
      <c r="Q16" s="2" t="s">
        <v>1</v>
      </c>
      <c r="R16" s="2" t="s">
        <v>1</v>
      </c>
      <c r="S16" s="2" t="s">
        <v>704</v>
      </c>
      <c r="T16" s="2" t="s">
        <v>1</v>
      </c>
      <c r="U16" s="2" t="s">
        <v>1</v>
      </c>
      <c r="V16" s="2" t="s">
        <v>1</v>
      </c>
      <c r="W16" s="2" t="s">
        <v>1</v>
      </c>
      <c r="X16" s="2" t="s">
        <v>86</v>
      </c>
      <c r="Z16" s="2" t="s">
        <v>86</v>
      </c>
      <c r="AA16" s="2" t="s">
        <v>1</v>
      </c>
      <c r="AB16" s="2" t="s">
        <v>1</v>
      </c>
      <c r="AC16" s="2" t="s">
        <v>1</v>
      </c>
    </row>
    <row r="17" spans="1:29" x14ac:dyDescent="0.4">
      <c r="A17" s="2" t="s">
        <v>182</v>
      </c>
      <c r="B17" s="2" t="s">
        <v>121</v>
      </c>
      <c r="C17" s="2" t="s">
        <v>122</v>
      </c>
      <c r="D17" s="2" t="s">
        <v>235</v>
      </c>
      <c r="E17" s="2" t="s">
        <v>7</v>
      </c>
      <c r="F17" s="2" t="s">
        <v>236</v>
      </c>
      <c r="G17" s="2" t="s">
        <v>125</v>
      </c>
      <c r="H17" s="2" t="s">
        <v>237</v>
      </c>
      <c r="I17" s="2" t="s">
        <v>85</v>
      </c>
      <c r="J17" s="2" t="s">
        <v>793</v>
      </c>
      <c r="K17" s="2" t="s">
        <v>86</v>
      </c>
      <c r="L17" s="2" t="s">
        <v>1</v>
      </c>
      <c r="M17" s="2" t="s">
        <v>7</v>
      </c>
      <c r="N17" s="2" t="s">
        <v>1</v>
      </c>
      <c r="O17" s="2" t="s">
        <v>1</v>
      </c>
      <c r="P17" s="2" t="s">
        <v>1</v>
      </c>
      <c r="Q17" s="2" t="s">
        <v>1</v>
      </c>
      <c r="R17" s="2" t="s">
        <v>1</v>
      </c>
      <c r="S17" s="2" t="s">
        <v>705</v>
      </c>
      <c r="T17" s="2" t="s">
        <v>1</v>
      </c>
      <c r="U17" s="2" t="s">
        <v>1</v>
      </c>
      <c r="V17" s="2" t="s">
        <v>1</v>
      </c>
      <c r="W17" s="2" t="s">
        <v>1</v>
      </c>
      <c r="X17" s="2" t="s">
        <v>86</v>
      </c>
      <c r="Z17" s="2" t="s">
        <v>86</v>
      </c>
      <c r="AA17" s="2" t="s">
        <v>1</v>
      </c>
      <c r="AB17" s="2" t="s">
        <v>1</v>
      </c>
      <c r="AC17" s="2" t="s">
        <v>1</v>
      </c>
    </row>
    <row r="18" spans="1:29" x14ac:dyDescent="0.4">
      <c r="A18" s="2" t="s">
        <v>477</v>
      </c>
      <c r="B18" s="2" t="s">
        <v>78</v>
      </c>
      <c r="C18" s="2" t="s">
        <v>478</v>
      </c>
      <c r="D18" s="2" t="s">
        <v>479</v>
      </c>
      <c r="E18" s="2" t="s">
        <v>480</v>
      </c>
      <c r="F18" s="2" t="s">
        <v>481</v>
      </c>
      <c r="G18" s="2" t="s">
        <v>125</v>
      </c>
      <c r="H18" s="2" t="s">
        <v>482</v>
      </c>
      <c r="I18" s="2" t="s">
        <v>85</v>
      </c>
      <c r="K18" s="2" t="s">
        <v>86</v>
      </c>
      <c r="L18" s="2" t="s">
        <v>1</v>
      </c>
      <c r="M18" s="2" t="s">
        <v>7</v>
      </c>
      <c r="N18" s="2" t="s">
        <v>1</v>
      </c>
      <c r="O18" s="2" t="s">
        <v>1</v>
      </c>
      <c r="P18" s="2" t="s">
        <v>1</v>
      </c>
      <c r="Q18" s="2" t="s">
        <v>1</v>
      </c>
      <c r="R18" s="2" t="s">
        <v>1</v>
      </c>
      <c r="S18" s="2" t="s">
        <v>706</v>
      </c>
      <c r="T18" s="2" t="s">
        <v>1</v>
      </c>
      <c r="U18" s="2" t="s">
        <v>1</v>
      </c>
      <c r="V18" s="2" t="s">
        <v>1</v>
      </c>
      <c r="W18" s="2" t="s">
        <v>1</v>
      </c>
      <c r="X18" s="2" t="s">
        <v>86</v>
      </c>
      <c r="Z18" s="2" t="s">
        <v>86</v>
      </c>
      <c r="AA18" s="2" t="s">
        <v>1</v>
      </c>
      <c r="AB18" s="2" t="s">
        <v>1</v>
      </c>
      <c r="AC18" s="2" t="s">
        <v>1</v>
      </c>
    </row>
    <row r="19" spans="1:29" x14ac:dyDescent="0.4">
      <c r="A19" s="2" t="s">
        <v>190</v>
      </c>
      <c r="B19" s="2" t="s">
        <v>1</v>
      </c>
      <c r="C19" s="2" t="s">
        <v>1</v>
      </c>
      <c r="D19" s="2" t="s">
        <v>1</v>
      </c>
      <c r="E19" s="2" t="s">
        <v>1</v>
      </c>
      <c r="F19" s="2" t="s">
        <v>1</v>
      </c>
      <c r="G19" s="2" t="s">
        <v>134</v>
      </c>
      <c r="H19" s="2" t="s">
        <v>244</v>
      </c>
      <c r="I19" s="2" t="s">
        <v>85</v>
      </c>
      <c r="K19" s="2" t="s">
        <v>86</v>
      </c>
      <c r="L19" s="2" t="s">
        <v>1</v>
      </c>
      <c r="M19" s="2" t="s">
        <v>1</v>
      </c>
      <c r="N19" s="2" t="s">
        <v>1</v>
      </c>
      <c r="O19" s="2" t="s">
        <v>1</v>
      </c>
      <c r="P19" s="2" t="s">
        <v>1</v>
      </c>
      <c r="Q19" s="2" t="s">
        <v>1</v>
      </c>
      <c r="R19" s="2" t="s">
        <v>1</v>
      </c>
      <c r="S19" s="2" t="s">
        <v>707</v>
      </c>
      <c r="T19" s="2" t="s">
        <v>1</v>
      </c>
      <c r="U19" s="2" t="s">
        <v>1</v>
      </c>
      <c r="V19" s="2" t="s">
        <v>1</v>
      </c>
      <c r="W19" s="2" t="s">
        <v>1</v>
      </c>
      <c r="X19" s="2" t="s">
        <v>158</v>
      </c>
      <c r="Z19" s="2" t="s">
        <v>158</v>
      </c>
      <c r="AA19" s="2" t="s">
        <v>1</v>
      </c>
      <c r="AB19" s="2" t="s">
        <v>1</v>
      </c>
      <c r="AC19" s="2" t="s">
        <v>1</v>
      </c>
    </row>
    <row r="20" spans="1:29" x14ac:dyDescent="0.4">
      <c r="A20" s="2" t="s">
        <v>491</v>
      </c>
      <c r="B20" s="2" t="s">
        <v>121</v>
      </c>
      <c r="C20" s="2" t="s">
        <v>494</v>
      </c>
      <c r="D20" s="2" t="s">
        <v>240</v>
      </c>
      <c r="E20" s="2" t="s">
        <v>495</v>
      </c>
      <c r="F20" s="2" t="s">
        <v>241</v>
      </c>
      <c r="G20" s="2" t="s">
        <v>125</v>
      </c>
      <c r="H20" s="2" t="s">
        <v>242</v>
      </c>
      <c r="I20" s="2" t="s">
        <v>85</v>
      </c>
      <c r="K20" s="2" t="s">
        <v>158</v>
      </c>
      <c r="L20" s="2" t="s">
        <v>708</v>
      </c>
      <c r="M20" s="2" t="s">
        <v>7</v>
      </c>
      <c r="N20" s="2" t="s">
        <v>1</v>
      </c>
      <c r="O20" s="2" t="s">
        <v>1</v>
      </c>
      <c r="P20" s="2" t="s">
        <v>645</v>
      </c>
      <c r="Q20" s="2" t="s">
        <v>1</v>
      </c>
      <c r="R20" s="2" t="s">
        <v>1</v>
      </c>
      <c r="S20" s="2" t="s">
        <v>646</v>
      </c>
      <c r="T20" s="2" t="s">
        <v>497</v>
      </c>
      <c r="U20" s="2" t="s">
        <v>1</v>
      </c>
      <c r="V20" s="2" t="s">
        <v>1</v>
      </c>
      <c r="W20" s="2" t="s">
        <v>1</v>
      </c>
      <c r="X20" s="2" t="s">
        <v>86</v>
      </c>
      <c r="Z20" s="2" t="s">
        <v>86</v>
      </c>
      <c r="AA20" s="2" t="s">
        <v>1</v>
      </c>
      <c r="AB20" s="2" t="s">
        <v>1</v>
      </c>
      <c r="AC20" s="2" t="s">
        <v>1</v>
      </c>
    </row>
    <row r="21" spans="1:29" x14ac:dyDescent="0.4">
      <c r="A21" s="2" t="s">
        <v>492</v>
      </c>
      <c r="B21" s="2" t="s">
        <v>121</v>
      </c>
      <c r="C21" s="2" t="s">
        <v>494</v>
      </c>
      <c r="D21" s="2" t="s">
        <v>498</v>
      </c>
      <c r="E21" s="2" t="s">
        <v>495</v>
      </c>
      <c r="F21" s="2" t="s">
        <v>499</v>
      </c>
      <c r="G21" s="2" t="s">
        <v>125</v>
      </c>
      <c r="H21" s="2" t="s">
        <v>500</v>
      </c>
      <c r="I21" s="2" t="s">
        <v>85</v>
      </c>
      <c r="J21" s="2" t="s">
        <v>792</v>
      </c>
      <c r="K21" s="2" t="s">
        <v>158</v>
      </c>
      <c r="L21" s="2" t="s">
        <v>709</v>
      </c>
      <c r="M21" s="2" t="s">
        <v>7</v>
      </c>
      <c r="N21" s="2" t="s">
        <v>1</v>
      </c>
      <c r="O21" s="2" t="s">
        <v>1</v>
      </c>
      <c r="P21" s="2" t="s">
        <v>645</v>
      </c>
      <c r="Q21" s="2" t="s">
        <v>1</v>
      </c>
      <c r="R21" s="2" t="s">
        <v>1</v>
      </c>
      <c r="S21" s="2" t="s">
        <v>710</v>
      </c>
      <c r="T21" s="2" t="s">
        <v>497</v>
      </c>
      <c r="U21" s="2" t="s">
        <v>1</v>
      </c>
      <c r="V21" s="2" t="s">
        <v>1</v>
      </c>
      <c r="W21" s="2" t="s">
        <v>1</v>
      </c>
      <c r="X21" s="2" t="s">
        <v>86</v>
      </c>
      <c r="Z21" s="2" t="s">
        <v>86</v>
      </c>
      <c r="AA21" s="2" t="s">
        <v>1</v>
      </c>
      <c r="AB21" s="2" t="s">
        <v>1</v>
      </c>
      <c r="AC21" s="2" t="s">
        <v>1</v>
      </c>
    </row>
    <row r="22" spans="1:29" x14ac:dyDescent="0.4">
      <c r="A22" s="2" t="s">
        <v>193</v>
      </c>
      <c r="B22" s="2" t="s">
        <v>78</v>
      </c>
      <c r="C22" s="2" t="s">
        <v>211</v>
      </c>
      <c r="D22" s="2" t="s">
        <v>246</v>
      </c>
      <c r="E22" s="2" t="s">
        <v>213</v>
      </c>
      <c r="F22" s="2" t="s">
        <v>247</v>
      </c>
      <c r="G22" s="2" t="s">
        <v>134</v>
      </c>
      <c r="H22" s="2" t="s">
        <v>248</v>
      </c>
      <c r="I22" s="2" t="s">
        <v>2</v>
      </c>
      <c r="K22" s="2" t="s">
        <v>86</v>
      </c>
      <c r="L22" s="2" t="s">
        <v>1</v>
      </c>
      <c r="M22" s="2" t="s">
        <v>1</v>
      </c>
      <c r="N22" s="2" t="s">
        <v>1</v>
      </c>
      <c r="O22" s="2" t="s">
        <v>1</v>
      </c>
      <c r="P22" s="2" t="s">
        <v>1</v>
      </c>
      <c r="Q22" s="2" t="s">
        <v>1</v>
      </c>
      <c r="R22" s="2" t="s">
        <v>1</v>
      </c>
      <c r="S22" s="2" t="s">
        <v>711</v>
      </c>
      <c r="T22" s="2" t="s">
        <v>1</v>
      </c>
      <c r="U22" s="2" t="s">
        <v>1</v>
      </c>
      <c r="V22" s="2" t="s">
        <v>1</v>
      </c>
      <c r="W22" s="2" t="s">
        <v>1</v>
      </c>
      <c r="X22" s="2" t="s">
        <v>86</v>
      </c>
      <c r="Z22" s="2" t="s">
        <v>86</v>
      </c>
      <c r="AA22" s="2" t="s">
        <v>1</v>
      </c>
      <c r="AB22" s="2" t="s">
        <v>1</v>
      </c>
      <c r="AC22" s="2" t="s">
        <v>1</v>
      </c>
    </row>
    <row r="23" spans="1:29" x14ac:dyDescent="0.4">
      <c r="A23" s="2" t="s">
        <v>195</v>
      </c>
      <c r="B23" s="2" t="s">
        <v>78</v>
      </c>
      <c r="C23" s="2" t="s">
        <v>211</v>
      </c>
      <c r="D23" s="2" t="s">
        <v>250</v>
      </c>
      <c r="E23" s="2" t="s">
        <v>231</v>
      </c>
      <c r="F23" s="2" t="s">
        <v>251</v>
      </c>
      <c r="G23" s="2" t="s">
        <v>125</v>
      </c>
      <c r="H23" s="2" t="s">
        <v>252</v>
      </c>
      <c r="I23" s="2" t="s">
        <v>85</v>
      </c>
      <c r="K23" s="2" t="s">
        <v>86</v>
      </c>
      <c r="L23" s="2" t="s">
        <v>1</v>
      </c>
      <c r="M23" s="2" t="s">
        <v>7</v>
      </c>
      <c r="N23" s="2" t="s">
        <v>1</v>
      </c>
      <c r="O23" s="2" t="s">
        <v>1</v>
      </c>
      <c r="P23" s="2" t="s">
        <v>1</v>
      </c>
      <c r="Q23" s="2" t="s">
        <v>1</v>
      </c>
      <c r="R23" s="2" t="s">
        <v>1</v>
      </c>
      <c r="S23" s="2" t="s">
        <v>712</v>
      </c>
      <c r="T23" s="2" t="s">
        <v>1</v>
      </c>
      <c r="U23" s="2" t="s">
        <v>1</v>
      </c>
      <c r="V23" s="2" t="s">
        <v>1</v>
      </c>
      <c r="W23" s="2" t="s">
        <v>1</v>
      </c>
      <c r="X23" s="2" t="s">
        <v>86</v>
      </c>
      <c r="Z23" s="2" t="s">
        <v>86</v>
      </c>
      <c r="AA23" s="2" t="s">
        <v>1</v>
      </c>
      <c r="AB23" s="2" t="s">
        <v>1</v>
      </c>
      <c r="AC23" s="2" t="s">
        <v>1</v>
      </c>
    </row>
    <row r="24" spans="1:29" x14ac:dyDescent="0.4">
      <c r="A24" s="2" t="s">
        <v>528</v>
      </c>
      <c r="B24" s="2" t="s">
        <v>121</v>
      </c>
      <c r="C24" s="2" t="s">
        <v>254</v>
      </c>
      <c r="D24" s="2" t="s">
        <v>530</v>
      </c>
      <c r="E24" s="2" t="s">
        <v>255</v>
      </c>
      <c r="F24" s="2" t="s">
        <v>531</v>
      </c>
      <c r="G24" s="2" t="s">
        <v>125</v>
      </c>
      <c r="H24" s="2" t="s">
        <v>532</v>
      </c>
      <c r="I24" s="2" t="s">
        <v>85</v>
      </c>
      <c r="K24" s="2" t="s">
        <v>158</v>
      </c>
      <c r="L24" s="2" t="s">
        <v>713</v>
      </c>
      <c r="M24" s="2" t="s">
        <v>7</v>
      </c>
      <c r="N24" s="2" t="s">
        <v>1</v>
      </c>
      <c r="O24" s="2" t="s">
        <v>1</v>
      </c>
      <c r="P24" s="2" t="s">
        <v>1</v>
      </c>
      <c r="Q24" s="2" t="s">
        <v>1</v>
      </c>
      <c r="R24" s="2" t="s">
        <v>1</v>
      </c>
      <c r="S24" s="2" t="s">
        <v>713</v>
      </c>
      <c r="T24" s="2" t="s">
        <v>257</v>
      </c>
      <c r="U24" s="2" t="s">
        <v>1</v>
      </c>
      <c r="V24" s="2" t="s">
        <v>1</v>
      </c>
      <c r="W24" s="2" t="s">
        <v>1</v>
      </c>
      <c r="X24" s="2" t="s">
        <v>86</v>
      </c>
      <c r="Z24" s="2" t="s">
        <v>86</v>
      </c>
      <c r="AA24" s="2" t="s">
        <v>1</v>
      </c>
      <c r="AB24" s="2" t="s">
        <v>1</v>
      </c>
      <c r="AC24" s="2" t="s">
        <v>1</v>
      </c>
    </row>
    <row r="25" spans="1:29" x14ac:dyDescent="0.4">
      <c r="A25" s="2" t="s">
        <v>196</v>
      </c>
      <c r="B25" s="2" t="s">
        <v>78</v>
      </c>
      <c r="C25" s="2" t="s">
        <v>211</v>
      </c>
      <c r="D25" s="2" t="s">
        <v>258</v>
      </c>
      <c r="E25" s="2" t="s">
        <v>213</v>
      </c>
      <c r="F25" s="2" t="s">
        <v>259</v>
      </c>
      <c r="G25" s="2" t="s">
        <v>134</v>
      </c>
      <c r="H25" s="2" t="s">
        <v>260</v>
      </c>
      <c r="I25" s="2" t="s">
        <v>283</v>
      </c>
      <c r="K25" s="2" t="s">
        <v>86</v>
      </c>
      <c r="L25" s="2" t="s">
        <v>1</v>
      </c>
      <c r="M25" s="2" t="s">
        <v>7</v>
      </c>
      <c r="N25" s="2" t="s">
        <v>1</v>
      </c>
      <c r="O25" s="2" t="s">
        <v>1</v>
      </c>
      <c r="P25" s="2" t="s">
        <v>1</v>
      </c>
      <c r="Q25" s="2" t="s">
        <v>1</v>
      </c>
      <c r="R25" s="2" t="s">
        <v>1</v>
      </c>
      <c r="S25" s="2" t="s">
        <v>714</v>
      </c>
      <c r="T25" s="2" t="s">
        <v>1</v>
      </c>
      <c r="U25" s="2" t="s">
        <v>1</v>
      </c>
      <c r="V25" s="2" t="s">
        <v>1</v>
      </c>
      <c r="W25" s="2" t="s">
        <v>1</v>
      </c>
      <c r="X25" s="2" t="s">
        <v>86</v>
      </c>
      <c r="Z25" s="2" t="s">
        <v>86</v>
      </c>
      <c r="AA25" s="2" t="s">
        <v>1</v>
      </c>
      <c r="AB25" s="2" t="s">
        <v>1</v>
      </c>
      <c r="AC25" s="2" t="s">
        <v>1</v>
      </c>
    </row>
    <row r="26" spans="1:29" x14ac:dyDescent="0.4">
      <c r="A26" s="2" t="s">
        <v>197</v>
      </c>
      <c r="B26" s="2" t="s">
        <v>78</v>
      </c>
      <c r="C26" s="2" t="s">
        <v>211</v>
      </c>
      <c r="D26" s="2" t="s">
        <v>262</v>
      </c>
      <c r="E26" s="2" t="s">
        <v>213</v>
      </c>
      <c r="F26" s="2" t="s">
        <v>263</v>
      </c>
      <c r="G26" s="2" t="s">
        <v>125</v>
      </c>
      <c r="H26" s="2" t="s">
        <v>264</v>
      </c>
      <c r="I26" s="2" t="s">
        <v>85</v>
      </c>
      <c r="K26" s="2" t="s">
        <v>86</v>
      </c>
      <c r="L26" s="2" t="s">
        <v>1</v>
      </c>
      <c r="M26" s="2" t="s">
        <v>7</v>
      </c>
      <c r="N26" s="2" t="s">
        <v>1</v>
      </c>
      <c r="O26" s="2" t="s">
        <v>1</v>
      </c>
      <c r="P26" s="2" t="s">
        <v>1</v>
      </c>
      <c r="Q26" s="2" t="s">
        <v>1</v>
      </c>
      <c r="R26" s="2" t="s">
        <v>1</v>
      </c>
      <c r="S26" s="2" t="s">
        <v>715</v>
      </c>
      <c r="T26" s="2" t="s">
        <v>1</v>
      </c>
      <c r="U26" s="2" t="s">
        <v>1</v>
      </c>
      <c r="V26" s="2" t="s">
        <v>1</v>
      </c>
      <c r="W26" s="2" t="s">
        <v>1</v>
      </c>
      <c r="X26" s="2" t="s">
        <v>86</v>
      </c>
      <c r="Z26" s="2" t="s">
        <v>86</v>
      </c>
      <c r="AA26" s="2" t="s">
        <v>1</v>
      </c>
      <c r="AB26" s="2" t="s">
        <v>1</v>
      </c>
      <c r="AC26" s="2" t="s">
        <v>1</v>
      </c>
    </row>
    <row r="27" spans="1:29" x14ac:dyDescent="0.4">
      <c r="A27" s="2" t="s">
        <v>198</v>
      </c>
      <c r="B27" s="2" t="s">
        <v>78</v>
      </c>
      <c r="C27" s="2" t="s">
        <v>211</v>
      </c>
      <c r="D27" s="2" t="s">
        <v>266</v>
      </c>
      <c r="E27" s="2" t="s">
        <v>213</v>
      </c>
      <c r="F27" s="2" t="s">
        <v>267</v>
      </c>
      <c r="G27" s="2" t="s">
        <v>134</v>
      </c>
      <c r="H27" s="2" t="s">
        <v>268</v>
      </c>
      <c r="I27" s="2" t="s">
        <v>283</v>
      </c>
      <c r="K27" s="2" t="s">
        <v>86</v>
      </c>
      <c r="L27" s="2" t="s">
        <v>1</v>
      </c>
      <c r="M27" s="2" t="s">
        <v>7</v>
      </c>
      <c r="N27" s="2" t="s">
        <v>1</v>
      </c>
      <c r="O27" s="2" t="s">
        <v>1</v>
      </c>
      <c r="P27" s="2" t="s">
        <v>1</v>
      </c>
      <c r="Q27" s="2" t="s">
        <v>1</v>
      </c>
      <c r="R27" s="2" t="s">
        <v>1</v>
      </c>
      <c r="S27" s="2" t="s">
        <v>716</v>
      </c>
      <c r="T27" s="2" t="s">
        <v>1</v>
      </c>
      <c r="U27" s="2" t="s">
        <v>1</v>
      </c>
      <c r="V27" s="2" t="s">
        <v>1</v>
      </c>
      <c r="W27" s="2" t="s">
        <v>1</v>
      </c>
      <c r="X27" s="2" t="s">
        <v>86</v>
      </c>
      <c r="Z27" s="2" t="s">
        <v>86</v>
      </c>
      <c r="AA27" s="2" t="s">
        <v>1</v>
      </c>
      <c r="AB27" s="2" t="s">
        <v>1</v>
      </c>
      <c r="AC27" s="2" t="s">
        <v>1</v>
      </c>
    </row>
    <row r="28" spans="1:29" x14ac:dyDescent="0.4">
      <c r="A28" s="2" t="s">
        <v>199</v>
      </c>
      <c r="B28" s="2" t="s">
        <v>78</v>
      </c>
      <c r="C28" s="2" t="s">
        <v>211</v>
      </c>
      <c r="D28" s="2" t="s">
        <v>270</v>
      </c>
      <c r="E28" s="2" t="s">
        <v>213</v>
      </c>
      <c r="F28" s="2" t="s">
        <v>271</v>
      </c>
      <c r="G28" s="2" t="s">
        <v>125</v>
      </c>
      <c r="H28" s="2" t="s">
        <v>272</v>
      </c>
      <c r="I28" s="2" t="s">
        <v>85</v>
      </c>
      <c r="K28" s="2" t="s">
        <v>86</v>
      </c>
      <c r="L28" s="2" t="s">
        <v>1</v>
      </c>
      <c r="M28" s="2" t="s">
        <v>7</v>
      </c>
      <c r="N28" s="2" t="s">
        <v>1</v>
      </c>
      <c r="O28" s="2" t="s">
        <v>1</v>
      </c>
      <c r="P28" s="2" t="s">
        <v>1</v>
      </c>
      <c r="Q28" s="2" t="s">
        <v>1</v>
      </c>
      <c r="R28" s="2" t="s">
        <v>1</v>
      </c>
      <c r="S28" s="2" t="s">
        <v>717</v>
      </c>
      <c r="T28" s="2" t="s">
        <v>1</v>
      </c>
      <c r="U28" s="2" t="s">
        <v>1</v>
      </c>
      <c r="V28" s="2" t="s">
        <v>1</v>
      </c>
      <c r="W28" s="2" t="s">
        <v>1</v>
      </c>
      <c r="X28" s="2" t="s">
        <v>86</v>
      </c>
      <c r="Z28" s="2" t="s">
        <v>86</v>
      </c>
      <c r="AA28" s="2" t="s">
        <v>1</v>
      </c>
      <c r="AB28" s="2" t="s">
        <v>1</v>
      </c>
      <c r="AC28" s="2" t="s">
        <v>1</v>
      </c>
    </row>
    <row r="29" spans="1:29" x14ac:dyDescent="0.4">
      <c r="A29" s="2" t="s">
        <v>463</v>
      </c>
      <c r="B29" s="2" t="s">
        <v>78</v>
      </c>
      <c r="C29" s="2" t="s">
        <v>464</v>
      </c>
      <c r="D29" s="2" t="s">
        <v>465</v>
      </c>
      <c r="E29" s="2" t="s">
        <v>466</v>
      </c>
      <c r="F29" s="2" t="s">
        <v>467</v>
      </c>
      <c r="G29" s="2" t="s">
        <v>125</v>
      </c>
      <c r="H29" s="2" t="s">
        <v>468</v>
      </c>
      <c r="I29" s="2" t="s">
        <v>85</v>
      </c>
      <c r="K29" s="2" t="s">
        <v>158</v>
      </c>
      <c r="L29" s="2" t="s">
        <v>787</v>
      </c>
      <c r="M29" s="2" t="s">
        <v>7</v>
      </c>
      <c r="N29" s="2" t="s">
        <v>1</v>
      </c>
      <c r="O29" s="2" t="s">
        <v>469</v>
      </c>
      <c r="P29" s="2" t="s">
        <v>470</v>
      </c>
      <c r="Q29" s="2" t="s">
        <v>1</v>
      </c>
      <c r="R29" s="2" t="s">
        <v>1</v>
      </c>
      <c r="S29" s="2" t="s">
        <v>718</v>
      </c>
      <c r="T29" s="2" t="s">
        <v>471</v>
      </c>
      <c r="U29" s="2" t="s">
        <v>1</v>
      </c>
      <c r="V29" s="2" t="s">
        <v>1</v>
      </c>
      <c r="W29" s="2" t="s">
        <v>1</v>
      </c>
      <c r="X29" s="2" t="s">
        <v>86</v>
      </c>
      <c r="Z29" s="2" t="s">
        <v>86</v>
      </c>
      <c r="AA29" s="2" t="s">
        <v>1</v>
      </c>
      <c r="AB29" s="2" t="s">
        <v>1</v>
      </c>
      <c r="AC29" s="2" t="s">
        <v>1</v>
      </c>
    </row>
    <row r="30" spans="1:29" x14ac:dyDescent="0.4">
      <c r="A30" s="2" t="s">
        <v>200</v>
      </c>
      <c r="B30" s="2" t="s">
        <v>78</v>
      </c>
      <c r="C30" s="2" t="s">
        <v>211</v>
      </c>
      <c r="D30" s="2" t="s">
        <v>275</v>
      </c>
      <c r="E30" s="2" t="s">
        <v>213</v>
      </c>
      <c r="F30" s="2" t="s">
        <v>276</v>
      </c>
      <c r="G30" s="2" t="s">
        <v>134</v>
      </c>
      <c r="H30" s="2" t="s">
        <v>277</v>
      </c>
      <c r="I30" s="2" t="s">
        <v>2</v>
      </c>
      <c r="K30" s="2" t="s">
        <v>86</v>
      </c>
      <c r="L30" s="2" t="s">
        <v>1</v>
      </c>
      <c r="M30" s="2" t="s">
        <v>7</v>
      </c>
      <c r="N30" s="2" t="s">
        <v>1</v>
      </c>
      <c r="O30" s="2" t="s">
        <v>1</v>
      </c>
      <c r="P30" s="2" t="s">
        <v>1</v>
      </c>
      <c r="Q30" s="2" t="s">
        <v>1</v>
      </c>
      <c r="R30" s="2" t="s">
        <v>1</v>
      </c>
      <c r="S30" s="2" t="s">
        <v>719</v>
      </c>
      <c r="T30" s="2" t="s">
        <v>1</v>
      </c>
      <c r="U30" s="2" t="s">
        <v>1</v>
      </c>
      <c r="V30" s="2" t="s">
        <v>1</v>
      </c>
      <c r="W30" s="2" t="s">
        <v>1</v>
      </c>
      <c r="X30" s="2" t="s">
        <v>86</v>
      </c>
      <c r="Z30" s="2" t="s">
        <v>86</v>
      </c>
      <c r="AA30" s="2" t="s">
        <v>1</v>
      </c>
      <c r="AB30" s="2" t="s">
        <v>1</v>
      </c>
      <c r="AC30" s="2" t="s">
        <v>1</v>
      </c>
    </row>
    <row r="31" spans="1:29" x14ac:dyDescent="0.4">
      <c r="A31" s="2" t="s">
        <v>197</v>
      </c>
      <c r="B31" s="2" t="s">
        <v>78</v>
      </c>
      <c r="C31" s="2" t="s">
        <v>211</v>
      </c>
      <c r="D31" s="2" t="s">
        <v>262</v>
      </c>
      <c r="E31" s="2" t="s">
        <v>213</v>
      </c>
      <c r="F31" s="2" t="s">
        <v>263</v>
      </c>
      <c r="G31" s="2" t="s">
        <v>125</v>
      </c>
      <c r="H31" s="2" t="s">
        <v>264</v>
      </c>
      <c r="I31" s="2" t="s">
        <v>85</v>
      </c>
      <c r="K31" s="2" t="s">
        <v>86</v>
      </c>
      <c r="L31" s="2" t="s">
        <v>1</v>
      </c>
      <c r="M31" s="2" t="s">
        <v>7</v>
      </c>
      <c r="N31" s="2" t="s">
        <v>1</v>
      </c>
      <c r="O31" s="2" t="s">
        <v>1</v>
      </c>
      <c r="P31" s="2" t="s">
        <v>1</v>
      </c>
      <c r="Q31" s="2" t="s">
        <v>1</v>
      </c>
      <c r="R31" s="2" t="s">
        <v>1</v>
      </c>
      <c r="S31" s="2" t="s">
        <v>720</v>
      </c>
      <c r="T31" s="2" t="s">
        <v>1</v>
      </c>
      <c r="U31" s="2" t="s">
        <v>1</v>
      </c>
      <c r="V31" s="2" t="s">
        <v>1</v>
      </c>
      <c r="W31" s="2" t="s">
        <v>1</v>
      </c>
      <c r="X31" s="2" t="s">
        <v>86</v>
      </c>
      <c r="Z31" s="2" t="s">
        <v>86</v>
      </c>
      <c r="AA31" s="2" t="s">
        <v>1</v>
      </c>
      <c r="AB31" s="2" t="s">
        <v>1</v>
      </c>
      <c r="AC31" s="2" t="s">
        <v>1</v>
      </c>
    </row>
    <row r="32" spans="1:29" x14ac:dyDescent="0.4">
      <c r="A32" s="2" t="s">
        <v>615</v>
      </c>
      <c r="B32" s="2" t="s">
        <v>121</v>
      </c>
      <c r="C32" s="2" t="s">
        <v>619</v>
      </c>
      <c r="D32" s="2" t="s">
        <v>280</v>
      </c>
      <c r="E32" s="2" t="s">
        <v>620</v>
      </c>
      <c r="F32" s="2" t="s">
        <v>281</v>
      </c>
      <c r="G32" s="2" t="s">
        <v>134</v>
      </c>
      <c r="H32" s="2" t="s">
        <v>282</v>
      </c>
      <c r="I32" s="2" t="s">
        <v>283</v>
      </c>
      <c r="K32" s="2" t="s">
        <v>158</v>
      </c>
      <c r="L32" s="2" t="s">
        <v>721</v>
      </c>
      <c r="M32" s="2" t="s">
        <v>7</v>
      </c>
      <c r="N32" s="2" t="s">
        <v>1</v>
      </c>
      <c r="O32" s="2" t="s">
        <v>1</v>
      </c>
      <c r="P32" s="2" t="s">
        <v>1</v>
      </c>
      <c r="Q32" s="2" t="s">
        <v>1</v>
      </c>
      <c r="R32" s="2" t="s">
        <v>1</v>
      </c>
      <c r="S32" s="2" t="s">
        <v>721</v>
      </c>
      <c r="T32" s="2" t="s">
        <v>754</v>
      </c>
      <c r="U32" s="2" t="s">
        <v>1</v>
      </c>
      <c r="V32" s="2" t="s">
        <v>1</v>
      </c>
      <c r="W32" s="2" t="s">
        <v>1</v>
      </c>
      <c r="X32" s="2" t="s">
        <v>86</v>
      </c>
      <c r="Z32" s="2" t="s">
        <v>86</v>
      </c>
      <c r="AA32" s="2" t="s">
        <v>1</v>
      </c>
      <c r="AB32" s="2" t="s">
        <v>1</v>
      </c>
      <c r="AC32" s="2" t="s">
        <v>1</v>
      </c>
    </row>
    <row r="33" spans="1:29" x14ac:dyDescent="0.4">
      <c r="A33" s="2" t="s">
        <v>616</v>
      </c>
      <c r="B33" s="2" t="s">
        <v>121</v>
      </c>
      <c r="C33" s="2" t="s">
        <v>619</v>
      </c>
      <c r="D33" s="2" t="s">
        <v>285</v>
      </c>
      <c r="E33" s="2" t="s">
        <v>620</v>
      </c>
      <c r="F33" s="2" t="s">
        <v>286</v>
      </c>
      <c r="G33" s="2" t="s">
        <v>134</v>
      </c>
      <c r="H33" s="2" t="s">
        <v>287</v>
      </c>
      <c r="I33" s="2" t="s">
        <v>2</v>
      </c>
      <c r="K33" s="2" t="s">
        <v>158</v>
      </c>
      <c r="L33" s="2" t="s">
        <v>722</v>
      </c>
      <c r="M33" s="2" t="s">
        <v>7</v>
      </c>
      <c r="N33" s="2" t="s">
        <v>1</v>
      </c>
      <c r="O33" s="2" t="s">
        <v>1</v>
      </c>
      <c r="P33" s="2" t="s">
        <v>1</v>
      </c>
      <c r="Q33" s="2" t="s">
        <v>1</v>
      </c>
      <c r="R33" s="2" t="s">
        <v>1</v>
      </c>
      <c r="S33" s="2" t="s">
        <v>722</v>
      </c>
      <c r="T33" s="2" t="s">
        <v>621</v>
      </c>
      <c r="U33" s="2" t="s">
        <v>1</v>
      </c>
      <c r="V33" s="2" t="s">
        <v>1</v>
      </c>
      <c r="W33" s="2" t="s">
        <v>1</v>
      </c>
      <c r="X33" s="2" t="s">
        <v>86</v>
      </c>
      <c r="Z33" s="2" t="s">
        <v>86</v>
      </c>
      <c r="AA33" s="2" t="s">
        <v>1</v>
      </c>
      <c r="AB33" s="2" t="s">
        <v>1</v>
      </c>
      <c r="AC33" s="2" t="s">
        <v>1</v>
      </c>
    </row>
    <row r="34" spans="1:29" x14ac:dyDescent="0.4">
      <c r="A34" s="2" t="s">
        <v>452</v>
      </c>
      <c r="B34" s="2" t="s">
        <v>453</v>
      </c>
      <c r="C34" s="2" t="s">
        <v>454</v>
      </c>
      <c r="D34" s="2" t="s">
        <v>455</v>
      </c>
      <c r="E34" s="2" t="s">
        <v>456</v>
      </c>
      <c r="F34" s="2" t="s">
        <v>457</v>
      </c>
      <c r="G34" s="2" t="s">
        <v>134</v>
      </c>
      <c r="H34" s="2" t="s">
        <v>458</v>
      </c>
      <c r="I34" s="2" t="s">
        <v>283</v>
      </c>
      <c r="K34" s="2" t="s">
        <v>86</v>
      </c>
      <c r="L34" s="2" t="s">
        <v>1</v>
      </c>
      <c r="M34" s="2" t="s">
        <v>7</v>
      </c>
      <c r="N34" s="2" t="s">
        <v>1</v>
      </c>
      <c r="O34" s="2" t="s">
        <v>1</v>
      </c>
      <c r="P34" s="2" t="s">
        <v>1</v>
      </c>
      <c r="Q34" s="2" t="s">
        <v>1</v>
      </c>
      <c r="R34" s="2" t="s">
        <v>1</v>
      </c>
      <c r="S34" s="2" t="s">
        <v>723</v>
      </c>
      <c r="T34" s="2" t="s">
        <v>1</v>
      </c>
      <c r="U34" s="2" t="s">
        <v>1</v>
      </c>
      <c r="V34" s="2" t="s">
        <v>1</v>
      </c>
      <c r="W34" s="2" t="s">
        <v>1</v>
      </c>
      <c r="X34" s="2" t="s">
        <v>86</v>
      </c>
      <c r="Z34" s="2" t="s">
        <v>86</v>
      </c>
      <c r="AA34" s="2" t="s">
        <v>1</v>
      </c>
      <c r="AB34" s="2" t="s">
        <v>1</v>
      </c>
      <c r="AC34" s="2" t="s">
        <v>1</v>
      </c>
    </row>
    <row r="35" spans="1:29" x14ac:dyDescent="0.4">
      <c r="A35" s="2" t="s">
        <v>316</v>
      </c>
      <c r="B35" s="2" t="s">
        <v>78</v>
      </c>
      <c r="C35" s="2" t="s">
        <v>211</v>
      </c>
      <c r="D35" s="2" t="s">
        <v>328</v>
      </c>
      <c r="E35" s="2" t="s">
        <v>231</v>
      </c>
      <c r="F35" s="2" t="s">
        <v>329</v>
      </c>
      <c r="G35" s="2" t="s">
        <v>125</v>
      </c>
      <c r="H35" s="2" t="s">
        <v>330</v>
      </c>
      <c r="I35" s="2" t="s">
        <v>85</v>
      </c>
      <c r="K35" s="2" t="s">
        <v>86</v>
      </c>
      <c r="L35" s="2" t="s">
        <v>1</v>
      </c>
      <c r="M35" s="2" t="s">
        <v>1</v>
      </c>
      <c r="N35" s="2" t="s">
        <v>724</v>
      </c>
      <c r="O35" s="2" t="s">
        <v>1</v>
      </c>
      <c r="P35" s="2" t="s">
        <v>1</v>
      </c>
      <c r="Q35" s="2" t="s">
        <v>1</v>
      </c>
      <c r="R35" s="2" t="s">
        <v>1</v>
      </c>
      <c r="S35" s="2" t="s">
        <v>725</v>
      </c>
      <c r="T35" s="2" t="s">
        <v>1</v>
      </c>
      <c r="U35" s="2" t="s">
        <v>1</v>
      </c>
      <c r="V35" s="2" t="s">
        <v>1</v>
      </c>
      <c r="W35" s="2" t="s">
        <v>1</v>
      </c>
      <c r="X35" s="2" t="s">
        <v>86</v>
      </c>
      <c r="Z35" s="2" t="s">
        <v>86</v>
      </c>
      <c r="AA35" s="2" t="s">
        <v>1</v>
      </c>
      <c r="AB35" s="2" t="s">
        <v>1</v>
      </c>
      <c r="AC35" s="2" t="s">
        <v>7</v>
      </c>
    </row>
    <row r="36" spans="1:29" x14ac:dyDescent="0.4">
      <c r="A36" s="2" t="s">
        <v>317</v>
      </c>
      <c r="B36" s="2" t="s">
        <v>78</v>
      </c>
      <c r="C36" s="2" t="s">
        <v>79</v>
      </c>
      <c r="D36" s="2" t="s">
        <v>332</v>
      </c>
      <c r="E36" s="2" t="s">
        <v>81</v>
      </c>
      <c r="F36" s="2" t="s">
        <v>333</v>
      </c>
      <c r="G36" s="2" t="s">
        <v>129</v>
      </c>
      <c r="H36" s="2" t="s">
        <v>629</v>
      </c>
      <c r="I36" s="2" t="s">
        <v>130</v>
      </c>
      <c r="K36" s="2" t="s">
        <v>86</v>
      </c>
      <c r="L36" s="2" t="s">
        <v>1</v>
      </c>
      <c r="M36" s="2" t="s">
        <v>1</v>
      </c>
      <c r="N36" s="2" t="s">
        <v>1</v>
      </c>
      <c r="O36" s="2" t="s">
        <v>1</v>
      </c>
      <c r="P36" s="2" t="s">
        <v>1</v>
      </c>
      <c r="Q36" s="2" t="s">
        <v>1</v>
      </c>
      <c r="R36" s="2" t="s">
        <v>1</v>
      </c>
      <c r="S36" s="2" t="s">
        <v>726</v>
      </c>
      <c r="T36" s="2" t="s">
        <v>1</v>
      </c>
      <c r="U36" s="2" t="s">
        <v>1</v>
      </c>
      <c r="V36" s="2" t="s">
        <v>1</v>
      </c>
      <c r="W36" s="2" t="s">
        <v>1</v>
      </c>
      <c r="X36" s="2" t="s">
        <v>86</v>
      </c>
      <c r="Z36" s="2" t="s">
        <v>86</v>
      </c>
      <c r="AA36" s="2" t="s">
        <v>1</v>
      </c>
      <c r="AB36" s="2" t="s">
        <v>1</v>
      </c>
      <c r="AC36" s="2" t="s">
        <v>1</v>
      </c>
    </row>
    <row r="37" spans="1:29" x14ac:dyDescent="0.4">
      <c r="A37" s="2" t="s">
        <v>318</v>
      </c>
      <c r="B37" s="2" t="s">
        <v>78</v>
      </c>
      <c r="C37" s="2" t="s">
        <v>211</v>
      </c>
      <c r="D37" s="2" t="s">
        <v>335</v>
      </c>
      <c r="E37" s="2" t="s">
        <v>231</v>
      </c>
      <c r="F37" s="2" t="s">
        <v>336</v>
      </c>
      <c r="G37" s="2" t="s">
        <v>125</v>
      </c>
      <c r="H37" s="2" t="s">
        <v>337</v>
      </c>
      <c r="I37" s="2" t="s">
        <v>85</v>
      </c>
      <c r="K37" s="2" t="s">
        <v>86</v>
      </c>
      <c r="L37" s="2" t="s">
        <v>1</v>
      </c>
      <c r="M37" s="2" t="s">
        <v>1</v>
      </c>
      <c r="N37" s="2" t="s">
        <v>724</v>
      </c>
      <c r="O37" s="2" t="s">
        <v>1</v>
      </c>
      <c r="P37" s="2" t="s">
        <v>1</v>
      </c>
      <c r="Q37" s="2" t="s">
        <v>1</v>
      </c>
      <c r="R37" s="2" t="s">
        <v>1</v>
      </c>
      <c r="S37" s="2" t="s">
        <v>727</v>
      </c>
      <c r="T37" s="2" t="s">
        <v>1</v>
      </c>
      <c r="U37" s="2" t="s">
        <v>1</v>
      </c>
      <c r="V37" s="2" t="s">
        <v>1</v>
      </c>
      <c r="W37" s="2" t="s">
        <v>1</v>
      </c>
      <c r="X37" s="2" t="s">
        <v>86</v>
      </c>
      <c r="Z37" s="2" t="s">
        <v>86</v>
      </c>
      <c r="AA37" s="2" t="s">
        <v>1</v>
      </c>
      <c r="AB37" s="2" t="s">
        <v>1</v>
      </c>
      <c r="AC37" s="2" t="s">
        <v>7</v>
      </c>
    </row>
    <row r="38" spans="1:29" x14ac:dyDescent="0.4">
      <c r="A38" s="2" t="s">
        <v>319</v>
      </c>
      <c r="B38" s="2" t="s">
        <v>78</v>
      </c>
      <c r="C38" s="2" t="s">
        <v>211</v>
      </c>
      <c r="D38" s="2" t="s">
        <v>339</v>
      </c>
      <c r="E38" s="2" t="s">
        <v>231</v>
      </c>
      <c r="F38" s="2" t="s">
        <v>340</v>
      </c>
      <c r="G38" s="2" t="s">
        <v>125</v>
      </c>
      <c r="H38" s="2" t="s">
        <v>341</v>
      </c>
      <c r="I38" s="2" t="s">
        <v>85</v>
      </c>
      <c r="K38" s="2" t="s">
        <v>86</v>
      </c>
      <c r="L38" s="2" t="s">
        <v>1</v>
      </c>
      <c r="M38" s="2" t="s">
        <v>1</v>
      </c>
      <c r="N38" s="2" t="s">
        <v>724</v>
      </c>
      <c r="O38" s="2" t="s">
        <v>1</v>
      </c>
      <c r="P38" s="2" t="s">
        <v>1</v>
      </c>
      <c r="Q38" s="2" t="s">
        <v>1</v>
      </c>
      <c r="R38" s="2" t="s">
        <v>1</v>
      </c>
      <c r="S38" s="2" t="s">
        <v>728</v>
      </c>
      <c r="T38" s="2" t="s">
        <v>1</v>
      </c>
      <c r="U38" s="2" t="s">
        <v>1</v>
      </c>
      <c r="V38" s="2" t="s">
        <v>1</v>
      </c>
      <c r="W38" s="2" t="s">
        <v>1</v>
      </c>
      <c r="X38" s="2" t="s">
        <v>86</v>
      </c>
      <c r="Z38" s="2" t="s">
        <v>86</v>
      </c>
      <c r="AA38" s="2" t="s">
        <v>1</v>
      </c>
      <c r="AB38" s="2" t="s">
        <v>1</v>
      </c>
      <c r="AC38" s="2" t="s">
        <v>7</v>
      </c>
    </row>
    <row r="39" spans="1:29" x14ac:dyDescent="0.4">
      <c r="A39" s="2" t="s">
        <v>77</v>
      </c>
      <c r="B39" s="2" t="s">
        <v>78</v>
      </c>
      <c r="C39" s="2" t="s">
        <v>79</v>
      </c>
      <c r="D39" s="2" t="s">
        <v>80</v>
      </c>
      <c r="E39" s="2" t="s">
        <v>81</v>
      </c>
      <c r="F39" s="2" t="s">
        <v>82</v>
      </c>
      <c r="G39" s="2" t="s">
        <v>83</v>
      </c>
      <c r="H39" s="2" t="s">
        <v>84</v>
      </c>
      <c r="I39" s="2" t="s">
        <v>85</v>
      </c>
      <c r="K39" s="2" t="s">
        <v>86</v>
      </c>
      <c r="L39" s="2" t="s">
        <v>1</v>
      </c>
      <c r="M39" s="2" t="s">
        <v>1</v>
      </c>
      <c r="N39" s="2" t="s">
        <v>1</v>
      </c>
      <c r="O39" s="2" t="s">
        <v>87</v>
      </c>
      <c r="P39" s="2" t="s">
        <v>88</v>
      </c>
      <c r="Q39" s="2" t="s">
        <v>1</v>
      </c>
      <c r="R39" s="2" t="s">
        <v>1</v>
      </c>
      <c r="S39" s="2" t="s">
        <v>759</v>
      </c>
      <c r="T39" s="2" t="s">
        <v>1</v>
      </c>
      <c r="U39" s="2" t="s">
        <v>1</v>
      </c>
      <c r="V39" s="2" t="s">
        <v>1</v>
      </c>
      <c r="W39" s="2" t="s">
        <v>1</v>
      </c>
      <c r="X39" s="2" t="s">
        <v>86</v>
      </c>
      <c r="Z39" s="2" t="s">
        <v>86</v>
      </c>
      <c r="AA39" s="2" t="s">
        <v>1</v>
      </c>
      <c r="AB39" s="2" t="s">
        <v>90</v>
      </c>
      <c r="AC39" s="2" t="s">
        <v>1</v>
      </c>
    </row>
    <row r="40" spans="1:29" x14ac:dyDescent="0.4">
      <c r="A40" s="2" t="s">
        <v>323</v>
      </c>
      <c r="B40" s="2" t="s">
        <v>343</v>
      </c>
      <c r="C40" s="2" t="s">
        <v>344</v>
      </c>
      <c r="D40" s="2" t="s">
        <v>145</v>
      </c>
      <c r="E40" s="2" t="s">
        <v>345</v>
      </c>
      <c r="F40" s="2" t="s">
        <v>346</v>
      </c>
      <c r="G40" s="2" t="s">
        <v>125</v>
      </c>
      <c r="H40" s="2" t="s">
        <v>347</v>
      </c>
      <c r="I40" s="2" t="s">
        <v>85</v>
      </c>
      <c r="K40" s="2" t="s">
        <v>86</v>
      </c>
      <c r="L40" s="2" t="s">
        <v>1</v>
      </c>
      <c r="M40" s="2" t="s">
        <v>7</v>
      </c>
      <c r="N40" s="2" t="s">
        <v>1</v>
      </c>
      <c r="O40" s="2" t="s">
        <v>1</v>
      </c>
      <c r="P40" s="2" t="s">
        <v>1</v>
      </c>
      <c r="Q40" s="2" t="s">
        <v>1</v>
      </c>
      <c r="R40" s="2" t="s">
        <v>1</v>
      </c>
      <c r="S40" s="2" t="s">
        <v>760</v>
      </c>
      <c r="T40" s="2" t="s">
        <v>1</v>
      </c>
      <c r="U40" s="2" t="s">
        <v>1</v>
      </c>
      <c r="V40" s="2" t="s">
        <v>1</v>
      </c>
      <c r="W40" s="2" t="s">
        <v>1</v>
      </c>
      <c r="X40" s="2" t="s">
        <v>86</v>
      </c>
      <c r="Z40" s="2" t="s">
        <v>86</v>
      </c>
      <c r="AA40" s="2" t="s">
        <v>1</v>
      </c>
      <c r="AB40" s="2" t="s">
        <v>349</v>
      </c>
      <c r="AC40" s="2" t="s">
        <v>1</v>
      </c>
    </row>
    <row r="41" spans="1:29" x14ac:dyDescent="0.4">
      <c r="A41" s="2" t="s">
        <v>320</v>
      </c>
      <c r="B41" s="2" t="s">
        <v>343</v>
      </c>
      <c r="C41" s="2" t="s">
        <v>344</v>
      </c>
      <c r="D41" s="2" t="s">
        <v>350</v>
      </c>
      <c r="E41" s="2" t="s">
        <v>345</v>
      </c>
      <c r="F41" s="2" t="s">
        <v>227</v>
      </c>
      <c r="G41" s="2" t="s">
        <v>125</v>
      </c>
      <c r="H41" s="2" t="s">
        <v>351</v>
      </c>
      <c r="I41" s="2" t="s">
        <v>85</v>
      </c>
      <c r="K41" s="2" t="s">
        <v>86</v>
      </c>
      <c r="L41" s="2" t="s">
        <v>1</v>
      </c>
      <c r="M41" s="2" t="s">
        <v>1</v>
      </c>
      <c r="N41" s="2" t="s">
        <v>1</v>
      </c>
      <c r="O41" s="2" t="s">
        <v>1</v>
      </c>
      <c r="P41" s="2" t="s">
        <v>1</v>
      </c>
      <c r="Q41" s="2" t="s">
        <v>1</v>
      </c>
      <c r="R41" s="2" t="s">
        <v>1</v>
      </c>
      <c r="S41" s="2" t="s">
        <v>761</v>
      </c>
      <c r="T41" s="2" t="s">
        <v>1</v>
      </c>
      <c r="U41" s="2" t="s">
        <v>1</v>
      </c>
      <c r="V41" s="2" t="s">
        <v>1</v>
      </c>
      <c r="W41" s="2" t="s">
        <v>1</v>
      </c>
      <c r="X41" s="2" t="s">
        <v>86</v>
      </c>
      <c r="Z41" s="2" t="s">
        <v>86</v>
      </c>
      <c r="AA41" s="2" t="s">
        <v>1</v>
      </c>
      <c r="AB41" s="2" t="s">
        <v>1</v>
      </c>
      <c r="AC41" s="2" t="s">
        <v>7</v>
      </c>
    </row>
    <row r="42" spans="1:29" x14ac:dyDescent="0.4">
      <c r="A42" s="2" t="s">
        <v>321</v>
      </c>
      <c r="B42" s="2" t="s">
        <v>343</v>
      </c>
      <c r="C42" s="2" t="s">
        <v>344</v>
      </c>
      <c r="D42" s="2" t="s">
        <v>149</v>
      </c>
      <c r="E42" s="2" t="s">
        <v>345</v>
      </c>
      <c r="F42" s="2" t="s">
        <v>353</v>
      </c>
      <c r="G42" s="2" t="s">
        <v>125</v>
      </c>
      <c r="H42" s="2" t="s">
        <v>354</v>
      </c>
      <c r="I42" s="2" t="s">
        <v>85</v>
      </c>
      <c r="K42" s="2" t="s">
        <v>86</v>
      </c>
      <c r="L42" s="2" t="s">
        <v>1</v>
      </c>
      <c r="M42" s="2" t="s">
        <v>7</v>
      </c>
      <c r="N42" s="2" t="s">
        <v>1</v>
      </c>
      <c r="O42" s="2" t="s">
        <v>1</v>
      </c>
      <c r="P42" s="2" t="s">
        <v>1</v>
      </c>
      <c r="Q42" s="2" t="s">
        <v>1</v>
      </c>
      <c r="R42" s="2" t="s">
        <v>1</v>
      </c>
      <c r="S42" s="2" t="s">
        <v>762</v>
      </c>
      <c r="T42" s="2" t="s">
        <v>1</v>
      </c>
      <c r="U42" s="2" t="s">
        <v>1</v>
      </c>
      <c r="V42" s="2" t="s">
        <v>1</v>
      </c>
      <c r="W42" s="2" t="s">
        <v>1</v>
      </c>
      <c r="X42" s="2" t="s">
        <v>86</v>
      </c>
      <c r="Z42" s="2" t="s">
        <v>86</v>
      </c>
      <c r="AA42" s="2" t="s">
        <v>1</v>
      </c>
      <c r="AB42" s="2" t="s">
        <v>349</v>
      </c>
      <c r="AC42" s="2" t="s">
        <v>1</v>
      </c>
    </row>
    <row r="43" spans="1:29" x14ac:dyDescent="0.4">
      <c r="A43" s="2" t="s">
        <v>322</v>
      </c>
      <c r="B43" s="2" t="s">
        <v>343</v>
      </c>
      <c r="C43" s="2" t="s">
        <v>344</v>
      </c>
      <c r="D43" s="2" t="s">
        <v>154</v>
      </c>
      <c r="E43" s="2" t="s">
        <v>345</v>
      </c>
      <c r="F43" s="2" t="s">
        <v>356</v>
      </c>
      <c r="G43" s="2" t="s">
        <v>125</v>
      </c>
      <c r="H43" s="2" t="s">
        <v>357</v>
      </c>
      <c r="I43" s="2" t="s">
        <v>85</v>
      </c>
      <c r="K43" s="2" t="s">
        <v>86</v>
      </c>
      <c r="L43" s="2" t="s">
        <v>1</v>
      </c>
      <c r="M43" s="2" t="s">
        <v>7</v>
      </c>
      <c r="N43" s="2" t="s">
        <v>1</v>
      </c>
      <c r="O43" s="2" t="s">
        <v>1</v>
      </c>
      <c r="P43" s="2" t="s">
        <v>1</v>
      </c>
      <c r="Q43" s="2" t="s">
        <v>1</v>
      </c>
      <c r="R43" s="2" t="s">
        <v>1</v>
      </c>
      <c r="S43" s="2" t="s">
        <v>763</v>
      </c>
      <c r="T43" s="2" t="s">
        <v>1</v>
      </c>
      <c r="U43" s="2" t="s">
        <v>1</v>
      </c>
      <c r="V43" s="2" t="s">
        <v>1</v>
      </c>
      <c r="W43" s="2" t="s">
        <v>1</v>
      </c>
      <c r="X43" s="2" t="s">
        <v>86</v>
      </c>
      <c r="Z43" s="2" t="s">
        <v>86</v>
      </c>
      <c r="AA43" s="2" t="s">
        <v>1</v>
      </c>
      <c r="AB43" s="2" t="s">
        <v>349</v>
      </c>
      <c r="AC43" s="2" t="s">
        <v>1</v>
      </c>
    </row>
    <row r="44" spans="1:29" x14ac:dyDescent="0.4">
      <c r="A44" s="2" t="s">
        <v>325</v>
      </c>
      <c r="B44" s="2" t="s">
        <v>343</v>
      </c>
      <c r="C44" s="2" t="s">
        <v>344</v>
      </c>
      <c r="D44" s="2" t="s">
        <v>359</v>
      </c>
      <c r="E44" s="2" t="s">
        <v>345</v>
      </c>
      <c r="F44" s="2" t="s">
        <v>360</v>
      </c>
      <c r="G44" s="2" t="s">
        <v>125</v>
      </c>
      <c r="H44" s="2" t="s">
        <v>1</v>
      </c>
      <c r="I44" s="2" t="s">
        <v>85</v>
      </c>
      <c r="K44" s="2" t="s">
        <v>86</v>
      </c>
      <c r="L44" s="2" t="s">
        <v>1</v>
      </c>
      <c r="M44" s="2" t="s">
        <v>7</v>
      </c>
      <c r="N44" s="2" t="s">
        <v>1</v>
      </c>
      <c r="O44" s="2" t="s">
        <v>1</v>
      </c>
      <c r="P44" s="2" t="s">
        <v>1</v>
      </c>
      <c r="Q44" s="2" t="s">
        <v>1</v>
      </c>
      <c r="R44" s="2" t="s">
        <v>1</v>
      </c>
      <c r="S44" s="2" t="s">
        <v>764</v>
      </c>
      <c r="T44" s="2" t="s">
        <v>1</v>
      </c>
      <c r="U44" s="2" t="s">
        <v>1</v>
      </c>
      <c r="V44" s="2" t="s">
        <v>1</v>
      </c>
      <c r="W44" s="2" t="s">
        <v>1</v>
      </c>
      <c r="X44" s="2" t="s">
        <v>86</v>
      </c>
      <c r="Z44" s="2" t="s">
        <v>86</v>
      </c>
      <c r="AA44" s="2" t="s">
        <v>1</v>
      </c>
      <c r="AB44" s="2" t="s">
        <v>349</v>
      </c>
      <c r="AC44" s="2" t="s">
        <v>1</v>
      </c>
    </row>
    <row r="45" spans="1:29" x14ac:dyDescent="0.4">
      <c r="A45" s="2" t="s">
        <v>326</v>
      </c>
      <c r="B45" s="2" t="s">
        <v>362</v>
      </c>
      <c r="C45" s="2" t="s">
        <v>363</v>
      </c>
      <c r="D45" s="2" t="s">
        <v>364</v>
      </c>
      <c r="E45" s="2" t="s">
        <v>1</v>
      </c>
      <c r="F45" s="2" t="s">
        <v>365</v>
      </c>
      <c r="G45" s="2" t="s">
        <v>129</v>
      </c>
      <c r="H45" s="2" t="s">
        <v>629</v>
      </c>
      <c r="I45" s="2" t="s">
        <v>130</v>
      </c>
      <c r="K45" s="2" t="s">
        <v>86</v>
      </c>
      <c r="L45" s="2" t="s">
        <v>1</v>
      </c>
      <c r="M45" s="2" t="s">
        <v>7</v>
      </c>
      <c r="N45" s="2" t="s">
        <v>1</v>
      </c>
      <c r="O45" s="2" t="s">
        <v>1</v>
      </c>
      <c r="P45" s="2" t="s">
        <v>1</v>
      </c>
      <c r="Q45" s="2" t="s">
        <v>1</v>
      </c>
      <c r="R45" s="2" t="s">
        <v>1</v>
      </c>
      <c r="S45" s="2" t="s">
        <v>765</v>
      </c>
      <c r="T45" s="2" t="s">
        <v>1</v>
      </c>
      <c r="U45" s="2" t="s">
        <v>1</v>
      </c>
      <c r="V45" s="2" t="s">
        <v>1</v>
      </c>
      <c r="W45" s="2" t="s">
        <v>1</v>
      </c>
      <c r="X45" s="2" t="s">
        <v>86</v>
      </c>
      <c r="Z45" s="2" t="s">
        <v>86</v>
      </c>
      <c r="AA45" s="2" t="s">
        <v>1</v>
      </c>
      <c r="AB45" s="2" t="s">
        <v>1</v>
      </c>
      <c r="AC45" s="2" t="s">
        <v>1</v>
      </c>
    </row>
    <row r="46" spans="1:29" x14ac:dyDescent="0.4">
      <c r="A46" s="2" t="s">
        <v>327</v>
      </c>
      <c r="B46" s="2" t="s">
        <v>362</v>
      </c>
      <c r="C46" s="2" t="s">
        <v>363</v>
      </c>
      <c r="D46" s="2" t="s">
        <v>367</v>
      </c>
      <c r="E46" s="2" t="s">
        <v>1</v>
      </c>
      <c r="F46" s="2" t="s">
        <v>368</v>
      </c>
      <c r="G46" s="2" t="s">
        <v>125</v>
      </c>
      <c r="H46" s="2" t="s">
        <v>369</v>
      </c>
      <c r="I46" s="2" t="s">
        <v>85</v>
      </c>
      <c r="K46" s="2" t="s">
        <v>86</v>
      </c>
      <c r="L46" s="2" t="s">
        <v>1</v>
      </c>
      <c r="M46" s="2" t="s">
        <v>7</v>
      </c>
      <c r="N46" s="2" t="s">
        <v>1</v>
      </c>
      <c r="O46" s="2" t="s">
        <v>1</v>
      </c>
      <c r="P46" s="2" t="s">
        <v>1</v>
      </c>
      <c r="Q46" s="2" t="s">
        <v>1</v>
      </c>
      <c r="R46" s="2" t="s">
        <v>1</v>
      </c>
      <c r="S46" s="2" t="s">
        <v>766</v>
      </c>
      <c r="T46" s="2" t="s">
        <v>1</v>
      </c>
      <c r="U46" s="2" t="s">
        <v>1</v>
      </c>
      <c r="V46" s="2" t="s">
        <v>1</v>
      </c>
      <c r="W46" s="2" t="s">
        <v>1</v>
      </c>
      <c r="X46" s="2" t="s">
        <v>86</v>
      </c>
      <c r="Z46" s="2" t="s">
        <v>86</v>
      </c>
      <c r="AA46" s="2" t="s">
        <v>1</v>
      </c>
      <c r="AB46" s="2" t="s">
        <v>1</v>
      </c>
      <c r="AC46" s="2" t="s">
        <v>1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07356-5FFA-409E-8E66-D1F8E50AA2E3}">
  <dimension ref="A1:C54"/>
  <sheetViews>
    <sheetView workbookViewId="0"/>
  </sheetViews>
  <sheetFormatPr defaultRowHeight="18.75" x14ac:dyDescent="0.4"/>
  <sheetData>
    <row r="1" spans="1:1" x14ac:dyDescent="0.4">
      <c r="A1" s="2" t="s">
        <v>0</v>
      </c>
    </row>
    <row r="2" spans="1:1" x14ac:dyDescent="0.4">
      <c r="A2" s="2" t="s">
        <v>43</v>
      </c>
    </row>
    <row r="3" spans="1:1" x14ac:dyDescent="0.4">
      <c r="A3" s="2" t="s">
        <v>2</v>
      </c>
    </row>
    <row r="11" spans="1:1" x14ac:dyDescent="0.4">
      <c r="A11" s="2" t="s">
        <v>1</v>
      </c>
    </row>
    <row r="12" spans="1:1" x14ac:dyDescent="0.4">
      <c r="A12" s="2" t="s">
        <v>2</v>
      </c>
    </row>
    <row r="13" spans="1:1" x14ac:dyDescent="0.4">
      <c r="A13" s="2" t="s">
        <v>2</v>
      </c>
    </row>
    <row r="14" spans="1:1" x14ac:dyDescent="0.4">
      <c r="A14" s="2" t="s">
        <v>7</v>
      </c>
    </row>
    <row r="15" spans="1:1" x14ac:dyDescent="0.4">
      <c r="A15" s="2" t="s">
        <v>7</v>
      </c>
    </row>
    <row r="16" spans="1:1" x14ac:dyDescent="0.4">
      <c r="A16" s="2" t="s">
        <v>2</v>
      </c>
    </row>
    <row r="17" spans="1:3" x14ac:dyDescent="0.4">
      <c r="A17" s="2" t="s">
        <v>2</v>
      </c>
    </row>
    <row r="18" spans="1:3" x14ac:dyDescent="0.4">
      <c r="A18" s="2" t="s">
        <v>1</v>
      </c>
    </row>
    <row r="19" spans="1:3" x14ac:dyDescent="0.4">
      <c r="A19" s="2" t="s">
        <v>8</v>
      </c>
    </row>
    <row r="20" spans="1:3" x14ac:dyDescent="0.4">
      <c r="A20" s="2" t="s">
        <v>1</v>
      </c>
    </row>
    <row r="31" spans="1:3" x14ac:dyDescent="0.4">
      <c r="A31" s="2" t="s">
        <v>1</v>
      </c>
      <c r="B31" s="2" t="s">
        <v>1</v>
      </c>
      <c r="C31" s="2" t="s">
        <v>2</v>
      </c>
    </row>
    <row r="32" spans="1:3" x14ac:dyDescent="0.4">
      <c r="A32" s="2" t="s">
        <v>1</v>
      </c>
      <c r="B32" s="2" t="s">
        <v>1</v>
      </c>
      <c r="C32" s="2"/>
    </row>
    <row r="33" spans="1:3" x14ac:dyDescent="0.4">
      <c r="A33" s="2" t="s">
        <v>1</v>
      </c>
      <c r="B33" s="2"/>
      <c r="C33" s="2"/>
    </row>
    <row r="34" spans="1:3" x14ac:dyDescent="0.4">
      <c r="A34" s="2" t="s">
        <v>1</v>
      </c>
      <c r="B34" s="2"/>
      <c r="C34" s="2"/>
    </row>
    <row r="35" spans="1:3" x14ac:dyDescent="0.4">
      <c r="A35" s="2" t="s">
        <v>1</v>
      </c>
      <c r="B35" s="2"/>
      <c r="C35" s="2"/>
    </row>
    <row r="36" spans="1:3" x14ac:dyDescent="0.4">
      <c r="A36" s="2" t="s">
        <v>2</v>
      </c>
      <c r="B36" s="2"/>
      <c r="C36" s="2"/>
    </row>
    <row r="37" spans="1:3" x14ac:dyDescent="0.4">
      <c r="A37" s="2" t="s">
        <v>2</v>
      </c>
      <c r="B37" s="2"/>
      <c r="C37" s="2"/>
    </row>
    <row r="38" spans="1:3" x14ac:dyDescent="0.4">
      <c r="A38" s="2" t="s">
        <v>1</v>
      </c>
      <c r="B38" s="2"/>
      <c r="C38" s="2"/>
    </row>
    <row r="51" spans="1:1" x14ac:dyDescent="0.4">
      <c r="A51" s="2" t="s">
        <v>797</v>
      </c>
    </row>
    <row r="52" spans="1:1" x14ac:dyDescent="0.4">
      <c r="A52" s="2" t="s">
        <v>1</v>
      </c>
    </row>
    <row r="53" spans="1:1" x14ac:dyDescent="0.4">
      <c r="A53" s="2" t="s">
        <v>1</v>
      </c>
    </row>
    <row r="54" spans="1:1" x14ac:dyDescent="0.4">
      <c r="A54" s="2" t="s">
        <v>1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C5F4A-1B1A-4CC6-8B34-E8B0DBE508A4}">
  <dimension ref="B1:V42"/>
  <sheetViews>
    <sheetView tabSelected="1" view="pageBreakPreview" zoomScale="130" zoomScaleNormal="100" zoomScaleSheetLayoutView="130" workbookViewId="0">
      <selection activeCell="W21" sqref="W21"/>
    </sheetView>
  </sheetViews>
  <sheetFormatPr defaultRowHeight="18.75" x14ac:dyDescent="0.4"/>
  <cols>
    <col min="1" max="1" width="3.125" style="4" customWidth="1"/>
    <col min="2" max="2" width="8.25" style="4" customWidth="1"/>
    <col min="3" max="3" width="6.625" style="4" customWidth="1"/>
    <col min="4" max="4" width="5.25" style="4" customWidth="1"/>
    <col min="5" max="5" width="3.625" style="4" customWidth="1"/>
    <col min="6" max="6" width="2.5" style="4" customWidth="1"/>
    <col min="7" max="7" width="1.5" style="4" customWidth="1"/>
    <col min="8" max="8" width="6.875" style="4" customWidth="1"/>
    <col min="9" max="9" width="11.625" style="4" customWidth="1"/>
    <col min="10" max="10" width="4.625" style="4" customWidth="1"/>
    <col min="11" max="11" width="6.625" style="4" customWidth="1"/>
    <col min="12" max="12" width="4.625" style="4" customWidth="1"/>
    <col min="13" max="13" width="6.625" style="4" customWidth="1"/>
    <col min="14" max="14" width="4.875" style="4" hidden="1" customWidth="1"/>
    <col min="15" max="16" width="9" style="4" hidden="1" customWidth="1"/>
    <col min="17" max="17" width="4.875" style="4" hidden="1" customWidth="1"/>
    <col min="18" max="22" width="9" style="4" hidden="1" customWidth="1"/>
    <col min="23" max="23" width="3.125" style="4" customWidth="1"/>
    <col min="24" max="16384" width="9" style="4"/>
  </cols>
  <sheetData>
    <row r="1" spans="2:22" ht="3" customHeight="1" x14ac:dyDescent="0.4">
      <c r="F1" s="83" t="s">
        <v>41</v>
      </c>
      <c r="G1" s="83"/>
      <c r="H1" s="83"/>
      <c r="I1" s="83"/>
      <c r="N1" s="5"/>
      <c r="O1" s="5"/>
      <c r="P1" s="5"/>
      <c r="Q1" s="5"/>
      <c r="R1" s="5"/>
      <c r="S1" s="5"/>
      <c r="T1" s="5"/>
      <c r="U1" s="5"/>
      <c r="V1" s="5"/>
    </row>
    <row r="2" spans="2:22" ht="25.5" customHeight="1" x14ac:dyDescent="0.5">
      <c r="B2" s="6"/>
      <c r="C2" s="6"/>
      <c r="D2" s="6"/>
      <c r="E2" s="32"/>
      <c r="F2" s="84"/>
      <c r="G2" s="84"/>
      <c r="H2" s="84"/>
      <c r="I2" s="84"/>
      <c r="J2" s="17"/>
      <c r="N2" s="5"/>
      <c r="O2" s="5"/>
      <c r="P2" s="5"/>
      <c r="Q2" s="5"/>
      <c r="R2" s="5"/>
      <c r="S2" s="5"/>
      <c r="T2" s="5"/>
      <c r="U2" s="5"/>
      <c r="V2" s="5"/>
    </row>
    <row r="3" spans="2:22" ht="16.5" customHeight="1" x14ac:dyDescent="0.4">
      <c r="B3" s="19" t="s">
        <v>42</v>
      </c>
      <c r="C3" s="37" t="s">
        <v>107</v>
      </c>
      <c r="D3" s="37"/>
      <c r="E3" s="37"/>
      <c r="F3" s="37"/>
      <c r="G3" s="37"/>
      <c r="H3" s="85" t="s">
        <v>110</v>
      </c>
      <c r="I3" s="79" t="s">
        <v>115</v>
      </c>
      <c r="J3" s="38" t="s">
        <v>49</v>
      </c>
      <c r="K3" s="89" t="s">
        <v>116</v>
      </c>
      <c r="L3" s="38" t="s">
        <v>50</v>
      </c>
      <c r="M3" s="88" t="s">
        <v>117</v>
      </c>
      <c r="N3" s="5"/>
      <c r="O3" s="5"/>
      <c r="P3" s="5"/>
      <c r="Q3" s="5"/>
      <c r="R3" s="5"/>
      <c r="S3" s="5"/>
      <c r="T3" s="5"/>
      <c r="U3" s="5"/>
      <c r="V3" s="5"/>
    </row>
    <row r="4" spans="2:22" ht="16.5" customHeight="1" x14ac:dyDescent="0.4">
      <c r="B4" s="18" t="s">
        <v>47</v>
      </c>
      <c r="C4" s="37" t="s">
        <v>108</v>
      </c>
      <c r="D4" s="37"/>
      <c r="E4" s="37"/>
      <c r="F4" s="37"/>
      <c r="G4" s="37"/>
      <c r="H4" s="85"/>
      <c r="I4" s="79"/>
      <c r="J4" s="38"/>
      <c r="K4" s="89"/>
      <c r="L4" s="38"/>
      <c r="M4" s="88"/>
      <c r="N4" s="5"/>
      <c r="O4" s="5"/>
      <c r="P4" s="5"/>
      <c r="Q4" s="5"/>
      <c r="R4" s="5"/>
      <c r="S4" s="5"/>
      <c r="T4" s="5"/>
      <c r="U4" s="5"/>
      <c r="V4" s="5"/>
    </row>
    <row r="5" spans="2:22" ht="16.5" customHeight="1" x14ac:dyDescent="0.4">
      <c r="B5" s="58" t="s">
        <v>48</v>
      </c>
      <c r="C5" s="41" t="str">
        <f>O5&amp;" "&amp;Q5</f>
        <v>〒 ##患-者情報.本人情報.郵便番号</v>
      </c>
      <c r="D5" s="41"/>
      <c r="E5" s="41"/>
      <c r="F5" s="41"/>
      <c r="G5" s="41"/>
      <c r="H5" s="41"/>
      <c r="I5" s="59" t="str">
        <f>O6&amp;"　"&amp;P6</f>
        <v>緊急連絡先　##患者情報.連絡先.電話番号1</v>
      </c>
      <c r="J5" s="59"/>
      <c r="K5" s="59"/>
      <c r="L5" s="59"/>
      <c r="M5" s="59"/>
      <c r="N5" s="5"/>
      <c r="O5" s="7" t="s">
        <v>111</v>
      </c>
      <c r="P5" s="8" t="s">
        <v>112</v>
      </c>
      <c r="Q5" s="9" t="str">
        <f>IF(P5="","",REPLACE(P5, 4, 0, "-"))</f>
        <v>##患-者情報.本人情報.郵便番号</v>
      </c>
      <c r="R5" s="5"/>
      <c r="S5" s="5"/>
      <c r="T5" s="5"/>
      <c r="U5" s="5"/>
      <c r="V5" s="5"/>
    </row>
    <row r="6" spans="2:22" ht="16.5" customHeight="1" x14ac:dyDescent="0.4">
      <c r="B6" s="58"/>
      <c r="C6" s="71" t="s">
        <v>113</v>
      </c>
      <c r="D6" s="72"/>
      <c r="E6" s="72"/>
      <c r="F6" s="72"/>
      <c r="G6" s="72"/>
      <c r="H6" s="73"/>
      <c r="I6" s="38"/>
      <c r="J6" s="38"/>
      <c r="K6" s="38"/>
      <c r="L6" s="38"/>
      <c r="M6" s="38"/>
      <c r="N6" s="5"/>
      <c r="O6" s="7" t="s">
        <v>119</v>
      </c>
      <c r="P6" s="10" t="s">
        <v>120</v>
      </c>
      <c r="Q6" s="7"/>
      <c r="R6" s="5"/>
      <c r="S6" s="5"/>
      <c r="T6" s="5"/>
      <c r="U6" s="5"/>
      <c r="V6" s="5"/>
    </row>
    <row r="7" spans="2:22" ht="16.5" customHeight="1" x14ac:dyDescent="0.4">
      <c r="B7" s="58"/>
      <c r="C7" s="74"/>
      <c r="D7" s="75"/>
      <c r="E7" s="75"/>
      <c r="F7" s="75"/>
      <c r="G7" s="75"/>
      <c r="H7" s="76"/>
      <c r="I7" s="38"/>
      <c r="J7" s="38"/>
      <c r="K7" s="38"/>
      <c r="L7" s="38"/>
      <c r="M7" s="38"/>
      <c r="N7" s="5"/>
      <c r="O7" s="5"/>
      <c r="P7" s="5"/>
      <c r="Q7" s="5"/>
      <c r="R7" s="5"/>
      <c r="S7" s="5"/>
      <c r="T7" s="5"/>
      <c r="U7" s="5"/>
      <c r="V7" s="5"/>
    </row>
    <row r="8" spans="2:22" ht="16.5" customHeight="1" x14ac:dyDescent="0.4">
      <c r="B8" s="18" t="s">
        <v>51</v>
      </c>
      <c r="C8" s="37" t="s">
        <v>114</v>
      </c>
      <c r="D8" s="37"/>
      <c r="E8" s="37"/>
      <c r="F8" s="37"/>
      <c r="G8" s="37"/>
      <c r="H8" s="37"/>
      <c r="I8" s="38"/>
      <c r="J8" s="38"/>
      <c r="K8" s="38"/>
      <c r="L8" s="38"/>
      <c r="M8" s="38"/>
      <c r="N8" s="5"/>
      <c r="O8" s="5"/>
      <c r="P8" s="5"/>
      <c r="Q8" s="5"/>
      <c r="R8" s="5"/>
      <c r="S8" s="5"/>
      <c r="T8" s="5"/>
      <c r="U8" s="5"/>
      <c r="V8" s="5"/>
    </row>
    <row r="9" spans="2:22" ht="7.5" customHeight="1" x14ac:dyDescent="0.4"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5"/>
      <c r="O9" s="5"/>
      <c r="P9" s="5"/>
      <c r="Q9" s="5"/>
      <c r="R9" s="5"/>
      <c r="S9" s="5"/>
      <c r="T9" s="5"/>
      <c r="U9" s="5"/>
      <c r="V9" s="5"/>
    </row>
    <row r="10" spans="2:22" ht="16.5" customHeight="1" x14ac:dyDescent="0.4">
      <c r="B10" s="18" t="s">
        <v>52</v>
      </c>
      <c r="C10" s="37" t="s">
        <v>179</v>
      </c>
      <c r="D10" s="37"/>
      <c r="E10" s="37"/>
      <c r="F10" s="37"/>
      <c r="G10" s="37"/>
      <c r="H10" s="37"/>
      <c r="I10" s="18" t="s">
        <v>60</v>
      </c>
      <c r="J10" s="37" t="s">
        <v>186</v>
      </c>
      <c r="K10" s="37"/>
      <c r="L10" s="37"/>
      <c r="M10" s="37"/>
      <c r="N10" s="11"/>
      <c r="O10" s="5"/>
      <c r="P10" s="5"/>
      <c r="Q10" s="5"/>
      <c r="R10" s="5"/>
      <c r="S10" s="5"/>
      <c r="T10" s="5"/>
      <c r="U10" s="5"/>
      <c r="V10" s="5"/>
    </row>
    <row r="11" spans="2:22" ht="16.5" customHeight="1" x14ac:dyDescent="0.4">
      <c r="B11" s="18" t="s">
        <v>53</v>
      </c>
      <c r="C11" s="79" t="s">
        <v>180</v>
      </c>
      <c r="D11" s="79"/>
      <c r="E11" s="79"/>
      <c r="F11" s="79"/>
      <c r="G11" s="79"/>
      <c r="H11" s="79"/>
      <c r="I11" s="18" t="s">
        <v>61</v>
      </c>
      <c r="J11" s="37" t="s">
        <v>187</v>
      </c>
      <c r="K11" s="37"/>
      <c r="L11" s="37"/>
      <c r="M11" s="37"/>
      <c r="N11" s="11"/>
      <c r="O11" s="5"/>
      <c r="P11" s="5"/>
      <c r="Q11" s="5"/>
      <c r="R11" s="5"/>
      <c r="S11" s="5"/>
      <c r="T11" s="5"/>
      <c r="U11" s="5"/>
      <c r="V11" s="5"/>
    </row>
    <row r="12" spans="2:22" ht="16.5" customHeight="1" x14ac:dyDescent="0.4">
      <c r="B12" s="18" t="s">
        <v>54</v>
      </c>
      <c r="C12" s="37" t="s">
        <v>181</v>
      </c>
      <c r="D12" s="37"/>
      <c r="E12" s="37"/>
      <c r="F12" s="37"/>
      <c r="G12" s="37"/>
      <c r="H12" s="37"/>
      <c r="I12" s="18" t="s">
        <v>62</v>
      </c>
      <c r="J12" s="37" t="s">
        <v>188</v>
      </c>
      <c r="K12" s="37"/>
      <c r="L12" s="37"/>
      <c r="M12" s="37"/>
      <c r="N12" s="11"/>
      <c r="O12" s="5"/>
      <c r="P12" s="5"/>
      <c r="Q12" s="5"/>
      <c r="R12" s="5"/>
      <c r="S12" s="5"/>
      <c r="T12" s="5"/>
      <c r="U12" s="5"/>
      <c r="V12" s="5"/>
    </row>
    <row r="13" spans="2:22" ht="16.5" customHeight="1" x14ac:dyDescent="0.4">
      <c r="B13" s="18" t="s">
        <v>55</v>
      </c>
      <c r="C13" s="37" t="s">
        <v>182</v>
      </c>
      <c r="D13" s="37"/>
      <c r="E13" s="37"/>
      <c r="F13" s="37"/>
      <c r="G13" s="37"/>
      <c r="H13" s="37"/>
      <c r="I13" s="18" t="s">
        <v>63</v>
      </c>
      <c r="J13" s="41" t="str" cm="1">
        <f t="array" ref="J13">_xlfn.TEXTJOIN("・", TRUE, IF(P13:V13&lt;&gt;"", P13:V13, ""))</f>
        <v>#・#・指・示・.・透・析</v>
      </c>
      <c r="K13" s="41"/>
      <c r="L13" s="41"/>
      <c r="M13" s="41"/>
      <c r="N13" s="11"/>
      <c r="O13" s="12" t="s">
        <v>477</v>
      </c>
      <c r="P13" s="5" t="str">
        <f>IF(LEN($O13) &gt;= 1, MID($O13, 1, 1), "")</f>
        <v>#</v>
      </c>
      <c r="Q13" s="5" t="str">
        <f>IF(LEN($O13) &gt;= 2, MID($O13, 2, 1), "")</f>
        <v>#</v>
      </c>
      <c r="R13" s="5" t="str">
        <f>IF(LEN($O13) &gt;= 3, MID($O13, 3, 1), "")</f>
        <v>指</v>
      </c>
      <c r="S13" s="5" t="str">
        <f>IF(LEN($O13) &gt;= 4, MID($O13, 4, 1), "")</f>
        <v>示</v>
      </c>
      <c r="T13" s="5" t="str">
        <f>IF(LEN($O13) &gt;= 5, MID($O13, 5, 1), "")</f>
        <v>.</v>
      </c>
      <c r="U13" s="5" t="str">
        <f>IF(LEN($O13) &gt;= 6, MID($O13, 6, 1), "")</f>
        <v>透</v>
      </c>
      <c r="V13" s="5" t="str">
        <f>IF(LEN($O13) &gt;= 7, MID($O13, 7, 1), "")</f>
        <v>析</v>
      </c>
    </row>
    <row r="14" spans="2:22" ht="16.5" customHeight="1" x14ac:dyDescent="0.4">
      <c r="B14" s="58" t="s">
        <v>56</v>
      </c>
      <c r="C14" s="62" t="str">
        <f>N14&amp;" "&amp;O14</f>
        <v>##患者情報.感染症(+)(-)(不明).感染症 ##患者情報.感染症(+)(-)(不明).感染症結果</v>
      </c>
      <c r="D14" s="64"/>
      <c r="E14" s="62" t="str">
        <f>N17&amp;" "&amp;O17</f>
        <v xml:space="preserve"> </v>
      </c>
      <c r="F14" s="63"/>
      <c r="G14" s="63"/>
      <c r="H14" s="64"/>
      <c r="I14" s="18" t="s">
        <v>64</v>
      </c>
      <c r="J14" s="77" t="s">
        <v>191</v>
      </c>
      <c r="K14" s="77"/>
      <c r="L14" s="78"/>
      <c r="M14" s="13" t="s">
        <v>192</v>
      </c>
      <c r="N14" s="12" t="s">
        <v>491</v>
      </c>
      <c r="O14" s="12" t="s">
        <v>492</v>
      </c>
      <c r="P14" s="5"/>
      <c r="Q14" s="5"/>
      <c r="R14" s="5"/>
      <c r="S14" s="5"/>
      <c r="T14" s="5"/>
      <c r="U14" s="5"/>
      <c r="V14" s="5"/>
    </row>
    <row r="15" spans="2:22" ht="16.5" customHeight="1" x14ac:dyDescent="0.4">
      <c r="B15" s="58"/>
      <c r="C15" s="62" t="str">
        <f>N15&amp;" "&amp;O15</f>
        <v xml:space="preserve"> </v>
      </c>
      <c r="D15" s="64"/>
      <c r="E15" s="62" t="str">
        <f>N18&amp;" "&amp;O18</f>
        <v xml:space="preserve"> </v>
      </c>
      <c r="F15" s="63"/>
      <c r="G15" s="63"/>
      <c r="H15" s="64"/>
      <c r="I15" s="18" t="s">
        <v>65</v>
      </c>
      <c r="J15" s="86" t="s">
        <v>193</v>
      </c>
      <c r="K15" s="86"/>
      <c r="L15" s="87"/>
      <c r="M15" s="14" t="s">
        <v>194</v>
      </c>
      <c r="N15" s="5"/>
      <c r="O15" s="5"/>
      <c r="P15" s="5"/>
      <c r="Q15" s="5"/>
      <c r="R15" s="5"/>
      <c r="S15" s="5"/>
      <c r="T15" s="5"/>
      <c r="U15" s="5"/>
      <c r="V15" s="5"/>
    </row>
    <row r="16" spans="2:22" ht="16.5" customHeight="1" x14ac:dyDescent="0.4">
      <c r="B16" s="58"/>
      <c r="C16" s="62" t="str">
        <f>N16&amp;" "&amp;O16</f>
        <v xml:space="preserve"> </v>
      </c>
      <c r="D16" s="64"/>
      <c r="E16" s="62" t="str">
        <f>N19&amp;" "&amp;O19</f>
        <v xml:space="preserve"> </v>
      </c>
      <c r="F16" s="63"/>
      <c r="G16" s="63"/>
      <c r="H16" s="64"/>
      <c r="I16" s="18" t="s">
        <v>66</v>
      </c>
      <c r="J16" s="62" t="s">
        <v>195</v>
      </c>
      <c r="K16" s="63"/>
      <c r="L16" s="63"/>
      <c r="M16" s="64"/>
      <c r="N16" s="5"/>
      <c r="O16" s="5"/>
      <c r="P16" s="5"/>
      <c r="Q16" s="5"/>
      <c r="R16" s="5"/>
      <c r="S16" s="5"/>
      <c r="T16" s="5"/>
      <c r="U16" s="5"/>
      <c r="V16" s="5"/>
    </row>
    <row r="17" spans="2:22" ht="16.5" customHeight="1" x14ac:dyDescent="0.4">
      <c r="B17" s="18" t="s">
        <v>57</v>
      </c>
      <c r="C17" s="65" t="s">
        <v>529</v>
      </c>
      <c r="D17" s="66"/>
      <c r="E17" s="66"/>
      <c r="F17" s="66"/>
      <c r="G17" s="66"/>
      <c r="H17" s="67"/>
      <c r="I17" s="18" t="s">
        <v>67</v>
      </c>
      <c r="J17" s="60" t="s">
        <v>196</v>
      </c>
      <c r="K17" s="60"/>
      <c r="L17" s="61"/>
      <c r="M17" s="16" t="s">
        <v>197</v>
      </c>
      <c r="N17" s="5"/>
      <c r="O17" s="5"/>
      <c r="P17" s="5"/>
      <c r="Q17" s="5"/>
      <c r="R17" s="5"/>
      <c r="S17" s="5"/>
      <c r="T17" s="5"/>
      <c r="U17" s="5"/>
      <c r="V17" s="5"/>
    </row>
    <row r="18" spans="2:22" ht="16.5" customHeight="1" x14ac:dyDescent="0.4">
      <c r="B18" s="18" t="s">
        <v>58</v>
      </c>
      <c r="C18" s="68"/>
      <c r="D18" s="69"/>
      <c r="E18" s="69"/>
      <c r="F18" s="69"/>
      <c r="G18" s="69"/>
      <c r="H18" s="70"/>
      <c r="I18" s="18" t="s">
        <v>68</v>
      </c>
      <c r="J18" s="60" t="s">
        <v>198</v>
      </c>
      <c r="K18" s="60"/>
      <c r="L18" s="61"/>
      <c r="M18" s="16" t="s">
        <v>199</v>
      </c>
      <c r="N18" s="5"/>
      <c r="O18" s="5"/>
      <c r="P18" s="5"/>
      <c r="Q18" s="5"/>
      <c r="R18" s="5"/>
      <c r="S18" s="5"/>
      <c r="T18" s="5"/>
      <c r="U18" s="5"/>
      <c r="V18" s="5"/>
    </row>
    <row r="19" spans="2:22" ht="16.5" customHeight="1" x14ac:dyDescent="0.4">
      <c r="B19" s="44" t="s">
        <v>59</v>
      </c>
      <c r="C19" s="37" t="s">
        <v>463</v>
      </c>
      <c r="D19" s="37"/>
      <c r="E19" s="37"/>
      <c r="F19" s="37"/>
      <c r="G19" s="37"/>
      <c r="H19" s="37"/>
      <c r="I19" s="18" t="s">
        <v>69</v>
      </c>
      <c r="J19" s="81" t="s">
        <v>200</v>
      </c>
      <c r="K19" s="81"/>
      <c r="L19" s="82"/>
      <c r="M19" s="16" t="s">
        <v>197</v>
      </c>
      <c r="N19" s="5"/>
      <c r="O19" s="5"/>
      <c r="P19" s="5"/>
      <c r="Q19" s="5"/>
      <c r="R19" s="5"/>
      <c r="S19" s="5"/>
      <c r="T19" s="5"/>
      <c r="U19" s="5"/>
      <c r="V19" s="5"/>
    </row>
    <row r="20" spans="2:22" ht="16.5" customHeight="1" x14ac:dyDescent="0.4">
      <c r="B20" s="45"/>
      <c r="C20" s="38"/>
      <c r="D20" s="38"/>
      <c r="E20" s="38"/>
      <c r="F20" s="38"/>
      <c r="G20" s="38"/>
      <c r="H20" s="38"/>
      <c r="I20" s="18" t="s">
        <v>70</v>
      </c>
      <c r="J20" s="60" t="s">
        <v>615</v>
      </c>
      <c r="K20" s="60"/>
      <c r="L20" s="61"/>
      <c r="M20" s="15" t="s">
        <v>202</v>
      </c>
      <c r="N20" s="5"/>
      <c r="O20" s="5"/>
      <c r="P20" s="5"/>
      <c r="Q20" s="5"/>
      <c r="R20" s="5"/>
      <c r="S20" s="5"/>
      <c r="T20" s="5"/>
      <c r="U20" s="5"/>
      <c r="V20" s="5"/>
    </row>
    <row r="21" spans="2:22" ht="16.5" customHeight="1" x14ac:dyDescent="0.4">
      <c r="B21" s="45"/>
      <c r="C21" s="38"/>
      <c r="D21" s="38"/>
      <c r="E21" s="38"/>
      <c r="F21" s="38"/>
      <c r="G21" s="38"/>
      <c r="H21" s="38"/>
      <c r="I21" s="18" t="s">
        <v>71</v>
      </c>
      <c r="J21" s="81" t="s">
        <v>616</v>
      </c>
      <c r="K21" s="81"/>
      <c r="L21" s="82"/>
      <c r="M21" s="13" t="s">
        <v>204</v>
      </c>
      <c r="N21" s="5"/>
      <c r="O21" s="5"/>
      <c r="P21" s="5"/>
      <c r="Q21" s="5"/>
      <c r="R21" s="5"/>
      <c r="S21" s="5"/>
      <c r="T21" s="5"/>
      <c r="U21" s="5"/>
      <c r="V21" s="5"/>
    </row>
    <row r="22" spans="2:22" ht="16.5" customHeight="1" x14ac:dyDescent="0.4">
      <c r="B22" s="45"/>
      <c r="C22" s="38"/>
      <c r="D22" s="38"/>
      <c r="E22" s="38"/>
      <c r="F22" s="38"/>
      <c r="G22" s="38"/>
      <c r="H22" s="38"/>
      <c r="I22" s="18" t="s">
        <v>72</v>
      </c>
      <c r="J22" s="60" t="s">
        <v>796</v>
      </c>
      <c r="K22" s="60"/>
      <c r="L22" s="61"/>
      <c r="M22" s="13" t="s">
        <v>315</v>
      </c>
      <c r="N22" s="5"/>
      <c r="O22" s="5"/>
      <c r="P22" s="5"/>
      <c r="Q22" s="5"/>
      <c r="R22" s="5"/>
      <c r="S22" s="5"/>
      <c r="T22" s="5"/>
      <c r="U22" s="5"/>
      <c r="V22" s="5"/>
    </row>
    <row r="23" spans="2:22" ht="16.5" customHeight="1" x14ac:dyDescent="0.4">
      <c r="B23" s="45"/>
      <c r="C23" s="38"/>
      <c r="D23" s="38"/>
      <c r="E23" s="38"/>
      <c r="F23" s="38"/>
      <c r="G23" s="38"/>
      <c r="H23" s="38"/>
      <c r="I23" s="18" t="s">
        <v>73</v>
      </c>
      <c r="J23" s="41" t="s">
        <v>316</v>
      </c>
      <c r="K23" s="41"/>
      <c r="L23" s="41"/>
      <c r="M23" s="41"/>
      <c r="N23" s="5"/>
      <c r="O23" s="5"/>
      <c r="P23" s="5"/>
      <c r="Q23" s="5"/>
      <c r="R23" s="5"/>
      <c r="S23" s="5"/>
      <c r="T23" s="5"/>
      <c r="U23" s="5"/>
      <c r="V23" s="5"/>
    </row>
    <row r="24" spans="2:22" ht="16.5" customHeight="1" x14ac:dyDescent="0.4">
      <c r="B24" s="46"/>
      <c r="C24" s="38"/>
      <c r="D24" s="38"/>
      <c r="E24" s="38"/>
      <c r="F24" s="38"/>
      <c r="G24" s="38"/>
      <c r="H24" s="38"/>
      <c r="I24" s="18" t="s">
        <v>74</v>
      </c>
      <c r="J24" s="80" t="s">
        <v>317</v>
      </c>
      <c r="K24" s="80"/>
      <c r="L24" s="80"/>
      <c r="M24" s="80"/>
      <c r="N24" s="5"/>
      <c r="O24" s="5"/>
      <c r="P24" s="5"/>
      <c r="Q24" s="5"/>
      <c r="R24" s="5"/>
      <c r="S24" s="5"/>
      <c r="T24" s="5"/>
      <c r="U24" s="5"/>
      <c r="V24" s="5"/>
    </row>
    <row r="25" spans="2:22" ht="16.5" customHeight="1" x14ac:dyDescent="0.4">
      <c r="B25" s="47"/>
      <c r="C25" s="48"/>
      <c r="D25" s="48"/>
      <c r="E25" s="48"/>
      <c r="F25" s="48"/>
      <c r="G25" s="48"/>
      <c r="H25" s="49"/>
      <c r="I25" s="18" t="s">
        <v>75</v>
      </c>
      <c r="J25" s="41" t="s">
        <v>318</v>
      </c>
      <c r="K25" s="41"/>
      <c r="L25" s="41"/>
      <c r="M25" s="41"/>
      <c r="N25" s="5"/>
      <c r="O25" s="5"/>
      <c r="P25" s="5"/>
      <c r="Q25" s="5"/>
      <c r="R25" s="5"/>
      <c r="S25" s="5"/>
      <c r="T25" s="5"/>
      <c r="U25" s="5"/>
      <c r="V25" s="5"/>
    </row>
    <row r="26" spans="2:22" ht="16.5" customHeight="1" x14ac:dyDescent="0.4">
      <c r="B26" s="50"/>
      <c r="C26" s="51"/>
      <c r="D26" s="51"/>
      <c r="E26" s="51"/>
      <c r="F26" s="51"/>
      <c r="G26" s="51"/>
      <c r="H26" s="52"/>
      <c r="I26" s="20" t="s">
        <v>76</v>
      </c>
      <c r="J26" s="41" t="s">
        <v>319</v>
      </c>
      <c r="K26" s="41"/>
      <c r="L26" s="41"/>
      <c r="M26" s="41"/>
      <c r="N26" s="5"/>
      <c r="O26" s="5"/>
      <c r="P26" s="5"/>
      <c r="Q26" s="5"/>
      <c r="R26" s="5"/>
      <c r="S26" s="5"/>
      <c r="T26" s="5"/>
      <c r="U26" s="5"/>
      <c r="V26" s="5"/>
    </row>
    <row r="27" spans="2:22" ht="16.5" customHeight="1" x14ac:dyDescent="0.4">
      <c r="B27" s="53"/>
      <c r="C27" s="54"/>
      <c r="D27" s="54"/>
      <c r="E27" s="54"/>
      <c r="F27" s="54"/>
      <c r="G27" s="54"/>
      <c r="H27" s="55"/>
      <c r="I27" s="56" t="s">
        <v>77</v>
      </c>
      <c r="J27" s="57"/>
      <c r="K27" s="57"/>
      <c r="L27" s="57"/>
      <c r="M27" s="57"/>
      <c r="N27" s="5"/>
      <c r="O27" s="5"/>
      <c r="P27" s="5"/>
      <c r="Q27" s="5"/>
      <c r="R27" s="5"/>
      <c r="S27" s="5"/>
      <c r="T27" s="5"/>
      <c r="U27" s="5"/>
      <c r="V27" s="5"/>
    </row>
    <row r="28" spans="2:22" ht="16.5" customHeight="1" x14ac:dyDescent="0.4">
      <c r="B28" s="53"/>
      <c r="C28" s="54"/>
      <c r="D28" s="54"/>
      <c r="E28" s="54"/>
      <c r="F28" s="54"/>
      <c r="G28" s="54"/>
      <c r="H28" s="55"/>
      <c r="I28" s="56"/>
      <c r="J28" s="57"/>
      <c r="K28" s="57"/>
      <c r="L28" s="57"/>
      <c r="M28" s="57"/>
      <c r="N28" s="5"/>
      <c r="O28" s="5"/>
      <c r="P28" s="5"/>
      <c r="Q28" s="5"/>
      <c r="R28" s="5"/>
      <c r="S28" s="5"/>
      <c r="T28" s="5"/>
      <c r="U28" s="5"/>
      <c r="V28" s="5"/>
    </row>
    <row r="29" spans="2:22" ht="16.5" customHeight="1" x14ac:dyDescent="0.4">
      <c r="B29" s="53"/>
      <c r="C29" s="54"/>
      <c r="D29" s="54"/>
      <c r="E29" s="54"/>
      <c r="F29" s="54"/>
      <c r="G29" s="54"/>
      <c r="H29" s="55"/>
      <c r="I29" s="56"/>
      <c r="J29" s="57"/>
      <c r="K29" s="57"/>
      <c r="L29" s="57"/>
      <c r="M29" s="57"/>
      <c r="N29" s="5"/>
      <c r="O29" s="5"/>
      <c r="P29" s="5"/>
      <c r="Q29" s="5"/>
      <c r="R29" s="5"/>
      <c r="S29" s="5"/>
      <c r="T29" s="5"/>
      <c r="U29" s="5"/>
      <c r="V29" s="5"/>
    </row>
    <row r="30" spans="2:22" ht="16.5" customHeight="1" x14ac:dyDescent="0.4">
      <c r="B30" s="53"/>
      <c r="C30" s="54"/>
      <c r="D30" s="54"/>
      <c r="E30" s="54"/>
      <c r="F30" s="54"/>
      <c r="G30" s="54"/>
      <c r="H30" s="55"/>
      <c r="I30" s="56"/>
      <c r="J30" s="57"/>
      <c r="K30" s="57"/>
      <c r="L30" s="57"/>
      <c r="M30" s="57"/>
      <c r="N30" s="5"/>
      <c r="O30" s="5"/>
      <c r="P30" s="5"/>
      <c r="Q30" s="5"/>
      <c r="R30" s="5"/>
      <c r="S30" s="5"/>
      <c r="T30" s="5"/>
      <c r="U30" s="5"/>
      <c r="V30" s="5"/>
    </row>
    <row r="31" spans="2:22" ht="16.5" customHeight="1" x14ac:dyDescent="0.4">
      <c r="B31" s="53"/>
      <c r="C31" s="54"/>
      <c r="D31" s="54"/>
      <c r="E31" s="54"/>
      <c r="F31" s="54"/>
      <c r="G31" s="54"/>
      <c r="H31" s="55"/>
      <c r="I31" s="56"/>
      <c r="J31" s="57"/>
      <c r="K31" s="57"/>
      <c r="L31" s="57"/>
      <c r="M31" s="57"/>
      <c r="N31" s="5"/>
      <c r="O31" s="5"/>
      <c r="P31" s="5"/>
      <c r="Q31" s="5"/>
      <c r="R31" s="5"/>
      <c r="S31" s="5"/>
      <c r="T31" s="5"/>
      <c r="U31" s="5"/>
      <c r="V31" s="5"/>
    </row>
    <row r="32" spans="2:22" ht="16.5" customHeight="1" x14ac:dyDescent="0.4">
      <c r="B32" s="53"/>
      <c r="C32" s="54"/>
      <c r="D32" s="54"/>
      <c r="E32" s="54"/>
      <c r="F32" s="54"/>
      <c r="G32" s="54"/>
      <c r="H32" s="55"/>
      <c r="I32" s="56"/>
      <c r="J32" s="57"/>
      <c r="K32" s="57"/>
      <c r="L32" s="57"/>
      <c r="M32" s="57"/>
      <c r="N32" s="5"/>
      <c r="O32" s="5"/>
      <c r="P32" s="5"/>
      <c r="Q32" s="5"/>
      <c r="R32" s="5"/>
      <c r="S32" s="5"/>
      <c r="T32" s="5"/>
      <c r="U32" s="5"/>
      <c r="V32" s="5"/>
    </row>
    <row r="33" spans="2:22" ht="16.5" customHeight="1" x14ac:dyDescent="0.4">
      <c r="B33" s="53"/>
      <c r="C33" s="54"/>
      <c r="D33" s="54"/>
      <c r="E33" s="54"/>
      <c r="F33" s="54"/>
      <c r="G33" s="54"/>
      <c r="H33" s="55"/>
      <c r="I33" s="56"/>
      <c r="J33" s="57"/>
      <c r="K33" s="57"/>
      <c r="L33" s="57"/>
      <c r="M33" s="57"/>
      <c r="N33" s="5"/>
      <c r="O33" s="5"/>
      <c r="P33" s="5"/>
      <c r="Q33" s="5"/>
      <c r="R33" s="5"/>
      <c r="S33" s="5"/>
      <c r="T33" s="5"/>
      <c r="U33" s="5"/>
      <c r="V33" s="5"/>
    </row>
    <row r="34" spans="2:22" ht="16.5" customHeight="1" x14ac:dyDescent="0.4">
      <c r="B34" s="53"/>
      <c r="C34" s="54"/>
      <c r="D34" s="54"/>
      <c r="E34" s="54"/>
      <c r="F34" s="54"/>
      <c r="G34" s="54"/>
      <c r="H34" s="55"/>
      <c r="I34" s="56"/>
      <c r="J34" s="57"/>
      <c r="K34" s="57"/>
      <c r="L34" s="57"/>
      <c r="M34" s="57"/>
      <c r="N34" s="5"/>
      <c r="O34" s="5"/>
      <c r="P34" s="5"/>
      <c r="Q34" s="5"/>
      <c r="R34" s="5"/>
      <c r="S34" s="5"/>
      <c r="T34" s="5"/>
      <c r="U34" s="5"/>
      <c r="V34" s="5"/>
    </row>
    <row r="35" spans="2:22" ht="16.5" customHeight="1" x14ac:dyDescent="0.4">
      <c r="B35" s="53"/>
      <c r="C35" s="54"/>
      <c r="D35" s="54"/>
      <c r="E35" s="54"/>
      <c r="F35" s="54"/>
      <c r="G35" s="54"/>
      <c r="H35" s="55"/>
      <c r="I35" s="56"/>
      <c r="J35" s="57"/>
      <c r="K35" s="57"/>
      <c r="L35" s="57"/>
      <c r="M35" s="57"/>
      <c r="N35" s="5"/>
      <c r="O35" s="5"/>
      <c r="P35" s="5"/>
      <c r="Q35" s="5"/>
      <c r="R35" s="5"/>
      <c r="S35" s="5"/>
      <c r="T35" s="5"/>
      <c r="U35" s="5"/>
      <c r="V35" s="5"/>
    </row>
    <row r="36" spans="2:22" ht="16.5" customHeight="1" x14ac:dyDescent="0.4">
      <c r="B36" s="53"/>
      <c r="C36" s="54"/>
      <c r="D36" s="54"/>
      <c r="E36" s="54"/>
      <c r="F36" s="54"/>
      <c r="G36" s="54"/>
      <c r="H36" s="55"/>
      <c r="I36" s="56"/>
      <c r="J36" s="57"/>
      <c r="K36" s="57"/>
      <c r="L36" s="57"/>
      <c r="M36" s="57"/>
      <c r="N36" s="5"/>
      <c r="O36" s="5"/>
      <c r="P36" s="5"/>
      <c r="Q36" s="5"/>
      <c r="R36" s="5"/>
      <c r="S36" s="5"/>
      <c r="T36" s="5"/>
      <c r="U36" s="5"/>
      <c r="V36" s="5"/>
    </row>
    <row r="37" spans="2:22" ht="12.95" customHeight="1" x14ac:dyDescent="0.25">
      <c r="B37" s="43" t="s">
        <v>95</v>
      </c>
      <c r="C37" s="43"/>
      <c r="D37" s="43"/>
      <c r="E37" s="43"/>
      <c r="F37" s="43"/>
      <c r="G37" s="43"/>
      <c r="H37" s="43"/>
      <c r="I37" s="26"/>
      <c r="J37" s="27"/>
      <c r="K37" s="27"/>
      <c r="L37" s="27"/>
      <c r="M37" s="27"/>
      <c r="N37" s="5"/>
      <c r="O37" s="5"/>
      <c r="P37" s="5"/>
      <c r="Q37" s="5"/>
      <c r="R37" s="5"/>
      <c r="S37" s="5"/>
      <c r="T37" s="5"/>
      <c r="U37" s="5"/>
      <c r="V37" s="5"/>
    </row>
    <row r="38" spans="2:22" ht="12.95" customHeight="1" x14ac:dyDescent="0.4">
      <c r="B38" s="28" t="s">
        <v>604</v>
      </c>
      <c r="C38" s="28"/>
      <c r="D38" s="28"/>
      <c r="E38" s="28"/>
      <c r="F38" s="28"/>
      <c r="G38" s="28"/>
      <c r="H38" s="28"/>
      <c r="I38" s="29"/>
      <c r="J38" s="28"/>
      <c r="K38" s="28"/>
      <c r="L38" s="28"/>
      <c r="M38" s="28"/>
      <c r="N38" s="5"/>
      <c r="O38" s="5"/>
      <c r="P38" s="5"/>
      <c r="Q38" s="5"/>
      <c r="R38" s="5"/>
      <c r="S38" s="5"/>
      <c r="T38" s="5"/>
      <c r="U38" s="5"/>
      <c r="V38" s="5"/>
    </row>
    <row r="39" spans="2:22" ht="12.95" customHeight="1" x14ac:dyDescent="0.25">
      <c r="B39" s="31" t="s">
        <v>96</v>
      </c>
      <c r="C39" s="31"/>
      <c r="D39" s="30"/>
      <c r="E39" s="30"/>
      <c r="F39" s="35" t="s">
        <v>97</v>
      </c>
      <c r="G39" s="35"/>
      <c r="H39" s="35"/>
      <c r="I39" s="42" t="str">
        <f>N39&amp;" "&amp;O39</f>
        <v>〒 ##施設.施設情報.郵便番号</v>
      </c>
      <c r="J39" s="42"/>
      <c r="K39" s="42"/>
      <c r="L39" s="42"/>
      <c r="M39" s="42"/>
      <c r="N39" s="5" t="s">
        <v>324</v>
      </c>
      <c r="O39" s="10" t="s">
        <v>323</v>
      </c>
      <c r="P39" s="5"/>
      <c r="Q39" s="5"/>
      <c r="R39" s="5"/>
      <c r="S39" s="5"/>
      <c r="T39" s="5"/>
      <c r="U39" s="5"/>
      <c r="V39" s="5"/>
    </row>
    <row r="40" spans="2:22" ht="12.95" customHeight="1" x14ac:dyDescent="0.25">
      <c r="B40" s="36" t="s">
        <v>320</v>
      </c>
      <c r="C40" s="36"/>
      <c r="D40" s="21"/>
      <c r="E40" s="21"/>
      <c r="F40" s="35" t="s">
        <v>98</v>
      </c>
      <c r="G40" s="35"/>
      <c r="H40" s="35"/>
      <c r="I40" s="39" t="s">
        <v>321</v>
      </c>
      <c r="J40" s="39"/>
      <c r="K40" s="39"/>
      <c r="L40" s="39"/>
      <c r="M40" s="39"/>
      <c r="N40" s="5"/>
      <c r="O40" s="5"/>
      <c r="P40" s="5"/>
      <c r="Q40" s="5"/>
      <c r="R40" s="5"/>
      <c r="S40" s="5"/>
      <c r="T40" s="5"/>
      <c r="U40" s="5"/>
      <c r="V40" s="5"/>
    </row>
    <row r="41" spans="2:22" ht="12.95" customHeight="1" x14ac:dyDescent="0.4">
      <c r="B41" s="33"/>
      <c r="C41" s="33"/>
      <c r="D41" s="22"/>
      <c r="E41" s="22"/>
      <c r="F41" s="35" t="s">
        <v>99</v>
      </c>
      <c r="G41" s="35"/>
      <c r="H41" s="35"/>
      <c r="I41" s="39" t="s">
        <v>322</v>
      </c>
      <c r="J41" s="39"/>
      <c r="K41" s="24" t="s">
        <v>100</v>
      </c>
      <c r="L41" s="39" t="s">
        <v>325</v>
      </c>
      <c r="M41" s="39"/>
      <c r="N41" s="5"/>
      <c r="O41" s="5"/>
      <c r="P41" s="5"/>
      <c r="Q41" s="5"/>
      <c r="R41" s="5"/>
      <c r="S41" s="5"/>
      <c r="T41" s="5"/>
      <c r="U41" s="5"/>
      <c r="V41" s="5"/>
    </row>
    <row r="42" spans="2:22" ht="12.95" customHeight="1" x14ac:dyDescent="0.4">
      <c r="B42" s="34"/>
      <c r="C42" s="34"/>
      <c r="D42" s="23"/>
      <c r="E42" s="25" t="s">
        <v>790</v>
      </c>
      <c r="F42" s="40" t="s">
        <v>326</v>
      </c>
      <c r="G42" s="40"/>
      <c r="H42" s="40"/>
      <c r="I42" s="40"/>
      <c r="J42" s="40"/>
      <c r="K42" s="24" t="s">
        <v>101</v>
      </c>
      <c r="L42" s="39" t="s">
        <v>327</v>
      </c>
      <c r="M42" s="39"/>
      <c r="N42" s="5"/>
      <c r="O42" s="5"/>
      <c r="P42" s="5"/>
      <c r="Q42" s="5"/>
      <c r="R42" s="5"/>
      <c r="S42" s="5"/>
      <c r="T42" s="5"/>
      <c r="U42" s="5"/>
      <c r="V42" s="5"/>
    </row>
  </sheetData>
  <mergeCells count="74">
    <mergeCell ref="F1:I2"/>
    <mergeCell ref="H3:H4"/>
    <mergeCell ref="C3:G3"/>
    <mergeCell ref="C4:G4"/>
    <mergeCell ref="J15:L15"/>
    <mergeCell ref="K8:M8"/>
    <mergeCell ref="J12:M12"/>
    <mergeCell ref="M3:M4"/>
    <mergeCell ref="I7:J7"/>
    <mergeCell ref="L3:L4"/>
    <mergeCell ref="I3:I4"/>
    <mergeCell ref="J3:J4"/>
    <mergeCell ref="K3:K4"/>
    <mergeCell ref="K6:M6"/>
    <mergeCell ref="K7:M7"/>
    <mergeCell ref="C15:D15"/>
    <mergeCell ref="J26:M26"/>
    <mergeCell ref="J14:L14"/>
    <mergeCell ref="C11:H11"/>
    <mergeCell ref="J13:M13"/>
    <mergeCell ref="C12:H12"/>
    <mergeCell ref="C13:H13"/>
    <mergeCell ref="J20:L20"/>
    <mergeCell ref="J24:M24"/>
    <mergeCell ref="J25:M25"/>
    <mergeCell ref="J19:L19"/>
    <mergeCell ref="J22:L22"/>
    <mergeCell ref="J21:L21"/>
    <mergeCell ref="B9:M9"/>
    <mergeCell ref="C14:D14"/>
    <mergeCell ref="E14:H14"/>
    <mergeCell ref="J10:M10"/>
    <mergeCell ref="J11:M11"/>
    <mergeCell ref="C10:H10"/>
    <mergeCell ref="B5:B7"/>
    <mergeCell ref="I5:M5"/>
    <mergeCell ref="J17:L17"/>
    <mergeCell ref="J18:L18"/>
    <mergeCell ref="B14:B16"/>
    <mergeCell ref="J16:M16"/>
    <mergeCell ref="C17:H17"/>
    <mergeCell ref="C18:H18"/>
    <mergeCell ref="C16:D16"/>
    <mergeCell ref="E15:H15"/>
    <mergeCell ref="E16:H16"/>
    <mergeCell ref="I6:J6"/>
    <mergeCell ref="C8:H8"/>
    <mergeCell ref="C5:H5"/>
    <mergeCell ref="C6:H7"/>
    <mergeCell ref="I8:J8"/>
    <mergeCell ref="L42:M42"/>
    <mergeCell ref="I41:J41"/>
    <mergeCell ref="I40:M40"/>
    <mergeCell ref="F42:J42"/>
    <mergeCell ref="J23:M23"/>
    <mergeCell ref="I39:M39"/>
    <mergeCell ref="F39:H39"/>
    <mergeCell ref="L41:M41"/>
    <mergeCell ref="F40:H40"/>
    <mergeCell ref="B37:H37"/>
    <mergeCell ref="C23:H23"/>
    <mergeCell ref="B19:B24"/>
    <mergeCell ref="B25:H25"/>
    <mergeCell ref="B26:H36"/>
    <mergeCell ref="C24:H24"/>
    <mergeCell ref="I27:M36"/>
    <mergeCell ref="B41:C41"/>
    <mergeCell ref="B42:C42"/>
    <mergeCell ref="F41:H41"/>
    <mergeCell ref="B40:C40"/>
    <mergeCell ref="C19:H19"/>
    <mergeCell ref="C20:H20"/>
    <mergeCell ref="C21:H21"/>
    <mergeCell ref="C22:H22"/>
  </mergeCells>
  <phoneticPr fontId="1"/>
  <pageMargins left="0.70866141732283472" right="0.70866141732283472" top="0.74803149606299213" bottom="0.74803149606299213" header="0.31496062992125984" footer="0.31496062992125984"/>
  <pageSetup paperSize="9" scale="106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A6D4543145724180696487D743FC46" ma:contentTypeVersion="16" ma:contentTypeDescription="新しいドキュメントを作成します。" ma:contentTypeScope="" ma:versionID="15f4f4717138a03f16807162298d82b8">
  <xsd:schema xmlns:xsd="http://www.w3.org/2001/XMLSchema" xmlns:xs="http://www.w3.org/2001/XMLSchema" xmlns:p="http://schemas.microsoft.com/office/2006/metadata/properties" xmlns:ns2="69bd1c32-15f9-417b-a931-9141d9ec92c0" xmlns:ns3="c150e9fd-535a-4b9a-a5f4-a818706e335b" targetNamespace="http://schemas.microsoft.com/office/2006/metadata/properties" ma:root="true" ma:fieldsID="815784c6b291c32c3f18a55b98f2dce2" ns2:_="" ns3:_="">
    <xsd:import namespace="69bd1c32-15f9-417b-a931-9141d9ec92c0"/>
    <xsd:import namespace="c150e9fd-535a-4b9a-a5f4-a818706e3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5fa9__x5143__x514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1c32-15f9-417b-a931-9141d9ec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fa9__x5143__x5143_" ma:index="21" nillable="true" ma:displayName="復元元" ma:format="Dropdown" ma:internalName="_x5fa9__x5143__x5143_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e9fd-535a-4b9a-a5f4-a818706e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e8a858-461c-404a-bfdb-6bc61694b6af}" ma:internalName="TaxCatchAll" ma:showField="CatchAllData" ma:web="c150e9fd-535a-4b9a-a5f4-a818706e3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d1c32-15f9-417b-a931-9141d9ec92c0">
      <Terms xmlns="http://schemas.microsoft.com/office/infopath/2007/PartnerControls"/>
    </lcf76f155ced4ddcb4097134ff3c332f>
    <TaxCatchAll xmlns="c150e9fd-535a-4b9a-a5f4-a818706e335b" xsi:nil="true"/>
    <_x5fa9__x5143__x5143_ xmlns="69bd1c32-15f9-417b-a931-9141d9ec92c0" xsi:nil="true"/>
  </documentManagement>
</p:properties>
</file>

<file path=customXml/itemProps1.xml><?xml version="1.0" encoding="utf-8"?>
<ds:datastoreItem xmlns:ds="http://schemas.openxmlformats.org/officeDocument/2006/customXml" ds:itemID="{D5401630-BCD1-423E-BA8B-330E6C18C5AE}"/>
</file>

<file path=customXml/itemProps2.xml><?xml version="1.0" encoding="utf-8"?>
<ds:datastoreItem xmlns:ds="http://schemas.openxmlformats.org/officeDocument/2006/customXml" ds:itemID="{38976FA4-1E29-4AC9-9EB4-D2A480E7DF84}"/>
</file>

<file path=customXml/itemProps3.xml><?xml version="1.0" encoding="utf-8"?>
<ds:datastoreItem xmlns:ds="http://schemas.openxmlformats.org/officeDocument/2006/customXml" ds:itemID="{8F2DC7E8-A336-4CE3-839D-16E07495A1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レイアウト</vt:lpstr>
      <vt:lpstr>レイアウト!Print_Area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内野 裕輝</dc:creator>
  <cp:lastModifiedBy>内野 裕輝</cp:lastModifiedBy>
  <cp:lastPrinted>2025-10-21T00:42:19Z</cp:lastPrinted>
  <dcterms:created xsi:type="dcterms:W3CDTF">2025-05-11T23:42:03Z</dcterms:created>
  <dcterms:modified xsi:type="dcterms:W3CDTF">2026-01-13T23:37:26Z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0x0101007FA6D4543145724180696487D743FC46</vt:lpwstr>
  </property>
</Properties>
</file>