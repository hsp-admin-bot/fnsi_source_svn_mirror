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55100\Desktop\紹介状workデータ\(標準)紹介状_014\20251021 1054_NKKSBR\"/>
    </mc:Choice>
  </mc:AlternateContent>
  <xr:revisionPtr revIDLastSave="0" documentId="13_ncr:1_{646D2713-B892-4276-8E29-9ABF55F7DC00}" xr6:coauthVersionLast="47" xr6:coauthVersionMax="47" xr10:uidLastSave="{00000000-0000-0000-0000-000000000000}"/>
  <bookViews>
    <workbookView xWindow="28680" yWindow="0" windowWidth="29040" windowHeight="15720" firstSheet="4" activeTab="4" xr2:uid="{91F0BB93-1A31-4D00-82AF-DF8B149B9800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3" i="2" l="1"/>
  <c r="Y13" i="2"/>
  <c r="X13" i="2"/>
  <c r="W13" i="2"/>
  <c r="V13" i="2"/>
  <c r="J10" i="2"/>
  <c r="J11" i="2"/>
  <c r="J12" i="2"/>
  <c r="J13" i="2"/>
  <c r="J14" i="2"/>
  <c r="J15" i="2"/>
  <c r="J9" i="2"/>
  <c r="F6" i="2"/>
  <c r="B5" i="2"/>
  <c r="B13" i="2" l="1" a="1"/>
  <c r="B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<sst xmlns="http://schemas.openxmlformats.org/spreadsheetml/2006/main" count="3164" uniqueCount="647">
  <si>
    <t>ReferralLetter</t>
  </si>
  <si>
    <t/>
  </si>
  <si>
    <t>0</t>
  </si>
  <si>
    <t>120386</t>
  </si>
  <si>
    <t>2023/09/25 15:52:51</t>
  </si>
  <si>
    <t>帳票設定</t>
  </si>
  <si>
    <t xml:space="preserve">有り_x000D_
</t>
  </si>
  <si>
    <t>フリガナ</t>
    <phoneticPr fontId="1"/>
  </si>
  <si>
    <t>住 所</t>
    <rPh sb="0" eb="1">
      <t>ジュウ</t>
    </rPh>
    <rPh sb="2" eb="3">
      <t>ショ</t>
    </rPh>
    <phoneticPr fontId="1"/>
  </si>
  <si>
    <t>氏 名</t>
    <rPh sb="0" eb="1">
      <t>シ</t>
    </rPh>
    <rPh sb="2" eb="3">
      <t>ナ</t>
    </rPh>
    <phoneticPr fontId="1"/>
  </si>
  <si>
    <t>緊急連絡者</t>
    <rPh sb="0" eb="2">
      <t>キンキュウ</t>
    </rPh>
    <rPh sb="2" eb="4">
      <t>レンラク</t>
    </rPh>
    <rPh sb="4" eb="5">
      <t>シャ</t>
    </rPh>
    <phoneticPr fontId="1"/>
  </si>
  <si>
    <t>透析導入日</t>
    <rPh sb="0" eb="2">
      <t>トウセキ</t>
    </rPh>
    <rPh sb="2" eb="4">
      <t>ドウニュウ</t>
    </rPh>
    <rPh sb="4" eb="5">
      <t>ビ</t>
    </rPh>
    <phoneticPr fontId="1"/>
  </si>
  <si>
    <t>DW</t>
    <phoneticPr fontId="1"/>
  </si>
  <si>
    <t>CTR</t>
    <phoneticPr fontId="1"/>
  </si>
  <si>
    <t>治療方法</t>
    <rPh sb="0" eb="2">
      <t>チリョウ</t>
    </rPh>
    <rPh sb="2" eb="4">
      <t>ホウホウ</t>
    </rPh>
    <phoneticPr fontId="1"/>
  </si>
  <si>
    <t>透析日</t>
    <rPh sb="0" eb="2">
      <t>トウセキ</t>
    </rPh>
    <rPh sb="2" eb="3">
      <t>ビ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</si>
  <si>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</si>
  <si>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ﾜﾝｼｮｯﾄ量</t>
    <rPh sb="6" eb="7">
      <t>リョウ</t>
    </rPh>
    <phoneticPr fontId="1"/>
  </si>
  <si>
    <t>持続速度</t>
    <rPh sb="0" eb="2">
      <t>ジゾク</t>
    </rPh>
    <rPh sb="2" eb="4">
      <t>ソクド</t>
    </rPh>
    <phoneticPr fontId="1"/>
  </si>
  <si>
    <t>ﾀﾞｲｱﾗｲｻﾞ</t>
    <phoneticPr fontId="1"/>
  </si>
  <si>
    <t>血流量</t>
    <rPh sb="0" eb="2">
      <t>ケツリュウ</t>
    </rPh>
    <rPh sb="2" eb="3">
      <t>リョウ</t>
    </rPh>
    <phoneticPr fontId="1"/>
  </si>
  <si>
    <t>投与薬剤</t>
    <rPh sb="0" eb="2">
      <t>トウヨ</t>
    </rPh>
    <rPh sb="2" eb="4">
      <t>ヤクザイ</t>
    </rPh>
    <phoneticPr fontId="1"/>
  </si>
  <si>
    <t>薬剤名</t>
    <rPh sb="0" eb="2">
      <t>ヤクザイ</t>
    </rPh>
    <rPh sb="2" eb="3">
      <t>メイ</t>
    </rPh>
    <phoneticPr fontId="1"/>
  </si>
  <si>
    <t>備考</t>
    <rPh sb="0" eb="2">
      <t>ビコウ</t>
    </rPh>
    <phoneticPr fontId="1"/>
  </si>
  <si>
    <t>％</t>
    <phoneticPr fontId="1"/>
  </si>
  <si>
    <t>連絡先</t>
    <rPh sb="0" eb="3">
      <t>レンラクサキ</t>
    </rPh>
    <phoneticPr fontId="1"/>
  </si>
  <si>
    <t>生年月日</t>
    <rPh sb="0" eb="2">
      <t>セイネン</t>
    </rPh>
    <rPh sb="2" eb="4">
      <t>ガッピ</t>
    </rPh>
    <phoneticPr fontId="1"/>
  </si>
  <si>
    <t>VA</t>
    <phoneticPr fontId="1"/>
  </si>
  <si>
    <t>穿刺針_A針</t>
    <rPh sb="0" eb="2">
      <t>センシ</t>
    </rPh>
    <rPh sb="2" eb="3">
      <t>バリ</t>
    </rPh>
    <rPh sb="5" eb="6">
      <t>ハリ</t>
    </rPh>
    <phoneticPr fontId="1"/>
  </si>
  <si>
    <t>透析液</t>
    <rPh sb="0" eb="2">
      <t>トウセキ</t>
    </rPh>
    <rPh sb="2" eb="3">
      <t>エキ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</si>
  <si>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</si>
  <si>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</si>
  <si>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血液型</t>
    <rPh sb="0" eb="3">
      <t>ケツエキガタ</t>
    </rPh>
    <phoneticPr fontId="1"/>
  </si>
  <si>
    <t>電話番号</t>
    <rPh sb="0" eb="2">
      <t>デンワ</t>
    </rPh>
    <rPh sb="2" eb="4">
      <t>バンゴウ</t>
    </rPh>
    <phoneticPr fontId="1"/>
  </si>
  <si>
    <t>感染症</t>
    <rPh sb="0" eb="3">
      <t>カンセンショウ</t>
    </rPh>
    <phoneticPr fontId="1"/>
  </si>
  <si>
    <t>薬剤アレルギー・禁忌</t>
    <rPh sb="0" eb="2">
      <t>ヤクザイ</t>
    </rPh>
    <rPh sb="8" eb="10">
      <t>キンキ</t>
    </rPh>
    <phoneticPr fontId="1"/>
  </si>
  <si>
    <t>穿刺針_V針</t>
    <rPh sb="0" eb="2">
      <t>センシ</t>
    </rPh>
    <rPh sb="2" eb="3">
      <t>バリ</t>
    </rPh>
    <rPh sb="5" eb="6">
      <t>ハリ</t>
    </rPh>
    <phoneticPr fontId="1"/>
  </si>
  <si>
    <t>(撮影時体重</t>
    <rPh sb="1" eb="3">
      <t>サツエイ</t>
    </rPh>
    <rPh sb="3" eb="4">
      <t>ジ</t>
    </rPh>
    <rPh sb="4" eb="6">
      <t>タイジュウ</t>
    </rPh>
    <phoneticPr fontId="1"/>
  </si>
  <si>
    <t xml:space="preserve"> Kg</t>
    <phoneticPr fontId="1"/>
  </si>
  <si>
    <t xml:space="preserve"> ml/min</t>
    <phoneticPr fontId="1"/>
  </si>
  <si>
    <t>1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</si>
  <si>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</si>
  <si>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</si>
  <si>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</si>
  <si>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</si>
  <si>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</si>
  <si>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</si>
  <si>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</si>
  <si>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</si>
  <si>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</si>
  <si>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</si>
  <si>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</si>
  <si>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</si>
  <si>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</si>
  <si>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</si>
  <si>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</si>
  <si>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</si>
  <si>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</si>
  <si>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</si>
  <si>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</si>
  <si>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</si>
  <si>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</si>
  <si>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</si>
  <si>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</si>
  <si>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</si>
  <si>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</si>
  <si>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</si>
  <si>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GroupPath</t>
  </si>
  <si>
    <t>RepeatCount</t>
  </si>
  <si>
    <t>2023/09/25 16:26:21</t>
  </si>
  <si>
    <t>集計設定</t>
  </si>
  <si>
    <t xml:space="preserve">縦の合計: ⇒ 0_x000D_
横の合計: ⇒ 0_x000D_
</t>
  </si>
  <si>
    <t>##患者情報.基本情報.氏名</t>
  </si>
  <si>
    <t>##患者情報.基本情報.氏名フリガナ</t>
  </si>
  <si>
    <t>##患者情報.基本情報.生年月日</t>
  </si>
  <si>
    <t>##患者情報.基本情報.年齢</t>
  </si>
  <si>
    <t>##患者情報.基本情報.性別</t>
  </si>
  <si>
    <t>##患者情報.基本情報.血液型ABORH</t>
  </si>
  <si>
    <t>##患者情報.本人連絡先.郵便番号</t>
  </si>
  <si>
    <t>##患者情報.本人連絡先.住所・番地・マンション</t>
  </si>
  <si>
    <t>##患者情報.本人連絡先.電話番号1</t>
  </si>
  <si>
    <t>##患者情報.緊急連絡先.氏名</t>
  </si>
  <si>
    <t>##患者情報.緊急連絡先.電話番号1</t>
  </si>
  <si>
    <t>##患者情報.緊急連絡先.住所・番地・マンション</t>
  </si>
  <si>
    <t>##患者情報.緊急連絡先.郵便番号</t>
  </si>
  <si>
    <t>##患者情報.既往歴.透析導入日</t>
  </si>
  <si>
    <t>##指示.透析条件.DW</t>
  </si>
  <si>
    <t>##患者情報.CTR・DW履歴(昇順).CTR</t>
  </si>
  <si>
    <t>##患者情報.CTR・DW履歴(昇順).測定時体重</t>
  </si>
  <si>
    <t>##患者情報.CTR・DW履歴(昇順).検査日時</t>
  </si>
  <si>
    <t>##指示.透析条件.治療方法</t>
  </si>
  <si>
    <t>時間</t>
    <rPh sb="0" eb="2">
      <t>ジカン</t>
    </rPh>
    <phoneticPr fontId="1"/>
  </si>
  <si>
    <t>回</t>
    <rPh sb="0" eb="1">
      <t>カイ</t>
    </rPh>
    <phoneticPr fontId="1"/>
  </si>
  <si>
    <t>週</t>
    <rPh sb="0" eb="1">
      <t>シュウ</t>
    </rPh>
    <phoneticPr fontId="1"/>
  </si>
  <si>
    <t>撮影</t>
    <phoneticPr fontId="1"/>
  </si>
  <si>
    <t>Kg)</t>
    <phoneticPr fontId="1"/>
  </si>
  <si>
    <t>##=[##指示.透析予定.透析時間(分)]/60</t>
  </si>
  <si>
    <t>##指示.透析パターン.透析パターン回数</t>
  </si>
  <si>
    <t>##指示.透析パターン.透析パターン曜日</t>
  </si>
  <si>
    <t>##指示.透析条件.抗凝固剤</t>
  </si>
  <si>
    <t>##指示.透析条件.抗凝固剤総量</t>
  </si>
  <si>
    <t>##指示.透析条件.抗凝固剤単位</t>
  </si>
  <si>
    <t>##指示.透析条件.抗凝固剤ワンショット量</t>
  </si>
  <si>
    <t>##指示.透析条件.抗凝固剤持続速度</t>
  </si>
  <si>
    <t>##指示.透析条件.抗凝固剤持続速度単位</t>
  </si>
  <si>
    <t>##指示.透析条件.抗凝固剤持続速度単位</t>
    <phoneticPr fontId="1"/>
  </si>
  <si>
    <t>##指示.透析条件.抗凝固剤単位</t>
    <phoneticPr fontId="1"/>
  </si>
  <si>
    <t>##指示.透析条件.ダイアライザ</t>
  </si>
  <si>
    <t>##指示.透析条件.血流量</t>
  </si>
  <si>
    <t>##印刷情報.共通情報.記載日</t>
  </si>
  <si>
    <t>記載日：</t>
    <rPh sb="0" eb="2">
      <t>キサイ</t>
    </rPh>
    <rPh sb="2" eb="3">
      <t>ビ</t>
    </rPh>
    <phoneticPr fontId="1"/>
  </si>
  <si>
    <t>電話番号</t>
    <rPh sb="0" eb="2">
      <t>デンワ</t>
    </rPh>
    <rPh sb="2" eb="4">
      <t>バンゴウ</t>
    </rPh>
    <phoneticPr fontId="1"/>
  </si>
  <si>
    <t>FAX番号</t>
    <rPh sb="3" eb="5">
      <t>バンゴウ</t>
    </rPh>
    <phoneticPr fontId="1"/>
  </si>
  <si>
    <t>担当者</t>
    <rPh sb="0" eb="3">
      <t>タントウシャ</t>
    </rPh>
    <phoneticPr fontId="1"/>
  </si>
  <si>
    <t>〒</t>
    <phoneticPr fontId="1"/>
  </si>
  <si>
    <t>##紹介状.施設情報.施設名</t>
  </si>
  <si>
    <t>##紹介状.施設情報.住所</t>
  </si>
  <si>
    <t>##紹介状.施設情報.電話番号</t>
  </si>
  <si>
    <t>##紹介状.画面入力用.フリーテキストボックス（複数配置可）</t>
  </si>
  <si>
    <t>##印刷情報.共通情報.記載者</t>
  </si>
  <si>
    <t>##実績.VA情報.画像</t>
  </si>
  <si>
    <t>##実績.投薬.薬剤名</t>
  </si>
  <si>
    <t>##患者情報.感染症(+)(-).感染症</t>
  </si>
  <si>
    <t>##患者情報.禁忌・アレルギー.禁忌・アレルギー</t>
  </si>
  <si>
    <t>##指示.透析条件.VA</t>
  </si>
  <si>
    <t>##指示.透析条件.VA</t>
    <phoneticPr fontId="1"/>
  </si>
  <si>
    <t>##指示.透析条件.透析液</t>
  </si>
  <si>
    <t>##指示.透析条件.穿刺針A針名称</t>
  </si>
  <si>
    <t>##指示.透析条件.穿刺針A針名称</t>
    <phoneticPr fontId="1"/>
  </si>
  <si>
    <t>##指示.透析条件.穿刺針V針名称</t>
  </si>
  <si>
    <t>##指示.透析条件.穿刺針V針名称</t>
    <phoneticPr fontId="1"/>
  </si>
  <si>
    <t>患者情報</t>
  </si>
  <si>
    <t>pat_name_kana</t>
  </si>
  <si>
    <t>string</t>
  </si>
  <si>
    <t>ニッキソウ　タロウ</t>
  </si>
  <si>
    <t>G/標準</t>
  </si>
  <si>
    <t>False</t>
  </si>
  <si>
    <t>35</t>
  </si>
  <si>
    <t>B3:G3</t>
  </si>
  <si>
    <t>生年月日</t>
  </si>
  <si>
    <t>pat_birthday</t>
  </si>
  <si>
    <t>DateTime</t>
  </si>
  <si>
    <t>yyyy/mm/dd</t>
  </si>
  <si>
    <t>J3:K4</t>
  </si>
  <si>
    <t>年齢</t>
  </si>
  <si>
    <t>pat_age</t>
  </si>
  <si>
    <t>decimal</t>
  </si>
  <si>
    <t>70</t>
  </si>
  <si>
    <t>M3:M4</t>
  </si>
  <si>
    <t>性別</t>
  </si>
  <si>
    <t>pat_sex</t>
  </si>
  <si>
    <t>男性</t>
  </si>
  <si>
    <t>O3:P4</t>
  </si>
  <si>
    <t>pat_blood_type_abo_rh</t>
  </si>
  <si>
    <t>R3:R4</t>
  </si>
  <si>
    <t>氏名</t>
  </si>
  <si>
    <t>pat_name</t>
  </si>
  <si>
    <t>日機装　太郎</t>
  </si>
  <si>
    <t>B4:G4</t>
  </si>
  <si>
    <t>郵便番号</t>
  </si>
  <si>
    <t>pat_zip</t>
  </si>
  <si>
    <t>150-8677</t>
  </si>
  <si>
    <t>24</t>
  </si>
  <si>
    <t>B5:E5</t>
  </si>
  <si>
    <t>pat_address</t>
  </si>
  <si>
    <t>東京都渋谷区恵比寿3-43-2 日機装第１別館１F</t>
  </si>
  <si>
    <t>F5:M5</t>
  </si>
  <si>
    <t>電話番号1</t>
  </si>
  <si>
    <t>pat_tel1</t>
  </si>
  <si>
    <t>03-1234-5678</t>
  </si>
  <si>
    <t>19</t>
  </si>
  <si>
    <t>P5:R5</t>
  </si>
  <si>
    <t>40</t>
  </si>
  <si>
    <t>zip_cd</t>
  </si>
  <si>
    <t>True</t>
  </si>
  <si>
    <t>F6:M6</t>
  </si>
  <si>
    <t>tel1</t>
  </si>
  <si>
    <t>03-9876-5432</t>
  </si>
  <si>
    <t>P6:R7</t>
  </si>
  <si>
    <t>other_name</t>
  </si>
  <si>
    <t>日機装　次郎</t>
  </si>
  <si>
    <t>A7:B7</t>
  </si>
  <si>
    <t>address</t>
  </si>
  <si>
    <t>東京都渋谷区恵比寿2-27-10 日機装第２別館</t>
  </si>
  <si>
    <t>F7:M7</t>
  </si>
  <si>
    <t>透析導入日</t>
  </si>
  <si>
    <t>dialysis_start_date</t>
  </si>
  <si>
    <t>B8:I8</t>
  </si>
  <si>
    <t>指示</t>
  </si>
  <si>
    <t>透析条件</t>
  </si>
  <si>
    <t>DW</t>
  </si>
  <si>
    <t>5</t>
  </si>
  <si>
    <t>dw</t>
  </si>
  <si>
    <t>55.00</t>
  </si>
  <si>
    <t>0.00</t>
  </si>
  <si>
    <t>B9:F9</t>
  </si>
  <si>
    <t>感染症(+)(-)</t>
  </si>
  <si>
    <t>感染症</t>
  </si>
  <si>
    <t>infection_name</t>
  </si>
  <si>
    <t>Hbc抗体</t>
  </si>
  <si>
    <t>J9:M9</t>
  </si>
  <si>
    <t>患者情報.感染症(+)(-)</t>
  </si>
  <si>
    <t>禁忌・アレルギー</t>
  </si>
  <si>
    <t>22</t>
  </si>
  <si>
    <t>content</t>
  </si>
  <si>
    <t>テスト薬剤（禁忌・アレルギー）</t>
  </si>
  <si>
    <t>N9:R9</t>
  </si>
  <si>
    <t>患者情報.禁忌・アレルギー</t>
  </si>
  <si>
    <t>CTR</t>
  </si>
  <si>
    <t>ctr</t>
  </si>
  <si>
    <t>35.05</t>
  </si>
  <si>
    <t>B10:B11</t>
  </si>
  <si>
    <t>ctr_weight</t>
  </si>
  <si>
    <t>G10:H10</t>
  </si>
  <si>
    <t>D11:H11</t>
  </si>
  <si>
    <t>治療方法</t>
  </si>
  <si>
    <t>treatment_name</t>
  </si>
  <si>
    <t>HDF</t>
  </si>
  <si>
    <t>B12:H12</t>
  </si>
  <si>
    <t>透析パターン</t>
  </si>
  <si>
    <t>透析パターン曜日</t>
  </si>
  <si>
    <t>202</t>
  </si>
  <si>
    <t>treat_week</t>
  </si>
  <si>
    <t>月</t>
  </si>
  <si>
    <t>B13:D13</t>
  </si>
  <si>
    <t>透析パターン回数</t>
  </si>
  <si>
    <t>dialysis_conunt</t>
  </si>
  <si>
    <t>F13</t>
  </si>
  <si>
    <t>7</t>
  </si>
  <si>
    <t>H13</t>
  </si>
  <si>
    <t>抗凝固剤</t>
  </si>
  <si>
    <t>45</t>
  </si>
  <si>
    <t>anti_coagulant_name</t>
  </si>
  <si>
    <t>1234567</t>
  </si>
  <si>
    <t>B14:F14</t>
  </si>
  <si>
    <t>指示.透析条件</t>
  </si>
  <si>
    <t>H14</t>
  </si>
  <si>
    <t>抗凝固剤単位</t>
  </si>
  <si>
    <t>anti_coagulant_sustained_amount_unit</t>
  </si>
  <si>
    <t>U</t>
  </si>
  <si>
    <t>I14</t>
  </si>
  <si>
    <t>抗凝固剤ワンショット量</t>
  </si>
  <si>
    <t>anti_coagulant_one_shot_amount</t>
  </si>
  <si>
    <t>1000</t>
  </si>
  <si>
    <t>B15:F15</t>
  </si>
  <si>
    <t>G15:I15</t>
  </si>
  <si>
    <t>抗凝固剤持続速度</t>
  </si>
  <si>
    <t>anti_coagulant_sustained_speed</t>
  </si>
  <si>
    <t>500</t>
  </si>
  <si>
    <t>B16:F16</t>
  </si>
  <si>
    <t>抗凝固剤持続速度単位</t>
  </si>
  <si>
    <t>anti_coagulant_sustained_speed_unit</t>
  </si>
  <si>
    <t>U/h</t>
  </si>
  <si>
    <t>G16:I16</t>
  </si>
  <si>
    <t>VA</t>
  </si>
  <si>
    <t>va_name</t>
  </si>
  <si>
    <t>左手前腕内シャント化静脈</t>
  </si>
  <si>
    <t>K16:M16</t>
  </si>
  <si>
    <t>ダイアライザ</t>
  </si>
  <si>
    <t>dialyzer</t>
  </si>
  <si>
    <t>FDX-120GW</t>
  </si>
  <si>
    <t>41</t>
  </si>
  <si>
    <t>B17:I17</t>
  </si>
  <si>
    <t>穿刺針A針名称</t>
  </si>
  <si>
    <t>puncture_needle_a_name</t>
  </si>
  <si>
    <t>穿刺針A針</t>
  </si>
  <si>
    <t>K17:M17</t>
  </si>
  <si>
    <t>穿刺針V針名称</t>
  </si>
  <si>
    <t>puncture_needle_v_name</t>
  </si>
  <si>
    <t>穿刺針V針</t>
  </si>
  <si>
    <t>Q17:R17</t>
  </si>
  <si>
    <t>血流量</t>
  </si>
  <si>
    <t>blood_flow</t>
  </si>
  <si>
    <t>180</t>
  </si>
  <si>
    <t>B18:F18</t>
  </si>
  <si>
    <t>透析液</t>
  </si>
  <si>
    <t>dialysate_name</t>
  </si>
  <si>
    <t>Dドライ3.0S</t>
  </si>
  <si>
    <t>K18:R18</t>
  </si>
  <si>
    <t>47</t>
  </si>
  <si>
    <t>VA情報</t>
  </si>
  <si>
    <t>画像</t>
  </si>
  <si>
    <t>data1_pic1_file_path</t>
  </si>
  <si>
    <t>byte[]</t>
  </si>
  <si>
    <t>placeholder.jpg</t>
  </si>
  <si>
    <t>Category</t>
  </si>
  <si>
    <t>J19:R28</t>
  </si>
  <si>
    <t>true</t>
  </si>
  <si>
    <t>投薬</t>
  </si>
  <si>
    <t>薬剤名</t>
  </si>
  <si>
    <t>medi_name</t>
  </si>
  <si>
    <t>テスト薬剤１</t>
  </si>
  <si>
    <t>A21:B21</t>
  </si>
  <si>
    <t>17</t>
  </si>
  <si>
    <t>&lt;SelectSetting&gt;&lt;Item tag="Medicine" checkState="Checked" /&gt;&lt;/SelectSetting&gt;</t>
  </si>
  <si>
    <t>Medicine</t>
  </si>
  <si>
    <t>A28:I28</t>
  </si>
  <si>
    <t>A30:R30</t>
  </si>
  <si>
    <t>施設情報</t>
  </si>
  <si>
    <t>住所</t>
  </si>
  <si>
    <t>300</t>
  </si>
  <si>
    <t>宇都宮市今泉５－３－５</t>
  </si>
  <si>
    <t>53</t>
  </si>
  <si>
    <t>I33:R33</t>
  </si>
  <si>
    <t>施設名</t>
  </si>
  <si>
    <t>facility_name</t>
  </si>
  <si>
    <t>大塚医院</t>
  </si>
  <si>
    <t>48</t>
  </si>
  <si>
    <t>J34:R34</t>
  </si>
  <si>
    <t>phone_no1</t>
  </si>
  <si>
    <t>028-621-7600</t>
  </si>
  <si>
    <t>23</t>
  </si>
  <si>
    <t>L35:Q35</t>
  </si>
  <si>
    <t>印刷情報</t>
  </si>
  <si>
    <t>共通情報</t>
  </si>
  <si>
    <t>prt_dt</t>
  </si>
  <si>
    <t>B37:F37</t>
  </si>
  <si>
    <t>login</t>
  </si>
  <si>
    <t>確認テスト</t>
  </si>
  <si>
    <t>L37:Q37</t>
  </si>
  <si>
    <t>2023/09/26 08:54:44</t>
  </si>
  <si>
    <t xml:space="preserve">新規追加_x000D_
表示文字数:35_x000D_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</si>
  <si>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プレビューデータ:2023/09/26_x000D_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</si>
  <si>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</si>
  <si>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</si>
  <si>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</si>
  <si>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</si>
  <si>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表示文字数:24_x000D_
改頁しない_x000D_
プレビューデータ:150-8677_x000D_
書式:G/標準_x000D_
縮小しない_x000D_
テンプレート内外:_x000D_
</t>
  </si>
  <si>
    <t xml:space="preserve">新規追加_x000D_
表示文字数:66_x000D_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</si>
  <si>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表示文字数:19_x000D_
改頁しない_x000D_
プレビューデータ:03-1234-5678_x000D_
書式:G/標準_x000D_
縮小しない_x000D_
テンプレート内外:_x000D_
</t>
  </si>
  <si>
    <t xml:space="preserve">新規追加_x000D_
表示文字数:66_x000D_
改頁しない_x000D_
繰返場所:F6:M6_x000D_
グループ名:患者情報.緊急連絡先_x000D_
プレビューデータ:150-8677_x000D_
書式:G/標準_x000D_
縮小しない_x000D_
テンプレート内外:_x000D_
</t>
  </si>
  <si>
    <t xml:space="preserve">新規追加_x000D_
表示文字数:19_x000D_
改頁しない_x000D_
繰返場所:P6:R7_x000D_
グループ名:患者情報.緊急連絡先_x000D_
プレビューデータ:03-9876-5432_x000D_
書式:G/標準_x000D_
縮小しない_x000D_
テンプレート内外:_x000D_
</t>
  </si>
  <si>
    <t xml:space="preserve">新規追加_x000D_
改頁しない_x000D_
繰返場所:A7:B7_x000D_
グループ名:患者情報.緊急連絡先_x000D_
プレビューデータ:日機装　次郎_x000D_
書式:G/標準_x000D_
縮小しない_x000D_
テンプレート内外:_x000D_
</t>
  </si>
  <si>
    <t xml:space="preserve">新規追加_x000D_
表示文字数:66_x000D_
改頁しない_x000D_
繰返場所:F7:M7_x000D_
グループ名:患者情報.緊急連絡先_x000D_
プレビューデータ:東京都渋谷区恵比寿2-27-10 日機装第２別館_x000D_
書式:G/標準_x000D_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</si>
  <si>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</si>
  <si>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表示文字数:31_x000D_
改頁しない_x000D_
繰返場所:J9:M9,J10:M10,J11:M11,J12:M12,J13:M13,J14:M14,J15:M15_x000D_
グループ名:患者情報.感染症(+)(-)_x000D_
プレビューデータ:Hbc抗体_x000D_
書式:G/標準_x000D_
縮小しない_x000D_
テンプレート内外:_x000D_
</t>
  </si>
  <si>
    <t xml:space="preserve">新規追加_x000D_
表示文字数:27_x000D_
改頁しない_x000D_
繰返場所:N9:R9,N10:R10,N11:R11,N12:R12,N13:R13,N14:R14,N15:R15,N16:R16_x000D_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</si>
  <si>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改頁しない_x000D_
繰返場所:B10:B11_x000D_
グループ名:患者情報.CTR・DW履歴(昇順)_x000D_
プレビューデータ:35.05_x000D_
書式:0.00_x000D_
縮小しない_x000D_
テンプレート内外:_x000D_
</t>
  </si>
  <si>
    <t xml:space="preserve">新規追加_x000D_
改頁しない_x000D_
繰返場所:G10:H10_x000D_
グループ名:患者情報.CTR・DW履歴(昇順)_x000D_
プレビューデータ:58.12_x000D_
書式:0.00_x000D_
縮小しない_x000D_
テンプレート内外:_x000D_
</t>
  </si>
  <si>
    <t xml:space="preserve">新規追加_x000D_
改頁しない_x000D_
繰返場所:D11:H11_x000D_
グループ名:患者情報.CTR・DW履歴(昇順)_x000D_
プレビューデータ:2023/09/26_x000D_
書式:yyyy/mm/dd_x000D_
縮小しない_x000D_
テンプレート内外:_x000D_
</t>
  </si>
  <si>
    <t xml:space="preserve">新規追加_x000D_
表示文字数:46_x000D_
改頁しない_x000D_
プレビューデータ:HDF_x000D_
書式:G/標準_x000D_
縮小しない_x000D_
テンプレート内外:_x000D_
</t>
  </si>
  <si>
    <t xml:space="preserve">新規追加_x000D_
表示文字数:15_x000D_
改頁しない_x000D_
プレビューデータ:月_x000D_
書式:G/標準_x000D_
縮小しない_x000D_
テンプレート内外:_x000D_
</t>
  </si>
  <si>
    <t xml:space="preserve">新規追加_x000D_
改頁しない_x000D_
プレビューデータ:5_x000D_
書式:0_x000D_
縮小しない_x000D_
テンプレート内外:_x000D_
</t>
  </si>
  <si>
    <t xml:space="preserve">新規追加_x000D_
改頁しない_x000D_
プレビューデータ:7_x000D_
書式:0_x000D_
縮小しない_x000D_
テンプレート内外:_x000D_
</t>
  </si>
  <si>
    <t xml:space="preserve">新規追加_x000D_
改頁しない_x000D_
繰返場所:B14:F14_x000D_
グループ名:指示.透析条件_x000D_
プレビューデータ:1234567_x000D_
書式:G/標準_x000D_
縮小しない_x000D_
テンプレート内外:_x000D_
</t>
  </si>
  <si>
    <t xml:space="preserve">新規追加_x000D_
改頁しない_x000D_
繰返場所:H14_x000D_
グループ名:指示.透析条件_x000D_
プレビューデータ:3000_x000D_
書式:0_x000D_
縮小しない_x000D_
テンプレート内外:_x000D_
</t>
  </si>
  <si>
    <t xml:space="preserve">新規追加_x000D_
表示文字数:5_x000D_
改頁しない_x000D_
プレビューデータ:U_x000D_
書式:G/標準_x000D_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</si>
  <si>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</si>
  <si>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表示文字数:15_x000D_
改頁しない_x000D_
プレビューデータ:U_x000D_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</si>
  <si>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</si>
  <si>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表示文字数:15_x000D_
改頁しない_x000D_
プレビューデータ:U/h_x000D_
書式:G/標準_x000D_
縮小しない_x000D_
テンプレート内外:_x000D_
</t>
  </si>
  <si>
    <t xml:space="preserve">新規追加_x000D_
表示文字数:19_x000D_
改頁しない_x000D_
繰返場所:K16:M16_x000D_
グループ名:指示.透析条件_x000D_
プレビューデータ:左手前腕内シャント化静脈_x000D_
書式:G/標準_x000D_
縮小しない_x000D_
テンプレート内外:_x000D_
</t>
  </si>
  <si>
    <t xml:space="preserve">新規追加_x000D_
表示文字数:41_x000D_
改頁しない_x000D_
プレビューデータ:FDX-120GW_x000D_
書式:G/標準_x000D_
縮小しない_x000D_
テンプレート内外:_x000D_
</t>
  </si>
  <si>
    <t xml:space="preserve">新規追加_x000D_
改頁しない_x000D_
繰返場所:K17:M17_x000D_
グループ名:指示.透析条件_x000D_
プレビューデータ:穿刺針A針_x000D_
書式:G/標準_x000D_
縮小しない_x000D_
テンプレート内外:_x000D_
</t>
  </si>
  <si>
    <t xml:space="preserve">新規追加_x000D_
改頁しない_x000D_
繰返場所:Q17:R17_x000D_
グループ名:指示.透析条件_x000D_
プレビューデータ:穿刺針V針_x000D_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</si>
  <si>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</si>
  <si>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表示文字数:47_x000D_
改頁しない_x000D_
繰返場所:K18:R18_x000D_
グループ名:指示.透析条件_x000D_
プレビューデータ:Dドライ3.0S_x000D_
書式:G/標準_x000D_
縮小しない_x000D_
テンプレート内外:_x000D_
</t>
  </si>
  <si>
    <t xml:space="preserve">新規追加_x000D_
改頁しない_x000D_
プレビューデータ:placeholder.jpg_x000D_
書式:G/標準_x000D_
縮小しない_x000D_
テンプレート内外:_x000D_
</t>
  </si>
  <si>
    <t xml:space="preserve">新規追加_x000D_
表示文字数:17_x000D_
改頁しない_x000D_
繰返場所:A21:B21_x000D_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</si>
  <si>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プレビューデータ:_x000D_
書式:G/標準_x000D_
縮小しない_x000D_
テンプレート内外:_x000D_
</t>
  </si>
  <si>
    <t xml:space="preserve">新規追加_x000D_
表示文字数:53_x000D_
改頁しない_x000D_
プレビューデータ:宇都宮市今泉５－３－５_x000D_
書式:G/標準_x000D_
縮小しない_x000D_
テンプレート内外:_x000D_
</t>
  </si>
  <si>
    <t xml:space="preserve">新規追加_x000D_
表示文字数:48_x000D_
改頁しない_x000D_
プレビューデータ:大塚医院_x000D_
書式:G/標準_x000D_
縮小しない_x000D_
テンプレート内外:_x000D_
</t>
  </si>
  <si>
    <t xml:space="preserve">新規追加_x000D_
表示文字数:23_x000D_
改頁しない_x000D_
プレビューデータ:028-621-7600_x000D_
書式:G/標準_x000D_
縮小しない_x000D_
テンプレート内外:_x000D_
</t>
  </si>
  <si>
    <t xml:space="preserve">新規追加_x000D_
表示文字数:23_x000D_
改頁しない_x000D_
プレビューデータ:確認テスト_x000D_
書式:G/標準_x000D_
縮小しない_x000D_
テンプレート内外:_x000D_
</t>
  </si>
  <si>
    <t>患者情報.緊急連絡先.患者情報.緊急連絡先.A7:B7</t>
  </si>
  <si>
    <t>患者情報.CTR・DW履歴(昇順).患者情報.CTR・DW履歴(昇順).B10:B11</t>
  </si>
  <si>
    <t>指示.透析条件.指示.透析条件.B14:F14</t>
  </si>
  <si>
    <t>実績.投薬.実績.投薬.A21:B21</t>
  </si>
  <si>
    <t>患者情報.感染症(+)(-).患者情報.感染症(+)(-).J9:M9</t>
  </si>
  <si>
    <t>患者情報.禁忌・アレルギー.患者情報.禁忌・アレルギー.N9:R9</t>
  </si>
  <si>
    <t>2023/09/26 08:54:45</t>
  </si>
  <si>
    <t>グループ</t>
  </si>
  <si>
    <t xml:space="preserve">改頁しない_x000D_
</t>
  </si>
  <si>
    <t>##指示.投薬.薬剤名</t>
    <phoneticPr fontId="1"/>
  </si>
  <si>
    <t>##指示.投薬.治療日</t>
    <phoneticPr fontId="1"/>
  </si>
  <si>
    <t>##指示.投薬.数量</t>
  </si>
  <si>
    <t>##指示.投薬.治療日</t>
  </si>
  <si>
    <t>治療日</t>
  </si>
  <si>
    <t>4</t>
  </si>
  <si>
    <t>treat_date</t>
  </si>
  <si>
    <t>C20:E20</t>
  </si>
  <si>
    <t>指示.投薬</t>
  </si>
  <si>
    <t>##指示.投薬.薬剤名</t>
  </si>
  <si>
    <t>数量</t>
  </si>
  <si>
    <t>medi_amount</t>
  </si>
  <si>
    <t>C21:E21</t>
  </si>
  <si>
    <t>2023/09/26 09:30:04</t>
  </si>
  <si>
    <t xml:space="preserve">新規追加_x000D_
改頁しない_x000D_
繰返場所:C20:E20_x000D_
グループ名:指示.投薬_x000D_
プレビューデータ:2023/09/26_x000D_
書式:yyyy/mm/dd_x000D_
抽出条件:&lt;SelectSetting&gt;&lt;Item tag="Medicine" checkState="Checked" /&gt;&lt;/SelectSetting&gt;_x000D_
縮小しない_x000D_
テンプレート内外:_x000D_
</t>
  </si>
  <si>
    <t xml:space="preserve">設定変更_x000D_
グループ名:実績.投薬 ⇒ 指示.投薬_x000D_
</t>
  </si>
  <si>
    <t xml:space="preserve">新規追加_x000D_
改頁しない_x000D_
繰返場所:C21:E21_x000D_
グループ名:指示.投薬_x000D_
プレビューデータ:1_x000D_
書式:0_x000D_
抽出条件:&lt;SelectSetting&gt;&lt;Item tag="Medicine" checkState="Checked" /&gt;&lt;/SelectSetting&gt;_x000D_
縮小しない_x000D_
テンプレート内外:_x000D_
</t>
  </si>
  <si>
    <t>指示.投薬.指示.投薬.C20:E20</t>
  </si>
  <si>
    <t>削除</t>
  </si>
  <si>
    <t>##患者情報.CTR・DW履歴(降順).CTR</t>
  </si>
  <si>
    <t>##患者情報.CTR・DW履歴(降順).測定時体重</t>
  </si>
  <si>
    <t>##患者情報.CTR・DW履歴(降順).検査日時</t>
  </si>
  <si>
    <t>39</t>
  </si>
  <si>
    <t>2011/05/16</t>
  </si>
  <si>
    <t>2023/09/26 14:49:24</t>
  </si>
  <si>
    <t xml:space="preserve">設定変更_x000D_
グループ名:患者情報.CTR・DW履歴(昇順) ⇒ 患者情報.CTR・DW履歴(降順)_x000D_
</t>
  </si>
  <si>
    <t xml:space="preserve">設定変更_x000D_
グループ名:患者情報.CTR・DW履歴(昇順) ⇒ 患者情報.CTR・DW履歴(降順)_x000D_
プレビューデータ:2023/09/26 ⇒ 2011/05/16_x000D_
</t>
  </si>
  <si>
    <t>患者情報.CTR・DW履歴(降順).患者情報.CTR・DW履歴(降順).B10:B11</t>
  </si>
  <si>
    <t>##指示.VA情報.画像</t>
  </si>
  <si>
    <t>##指示.VA情報.画像</t>
    <phoneticPr fontId="1"/>
  </si>
  <si>
    <t>208</t>
  </si>
  <si>
    <t>##指示.透析予定.透析時間(分)</t>
  </si>
  <si>
    <t>2023/09/26 16:16:40</t>
  </si>
  <si>
    <t xml:space="preserve">設定変更_x000D_
繰返場所: ⇒ H13_x000D_
グループ名: ⇒ 指示.透析予定_x000D_
プレビューデータ:7 ⇒ 420_x000D_
</t>
  </si>
  <si>
    <t>指示.透析予定.指示.透析予定.H13</t>
  </si>
  <si>
    <t>##=##指示.透析予定.透析時間(分)/60</t>
  </si>
  <si>
    <t>29</t>
  </si>
  <si>
    <t>55</t>
  </si>
  <si>
    <t>2023/09/26 16:18:14</t>
  </si>
  <si>
    <t xml:space="preserve">設定変更_x000D_
表示文字数:35 ⇒ 29_x000D_
</t>
  </si>
  <si>
    <t xml:space="preserve">設定変更_x000D_
表示文字数:24 ⇒ 18_x000D_
</t>
  </si>
  <si>
    <t xml:space="preserve">設定変更_x000D_
表示文字数:66 ⇒ 55_x000D_
</t>
  </si>
  <si>
    <t xml:space="preserve">設定変更_x000D_
表示文字数:46 ⇒ 35_x000D_
</t>
  </si>
  <si>
    <t xml:space="preserve">設定変更_x000D_
表示文字数:15 ⇒ 14_x000D_
</t>
  </si>
  <si>
    <t xml:space="preserve">設定変更_x000D_
繰返場所:H13 ⇒ _x000D_
グループ名:指示.透析予定 ⇒ _x000D_
プレビューデータ:420 ⇒ 0_x000D_
書式:0 ⇒ 0.0_x000D_
</t>
  </si>
  <si>
    <t xml:space="preserve">設定変更_x000D_
表示文字数:15 ⇒ 17_x000D_
</t>
  </si>
  <si>
    <t>2023/09/26 16:18:15</t>
  </si>
  <si>
    <t>##=I12/60</t>
  </si>
  <si>
    <t>I12</t>
  </si>
  <si>
    <t>2023/09/26 16:19:31</t>
  </si>
  <si>
    <t xml:space="preserve">新規追加_x000D_
改頁しない_x000D_
繰返場所:I12_x000D_
グループ名:指示.透析予定_x000D_
プレビューデータ:420_x000D_
書式:0_x000D_
縮小しない_x000D_
テンプレート内外:_x000D_
</t>
  </si>
  <si>
    <t xml:space="preserve">設定変更_x000D_
プレビューデータ:0 ⇒ 7_x000D_
</t>
  </si>
  <si>
    <t>指示.透析予定.指示.透析予定.I12</t>
  </si>
  <si>
    <t>2023/09/26 16:21:21</t>
  </si>
  <si>
    <t xml:space="preserve">設定変更_x000D_
プレビューデータ:7 ⇒ 0_x000D_
書式:0.0 ⇒ 0_x000D_
</t>
  </si>
  <si>
    <t>##=[##指示.透析予定.透析時間(分)]/60</t>
    <phoneticPr fontId="1"/>
  </si>
  <si>
    <t>2023/09/26 16:22:28</t>
  </si>
  <si>
    <t>2023/09/26 16:22:29</t>
  </si>
  <si>
    <t>##指示.透析条件.治療方法</t>
    <phoneticPr fontId="1"/>
  </si>
  <si>
    <t>G14:H14</t>
  </si>
  <si>
    <t>2023/10/10 11:39:52</t>
  </si>
  <si>
    <t xml:space="preserve">新規追加_x000D_
改頁しない_x000D_
繰返場所:G14:H14_x000D_
グループ名:指示.透析条件_x000D_
プレビューデータ:3000_x000D_
書式:0_x000D_
縮小しない_x000D_
テンプレート内外:_x000D_
</t>
  </si>
  <si>
    <t>2023/10/26 15:32:49</t>
  </si>
  <si>
    <t>テンプレート設定</t>
  </si>
  <si>
    <t xml:space="preserve">設定:無効 ⇒ 有効_x000D_
範囲:未設定 ⇒ C21:E21_x000D_
横回数:1 ⇒ 3_x000D_
縦回数:1 ⇒ 7_x000D_
</t>
  </si>
  <si>
    <t>2023/10/26 15:32:50</t>
  </si>
  <si>
    <t xml:space="preserve">設定変更_x000D_
テンプレート内外: ⇒ 外_x000D_
</t>
  </si>
  <si>
    <t xml:space="preserve">設定変更_x000D_
繰返場所:C21:E21 ⇒ C21:E21,F21:G21,F21:G21,C22:E22,F22:G22,F22:G22,C23:E23,F23:G23,F23:G23,C24:E24,F24:G24,F24:G24,C25:E25,F25:G25,F25:G25,C26:E26,F26:G26,F26:G26,C27:E27,F27:G27,F27:G27_x000D_
テンプレート内外: ⇒ 内_x000D_
</t>
  </si>
  <si>
    <t>患者情報.緊急連絡先.患者情報.緊急連絡先.外.F6:M6</t>
  </si>
  <si>
    <t>患者情報.感染症(+)(-).患者情報.感染症(+)(-).外.J9:M9</t>
  </si>
  <si>
    <t>患者情報.禁忌・アレルギー.患者情報.禁忌・アレルギー.外.N9:R9</t>
  </si>
  <si>
    <t>患者情報.CTR・DW履歴(降順).患者情報.CTR・DW履歴(降順).外.B10:B11</t>
  </si>
  <si>
    <t>指示.透析条件.指示.透析条件.外.B14:F14</t>
  </si>
  <si>
    <t>指示.投薬.指示.投薬.外.C20:E20</t>
  </si>
  <si>
    <t>指示.投薬.指示.投薬.内.C21:E21</t>
  </si>
  <si>
    <t>2023/10/26 15:32:51</t>
  </si>
  <si>
    <t>項目値</t>
  </si>
  <si>
    <t>2023/10/26 15:32:52</t>
  </si>
  <si>
    <t xml:space="preserve">表示内容: ⇒ 項目値_x000D_
</t>
  </si>
  <si>
    <t>2023/10/26 15:33:12</t>
  </si>
  <si>
    <t xml:space="preserve">抽出条件:&lt;SelectSetting&gt;&lt;Item tag="Medicine" checkState="Checked" /&gt;&lt;/SelectSetting&gt; ⇒ _x000D_
</t>
  </si>
  <si>
    <t>2023/10/31 08:26:03</t>
  </si>
  <si>
    <t xml:space="preserve">設定:有効 ⇒ 無効_x000D_
</t>
  </si>
  <si>
    <t>2023/10/31 08:26:04</t>
  </si>
  <si>
    <t xml:space="preserve">設定変更_x000D_
テンプレート内外:外 ⇒ _x000D_
</t>
  </si>
  <si>
    <t xml:space="preserve">設定変更_x000D_
プレビューデータ:2023/09/26 ⇒ 2023/10/31_x000D_
書式:yyyy/mm/dd ⇒ yyyy/MM/dd_x000D_
テンプレート内外:外 ⇒ _x000D_
</t>
  </si>
  <si>
    <t xml:space="preserve">設定変更_x000D_
テンプレート内外:内 ⇒ _x000D_
</t>
  </si>
  <si>
    <t>2023/10/31 08:26:05</t>
  </si>
  <si>
    <t>N</t>
  </si>
  <si>
    <t>3</t>
  </si>
  <si>
    <t>2023/10/31 08:28:33</t>
  </si>
  <si>
    <t>外</t>
  </si>
  <si>
    <t>A21:B21,A22:B22,A23:B23,A24:B24,A25:B25,A26:B26,A27:B27</t>
  </si>
  <si>
    <t>内</t>
  </si>
  <si>
    <t>2023/10/31 08:28:34</t>
  </si>
  <si>
    <t xml:space="preserve">設定変更_x000D_
繰返場所:C20:E20 ⇒ C20:E20,F20:G20,H20:I20_x000D_
テンプレート内外: ⇒ 外_x000D_
</t>
  </si>
  <si>
    <t xml:space="preserve">設定変更_x000D_
繰返場所:A21:B21 ⇒ A21:B21,A22:B22,A23:B23,A24:B24,A25:B25,A26:B26,A27:B27_x000D_
テンプレート内外: ⇒ 外_x000D_
</t>
  </si>
  <si>
    <t xml:space="preserve">設定変更_x000D_
テンプレート内外: ⇒ 内_x000D_
</t>
  </si>
  <si>
    <t>2023/10/31 08:28:35</t>
  </si>
  <si>
    <t>曜日</t>
  </si>
  <si>
    <t xml:space="preserve">横の集計単位: ⇒ treat_date_x000D_
縦の集計単位: ⇒ medi_name_x000D_
集計単位日付: ⇒ 曜日_x000D_
</t>
  </si>
  <si>
    <t>##患者情報.本人情報.フリガナ</t>
  </si>
  <si>
    <t>##患者情報.本人情報.フリガナ</t>
    <phoneticPr fontId="1"/>
  </si>
  <si>
    <t>##患者情報.本人情報.患者名</t>
  </si>
  <si>
    <t>##患者情報.本人情報.患者名</t>
    <phoneticPr fontId="1"/>
  </si>
  <si>
    <t>##患者情報.本人情報.住所</t>
  </si>
  <si>
    <t>##患者情報.本人情報.住所</t>
    <phoneticPr fontId="1"/>
  </si>
  <si>
    <t>##患者情報.本人情報.郵便番号</t>
  </si>
  <si>
    <t>##患者情報.本人情報.年齢</t>
  </si>
  <si>
    <t>##患者情報.本人情報.年齢</t>
    <phoneticPr fontId="1"/>
  </si>
  <si>
    <t>##患者情報.本人情報.生年月日</t>
  </si>
  <si>
    <t>##患者情報.本人情報.生年月日</t>
    <phoneticPr fontId="1"/>
  </si>
  <si>
    <t>##患者情報.本人情報.性別</t>
  </si>
  <si>
    <t>##患者情報.本人情報.性別</t>
    <phoneticPr fontId="1"/>
  </si>
  <si>
    <t>##患者情報.本人情報.血液型ABORH型</t>
  </si>
  <si>
    <t>##患者情報.本人情報.血液型ABORH型</t>
    <phoneticPr fontId="1"/>
  </si>
  <si>
    <t>##患者情報.本人情報.電話番号1</t>
  </si>
  <si>
    <t>##患者情報.本人情報.電話番号1</t>
    <phoneticPr fontId="1"/>
  </si>
  <si>
    <t>##患者情報.連絡先.氏名</t>
  </si>
  <si>
    <t>##患者情報.連絡先.氏名</t>
    <phoneticPr fontId="1"/>
  </si>
  <si>
    <t>##患者情報.連絡先.郵便番号</t>
  </si>
  <si>
    <t>##患者情報.連絡先.住所</t>
  </si>
  <si>
    <t>##患者情報.連絡先.住所</t>
    <phoneticPr fontId="1"/>
  </si>
  <si>
    <t>##患者情報.連絡先.電話番号1</t>
  </si>
  <si>
    <t>##患者情報.連絡先.電話番号1</t>
    <phoneticPr fontId="1"/>
  </si>
  <si>
    <t>##患者情報.診療情報.透析導入日</t>
  </si>
  <si>
    <t>##患者情報.診療情報.透析導入日</t>
    <phoneticPr fontId="1"/>
  </si>
  <si>
    <t>##患者情報.禁忌・アレルギー.内容</t>
  </si>
  <si>
    <t>##患者情報.禁忌・アレルギー.内容</t>
    <phoneticPr fontId="1"/>
  </si>
  <si>
    <t>##患者情報.身体情報(降順).CTR</t>
  </si>
  <si>
    <t>##患者情報.身体情報(降順).CTR</t>
    <phoneticPr fontId="1"/>
  </si>
  <si>
    <t>##患者情報.身体情報(降順).検査時体重</t>
  </si>
  <si>
    <t>##患者情報.身体情報(降順).検査日時</t>
  </si>
  <si>
    <t>RowCount</t>
  </si>
  <si>
    <t>本人情報</t>
  </si>
  <si>
    <t>フリガナ</t>
  </si>
  <si>
    <t>1945/01/01</t>
  </si>
  <si>
    <t>血液型ABORH型</t>
  </si>
  <si>
    <t>A型 Rh-</t>
  </si>
  <si>
    <t>患者名</t>
  </si>
  <si>
    <t>連絡先</t>
  </si>
  <si>
    <t>患者情報.連絡先</t>
  </si>
  <si>
    <t>診療情報</t>
  </si>
  <si>
    <t>2000/02/10</t>
  </si>
  <si>
    <t>内容</t>
  </si>
  <si>
    <t>身体情報(降順)</t>
  </si>
  <si>
    <t>患者情報.身体情報(降順)</t>
  </si>
  <si>
    <t>2024/03/18 12:48:29</t>
  </si>
  <si>
    <t xml:space="preserve">設定変更_x000D_
プレビューデータ:2023/09/26 ⇒ 1945/01/01_x000D_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</si>
  <si>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</si>
  <si>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プレビューデータ:A型 RH- ⇒ A型 Rh-_x000D_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cls="血液型ABORH型"&gt;&lt;conv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</si>
  <si>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グループ名:患者情報.緊急連絡先 ⇒ 患者情報.連絡先_x000D_
</t>
  </si>
  <si>
    <t xml:space="preserve">設定変更_x000D_
プレビューデータ:2023/09/26 ⇒ 2000/02/10_x000D_
</t>
  </si>
  <si>
    <t xml:space="preserve">設定変更_x000D_
繰返場所:N9:R9,N10:R10,N11:R11,N12:R12,N13:R13,N14:R14,N15:R15,N16:R16 ⇒ N9:R9_x000D_
</t>
  </si>
  <si>
    <t xml:space="preserve">設定変更_x000D_
グループ名:患者情報.CTR・DW履歴(降順) ⇒ 患者情報.身体情報(降順)_x000D_
</t>
  </si>
  <si>
    <t xml:space="preserve">設定変更_x000D_
プレビューデータ:2023/10/31 ⇒ 2024/03/18_x000D_
書式:yyyy/MM/dd ⇒ yyyy/mm/dd_x000D_
</t>
  </si>
  <si>
    <t>患者情報.連絡先.患者情報.連絡先.外.A7:B7</t>
  </si>
  <si>
    <t>患者情報.身体情報(降順).患者情報.身体情報(降順).外.B10:B11</t>
  </si>
  <si>
    <t>C21</t>
  </si>
  <si>
    <t>2024/04/02 09:02:30</t>
  </si>
  <si>
    <t xml:space="preserve">範囲:C21:E21 ⇒ C21_x000D_
</t>
  </si>
  <si>
    <t>2024/04/02</t>
  </si>
  <si>
    <t>C20</t>
  </si>
  <si>
    <t>2024/04/02 09:02:31</t>
  </si>
  <si>
    <t xml:space="preserve">新規追加_x000D_
改頁しない_x000D_
繰返場所:C20,D20,E20_x000D_
グループ名:指示.投薬_x000D_
プレビューデータ:2024/04/02_x000D_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</si>
  <si>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繰返場所:C21,D21,E21,C22,D22,E22,C23,D23,E23,C24,D24,E24,C25,D25,E25,C26,D26,E26,C27,D27,E27_x000D_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</si>
  <si>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指示.投薬.指示.投薬.外.C20</t>
  </si>
  <si>
    <t>指示.投薬.指示.投薬.内.C21</t>
  </si>
  <si>
    <t>2024/04/02 09:02:32</t>
  </si>
  <si>
    <t xml:space="preserve">改頁しない_x000D_
抽出条件:&lt;SelectSetting&gt;&lt;Item tag="Medicine" checkState="Checked" /&gt;&lt;/SelectSetting&gt;_x000D_
</t>
  </si>
  <si>
    <t>2024/04/02 09:03:53</t>
  </si>
  <si>
    <t xml:space="preserve">範囲:C21 ⇒ C21:E21_x000D_
</t>
  </si>
  <si>
    <t>C20:E20,F20:G20,H20:I20</t>
  </si>
  <si>
    <t>2024/04/02 09:03:54</t>
  </si>
  <si>
    <t xml:space="preserve">新規追加_x000D_
改頁しない_x000D_
繰返場所:C20:E20,F20:G20,H20:I20_x000D_
グループ名:指示.投薬_x000D_
プレビューデータ:2024/04/02_x000D_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</si>
  <si>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繰返場所:C21:E21,F21:G21,F21:G21,C22:E22,F22:G22,F22:G22,C23:E23,F23:G23,F23:G23,C24:E24,F24:G24,F24:G24,C25:E25,F25:G25,F25:G25,C26:E26,F26:G26,F26:G26,C27:E27,F27:G27,F27:G27_x000D_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</si>
  <si>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C21:E21,F21:G21,H21:I21,C22:E22,F22:G22,H22:I22,C23:E23,F23:G23,H23:I23,C24:E24,F24:G24,H24:I24,C25:E25,F25:G25,H25:I25,C26:E26,F26:G26,H26:I26,C27:E27,F27:G27,H27:I27</t>
  </si>
  <si>
    <t>2024/04/18 13:11:59</t>
  </si>
  <si>
    <t xml:space="preserve">設定変更_x000D_
繰返場所:C21:E21,F21:G21,F21:G21,C22:E22,F22:G22,F22:G22,C23:E23,F23:G23,F23:G23,C24:E24,F24:G24,F24:G24,C25:E25,F25:G25,F25:G25,C26:E26,F26:G26,F26:G26,C27:E27,F27:G27,F27:G27 ⇒ C21:E21,F21:G21,H21:I21,C22:E22,F22:G22,H22:I22,C23:E23,F23:G23,H23:I23,C24:E24,F24:G24,H24:I24,C25:E25,F25:G25,H25:I25,C26:E26,F26:G26,H26:I26,C27:E27,F27:G27,H27:I27_x000D_
</t>
  </si>
  <si>
    <t>21</t>
  </si>
  <si>
    <t>##施設.施設情報.郵便番号</t>
  </si>
  <si>
    <t>##施設.施設情報.FAX1</t>
  </si>
  <si>
    <t>##施設.施設情報.電話番号1</t>
  </si>
  <si>
    <t>##施設.施設情報.電話番号1</t>
    <phoneticPr fontId="1"/>
  </si>
  <si>
    <t>##施設.施設情報.施設名</t>
  </si>
  <si>
    <t>##施設.施設情報.施設名</t>
    <phoneticPr fontId="1"/>
  </si>
  <si>
    <t>##施設.施設情報.住所</t>
  </si>
  <si>
    <t>##施設.施設情報.住所</t>
    <phoneticPr fontId="1"/>
  </si>
  <si>
    <t>##印刷情報.共通情報.印刷日時</t>
  </si>
  <si>
    <t>##印刷情報.共通情報.印刷日時</t>
    <phoneticPr fontId="1"/>
  </si>
  <si>
    <t>##印刷情報.共通情報.ログイン者</t>
  </si>
  <si>
    <t>##印刷情報.共通情報.ログイン者</t>
    <phoneticPr fontId="1"/>
  </si>
  <si>
    <t>&lt;SelectSetting&gt;&lt;Item tag="Category" checkState="Checked" /&gt;&lt;/SelectSetting&gt;</t>
  </si>
  <si>
    <t>施設</t>
  </si>
  <si>
    <t>zipcd</t>
  </si>
  <si>
    <t>321－0966</t>
  </si>
  <si>
    <t>J32:K32</t>
  </si>
  <si>
    <t>false</t>
  </si>
  <si>
    <t>FAX1</t>
  </si>
  <si>
    <t>fax_no1</t>
  </si>
  <si>
    <t>L36:Q36</t>
  </si>
  <si>
    <t>印刷日時</t>
  </si>
  <si>
    <t>2011/06/03</t>
  </si>
  <si>
    <t>ログイン者</t>
  </si>
  <si>
    <t>2024/10/01 17:32:18</t>
  </si>
  <si>
    <t xml:space="preserve">新規追加_x000D_
表示文字数:17_x000D_
改頁しない_x000D_
プレビューデータ:321－0966_x000D_
書式:G/標準_x000D_
縮小しない_x000D_
テンプレート内外:外_x000D_
</t>
  </si>
  <si>
    <t xml:space="preserve">新規追加_x000D_
表示文字数:23_x000D_
改頁しない_x000D_
プレビューデータ:_x000D_
書式:G/標準_x000D_
縮小しない_x000D_
テンプレート内外:外_x000D_
</t>
  </si>
  <si>
    <t xml:space="preserve">設定変更_x000D_
プレビューデータ:2023/09/26 ⇒ 2011/06/03_x000D_
</t>
  </si>
  <si>
    <t>N9:R9,N10:R10,N11:R11,N12:R12,N13:R13,N14:R14,N15:R15,N16:R16</t>
  </si>
  <si>
    <t>2024/10/01 17:38:04</t>
  </si>
  <si>
    <t xml:space="preserve">設定変更_x000D_
繰返場所:N9:R9 ⇒ N9:R9,N10:R10,N11:R11,N12:R12,N13:R13,N14:R14,N15:R15,N16:R16_x000D_
</t>
  </si>
  <si>
    <t>8</t>
  </si>
  <si>
    <t>2024/10/01 17:44:56</t>
  </si>
  <si>
    <t xml:space="preserve">設定変更_x000D_
表示文字数:27 ⇒ _x000D_
縮小しない_x000D_
</t>
  </si>
  <si>
    <t>2024/10/01 17:53:26</t>
  </si>
  <si>
    <t xml:space="preserve">設定変更_x000D_
表示文字数:31 ⇒ _x000D_
縮小しない_x000D_
</t>
  </si>
  <si>
    <t xml:space="preserve">設定変更_x000D_
表示文字数:17 ⇒ _x000D_
</t>
  </si>
  <si>
    <t>2024/10/01 17:54:08</t>
  </si>
  <si>
    <t xml:space="preserve">設定変更_x000D_
表示文字数: ⇒ _x000D_
</t>
  </si>
  <si>
    <t>21715</t>
  </si>
  <si>
    <t>##患者情報.感染症(+)(-).感染症結果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</si>
  <si>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</si>
  <si>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</si>
  <si>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S5</t>
  </si>
  <si>
    <t>S6</t>
  </si>
  <si>
    <t>S9,S10,S11,S12,S13,S14,S15</t>
  </si>
  <si>
    <t>S9</t>
  </si>
  <si>
    <t>感染症結果</t>
  </si>
  <si>
    <t>infect</t>
  </si>
  <si>
    <t>(-)</t>
  </si>
  <si>
    <t>T9,T10,T11,T12,T13,T14,T15</t>
  </si>
  <si>
    <t>T9</t>
  </si>
  <si>
    <t>10</t>
  </si>
  <si>
    <t>U13</t>
  </si>
  <si>
    <t>255100</t>
  </si>
  <si>
    <t>2025/07/09 14:45:49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</si>
  <si>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</si>
  <si>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</si>
  <si>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新規追加_x000D_
改頁しない_x000D_
プレビューデータ:150-8677_x000D_
書式:G/標準_x000D_
縮小しない_x000D_
テンプレート内外:外_x000D_
</t>
  </si>
  <si>
    <t xml:space="preserve">新規追加_x000D_
改頁しない_x000D_
繰返場所:S6_x000D_
グループ名:患者情報.連絡先_x000D_
プレビューデータ:150-8677_x000D_
書式:G/標準_x000D_
縮小しない_x000D_
テンプレート内外:外_x000D_
</t>
  </si>
  <si>
    <t xml:space="preserve">新規追加_x000D_
改頁しない_x000D_
繰返場所:S9,S10,S11,S12,S13,S14,S15_x000D_
グループ名:患者情報.感染症(+)(-)_x000D_
プレビューデータ:Hbc抗体_x000D_
書式:G/標準_x000D_
縮小しない_x000D_
テンプレート内外:外_x000D_
</t>
  </si>
  <si>
    <t xml:space="preserve">新規追加_x000D_
改頁しない_x000D_
繰返場所:T9,T10,T11,T12,T13,T14,T15_x000D_
グループ名:患者情報.感染症(+)(-)_x000D_
プレビューデータ:(-)_x000D_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</si>
  <si>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表示文字数:10_x000D_
改頁しない_x000D_
プレビューデータ:月_x000D_
書式:G/標準_x000D_
縮小しない_x000D_
テンプレート内外:外_x000D_
</t>
  </si>
  <si>
    <t xml:space="preserve">設定変更_x000D_
書式:0 ⇒ 0.00_x000D_
</t>
  </si>
  <si>
    <t>2025/07/09 14:53:22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</si>
  <si>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</si>
  <si>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&lt;convTable cls=""&gt;&lt;conv code="0" item="不明" disp="不明" /&gt;&lt;conv code="1" item="(-)" disp="(-)" /&gt;&lt;conv code="2" item="(+)" disp="(+)" /&gt;&lt;/convTable&gt;</t>
  </si>
  <si>
    <t>2025/07/10 13:00:54</t>
  </si>
  <si>
    <t xml:space="preserve">設定変更_x000D_
縮小しない_x000D_
</t>
  </si>
  <si>
    <t xml:space="preserve">設定変更_x000D_
表示文字数:5 ⇒ _x000D_
縮小しない_x000D_
</t>
  </si>
  <si>
    <t>##実績.体重情報.CTR測定時体重</t>
  </si>
  <si>
    <t>##実績.体重情報.CTR測定時体重</t>
    <phoneticPr fontId="1"/>
  </si>
  <si>
    <t>##実績.体重情報.CTR測定日時</t>
  </si>
  <si>
    <t>##実績.体重情報.CTR測定日時</t>
    <phoneticPr fontId="1"/>
  </si>
  <si>
    <t>CanBarCode</t>
  </si>
  <si>
    <t>BarCode</t>
  </si>
  <si>
    <t>実績</t>
  </si>
  <si>
    <t>体重情報</t>
  </si>
  <si>
    <t>CTR測定時体重</t>
  </si>
  <si>
    <t>55.05</t>
  </si>
  <si>
    <t>CTR測定日時</t>
  </si>
  <si>
    <t>ctr_measure_date</t>
  </si>
  <si>
    <t>B14:I14</t>
  </si>
  <si>
    <t>2025/10/15 08:59:45</t>
  </si>
  <si>
    <t xml:space="preserve">設定変更_x000D_
繰返場所:G10:H10 ⇒ _x000D_
グループ名:患者情報.身体情報(降順) ⇒ _x000D_
プレビューデータ:58.12 ⇒ 55.05_x000D_
</t>
  </si>
  <si>
    <t xml:space="preserve">設定変更_x000D_
繰返場所:D11:H11 ⇒ _x000D_
グループ名:患者情報.身体情報(降順) ⇒ _x000D_
</t>
  </si>
  <si>
    <t xml:space="preserve">新規追加_x000D_
改頁しない_x000D_
プレビューデータ:1234567_x000D_
縮小しない_x000D_
テンプレート内外:外_x000D_
</t>
  </si>
  <si>
    <t>2025/10/15 08:59:46</t>
  </si>
  <si>
    <t xml:space="preserve">出力値のない列は省略する設定: ⇒ 0_x000D_
表示内容種類: ⇒ 先頭_x000D_
</t>
  </si>
  <si>
    <t>先頭</t>
    <phoneticPr fontId="1"/>
  </si>
  <si>
    <t>透析条件</t>
    <phoneticPr fontId="1"/>
  </si>
  <si>
    <t>2025/10/21 10:54:03</t>
  </si>
  <si>
    <t xml:space="preserve">設定変更_x000D_
書式:0.00 ⇒ 0_x000D_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</si>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</sst>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hh:mm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</font>
    <font>
      <sz val="20"/>
      <color theme="1"/>
      <name val="游ゴシック"/>
      <family val="3"/>
      <charset val="128"/>
    </font>
    <font>
      <sz val="9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20"/>
      <color theme="1"/>
      <name val="游ゴシック"/>
      <family val="3"/>
      <charset val="128"/>
    </font>
    <font>
      <b/>
      <sz val="22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5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NumberFormat="1" applyFont="1" applyFill="1" applyAlignment="1">
      <alignment vertical="center" shrinkToFit="1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4" borderId="0" xfId="0" applyFont="1" applyFill="1">
      <alignment vertical="center"/>
    </xf>
    <xf numFmtId="1" fontId="2" fillId="0" borderId="10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right" vertical="center"/>
    </xf>
    <xf numFmtId="177" fontId="2" fillId="0" borderId="10" xfId="0" applyNumberFormat="1" applyFont="1" applyBorder="1">
      <alignment vertical="center"/>
    </xf>
    <xf numFmtId="0" fontId="2" fillId="4" borderId="0" xfId="0" applyNumberFormat="1" applyFont="1" applyFill="1">
      <alignment vertical="center"/>
    </xf>
    <xf numFmtId="0" fontId="6" fillId="5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horizontal="distributed" vertical="center" indent="5"/>
    </xf>
    <xf numFmtId="0" fontId="8" fillId="0" borderId="6" xfId="0" applyFont="1" applyBorder="1" applyAlignment="1">
      <alignment horizontal="distributed" vertical="center" indent="5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left" vertical="center"/>
    </xf>
    <xf numFmtId="176" fontId="2" fillId="0" borderId="9" xfId="0" applyNumberFormat="1" applyFont="1" applyBorder="1" applyAlignment="1">
      <alignment horizontal="left" vertical="center"/>
    </xf>
    <xf numFmtId="176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shrinkToFit="1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shrinkToFit="1"/>
    </xf>
    <xf numFmtId="0" fontId="2" fillId="0" borderId="8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3" borderId="11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2" xfId="0" applyFont="1" applyFill="1" applyBorder="1">
      <alignment vertical="center"/>
    </xf>
    <xf numFmtId="0" fontId="2" fillId="0" borderId="8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2" borderId="8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left" vertical="center" indent="1"/>
    </xf>
    <xf numFmtId="1" fontId="2" fillId="0" borderId="10" xfId="0" applyNumberFormat="1" applyFont="1" applyBorder="1" applyAlignment="1">
      <alignment horizontal="left" vertical="center" indent="1"/>
    </xf>
    <xf numFmtId="2" fontId="2" fillId="0" borderId="8" xfId="0" applyNumberFormat="1" applyFont="1" applyBorder="1" applyAlignment="1">
      <alignment horizontal="right" vertical="center"/>
    </xf>
    <xf numFmtId="2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 indent="1"/>
    </xf>
    <xf numFmtId="176" fontId="2" fillId="0" borderId="8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  <xf numFmtId="1" fontId="2" fillId="0" borderId="9" xfId="0" applyNumberFormat="1" applyFont="1" applyBorder="1" applyAlignment="1">
      <alignment horizontal="center" vertical="center" shrinkToFit="1"/>
    </xf>
    <xf numFmtId="0" fontId="2" fillId="0" borderId="10" xfId="0" applyNumberFormat="1" applyFont="1" applyBorder="1" applyAlignment="1">
      <alignment horizontal="center" vertical="center" shrinkToFit="1"/>
    </xf>
    <xf numFmtId="1" fontId="2" fillId="0" borderId="9" xfId="0" applyNumberFormat="1" applyFont="1" applyBorder="1" applyAlignment="1">
      <alignment horizontal="left" vertical="center" indent="1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2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176" fontId="2" fillId="0" borderId="0" xfId="0" applyNumberFormat="1" applyFont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right" vertical="center"/>
    </xf>
    <xf numFmtId="1" fontId="2" fillId="0" borderId="9" xfId="0" applyNumberFormat="1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right" vertical="center"/>
    </xf>
    <xf numFmtId="2" fontId="2" fillId="0" borderId="9" xfId="0" applyNumberFormat="1" applyFont="1" applyBorder="1" applyAlignment="1">
      <alignment horizontal="center" vertical="center" shrinkToFit="1"/>
    </xf>
    <xf numFmtId="176" fontId="2" fillId="0" borderId="9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right" vertical="center" indent="1"/>
    </xf>
    <xf numFmtId="1" fontId="2" fillId="0" borderId="9" xfId="0" applyNumberFormat="1" applyFont="1" applyBorder="1" applyAlignment="1">
      <alignment horizontal="right" vertical="center" indent="1"/>
    </xf>
    <xf numFmtId="1" fontId="2" fillId="0" borderId="10" xfId="0" applyNumberFormat="1" applyFont="1" applyBorder="1" applyAlignment="1">
      <alignment horizontal="righ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48B5-FA4C-4B65-8A4B-7B9ACA65353E}">
  <sheetPr codeName="Sheet1"/>
  <dimension ref="A1:E334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69</v>
      </c>
      <c r="C2" s="1" t="s">
        <v>70</v>
      </c>
      <c r="D2" s="1" t="s">
        <v>1</v>
      </c>
      <c r="E2" s="3" t="s">
        <v>71</v>
      </c>
    </row>
    <row r="3" spans="1:5" ht="356.25" x14ac:dyDescent="0.4">
      <c r="A3" s="1" t="s">
        <v>3</v>
      </c>
      <c r="B3" s="1" t="s">
        <v>320</v>
      </c>
      <c r="C3" s="1" t="s">
        <v>73</v>
      </c>
      <c r="D3" s="1" t="s">
        <v>138</v>
      </c>
      <c r="E3" s="3" t="s">
        <v>321</v>
      </c>
    </row>
    <row r="4" spans="1:5" ht="318.75" x14ac:dyDescent="0.4">
      <c r="A4" s="1" t="s">
        <v>3</v>
      </c>
      <c r="B4" s="1" t="s">
        <v>320</v>
      </c>
      <c r="C4" s="1" t="s">
        <v>74</v>
      </c>
      <c r="D4" s="1" t="s">
        <v>143</v>
      </c>
      <c r="E4" s="3" t="s">
        <v>322</v>
      </c>
    </row>
    <row r="5" spans="1:5" ht="243.75" x14ac:dyDescent="0.4">
      <c r="A5" s="1" t="s">
        <v>3</v>
      </c>
      <c r="B5" s="1" t="s">
        <v>320</v>
      </c>
      <c r="C5" s="1" t="s">
        <v>75</v>
      </c>
      <c r="D5" s="1" t="s">
        <v>148</v>
      </c>
      <c r="E5" s="3" t="s">
        <v>323</v>
      </c>
    </row>
    <row r="6" spans="1:5" ht="409.5" x14ac:dyDescent="0.4">
      <c r="A6" s="1" t="s">
        <v>3</v>
      </c>
      <c r="B6" s="1" t="s">
        <v>320</v>
      </c>
      <c r="C6" s="1" t="s">
        <v>76</v>
      </c>
      <c r="D6" s="1" t="s">
        <v>152</v>
      </c>
      <c r="E6" s="3" t="s">
        <v>324</v>
      </c>
    </row>
    <row r="7" spans="1:5" ht="409.5" x14ac:dyDescent="0.4">
      <c r="A7" s="1" t="s">
        <v>3</v>
      </c>
      <c r="B7" s="1" t="s">
        <v>320</v>
      </c>
      <c r="C7" s="1" t="s">
        <v>77</v>
      </c>
      <c r="D7" s="1" t="s">
        <v>154</v>
      </c>
      <c r="E7" s="3" t="s">
        <v>325</v>
      </c>
    </row>
    <row r="8" spans="1:5" ht="300" x14ac:dyDescent="0.4">
      <c r="A8" s="1" t="s">
        <v>3</v>
      </c>
      <c r="B8" s="1" t="s">
        <v>320</v>
      </c>
      <c r="C8" s="1" t="s">
        <v>72</v>
      </c>
      <c r="D8" s="1" t="s">
        <v>158</v>
      </c>
      <c r="E8" s="3" t="s">
        <v>326</v>
      </c>
    </row>
    <row r="9" spans="1:5" ht="337.5" x14ac:dyDescent="0.4">
      <c r="A9" s="1" t="s">
        <v>3</v>
      </c>
      <c r="B9" s="1" t="s">
        <v>320</v>
      </c>
      <c r="C9" s="1" t="s">
        <v>78</v>
      </c>
      <c r="D9" s="1" t="s">
        <v>163</v>
      </c>
      <c r="E9" s="3" t="s">
        <v>327</v>
      </c>
    </row>
    <row r="10" spans="1:5" ht="393.75" x14ac:dyDescent="0.4">
      <c r="A10" s="1" t="s">
        <v>3</v>
      </c>
      <c r="B10" s="1" t="s">
        <v>320</v>
      </c>
      <c r="C10" s="1" t="s">
        <v>79</v>
      </c>
      <c r="D10" s="1" t="s">
        <v>166</v>
      </c>
      <c r="E10" s="3" t="s">
        <v>328</v>
      </c>
    </row>
    <row r="11" spans="1:5" ht="356.25" x14ac:dyDescent="0.4">
      <c r="A11" s="1" t="s">
        <v>3</v>
      </c>
      <c r="B11" s="1" t="s">
        <v>320</v>
      </c>
      <c r="C11" s="1" t="s">
        <v>80</v>
      </c>
      <c r="D11" s="1" t="s">
        <v>171</v>
      </c>
      <c r="E11" s="3" t="s">
        <v>329</v>
      </c>
    </row>
    <row r="12" spans="1:5" ht="409.5" x14ac:dyDescent="0.4">
      <c r="A12" s="1" t="s">
        <v>3</v>
      </c>
      <c r="B12" s="1" t="s">
        <v>320</v>
      </c>
      <c r="C12" s="1" t="s">
        <v>84</v>
      </c>
      <c r="D12" s="1" t="s">
        <v>175</v>
      </c>
      <c r="E12" s="3" t="s">
        <v>330</v>
      </c>
    </row>
    <row r="13" spans="1:5" ht="409.5" x14ac:dyDescent="0.4">
      <c r="A13" s="1" t="s">
        <v>3</v>
      </c>
      <c r="B13" s="1" t="s">
        <v>320</v>
      </c>
      <c r="C13" s="1" t="s">
        <v>82</v>
      </c>
      <c r="D13" s="1" t="s">
        <v>178</v>
      </c>
      <c r="E13" s="3" t="s">
        <v>331</v>
      </c>
    </row>
    <row r="14" spans="1:5" ht="409.5" x14ac:dyDescent="0.4">
      <c r="A14" s="1" t="s">
        <v>3</v>
      </c>
      <c r="B14" s="1" t="s">
        <v>320</v>
      </c>
      <c r="C14" s="1" t="s">
        <v>81</v>
      </c>
      <c r="D14" s="1" t="s">
        <v>181</v>
      </c>
      <c r="E14" s="3" t="s">
        <v>332</v>
      </c>
    </row>
    <row r="15" spans="1:5" ht="409.5" x14ac:dyDescent="0.4">
      <c r="A15" s="1" t="s">
        <v>3</v>
      </c>
      <c r="B15" s="1" t="s">
        <v>320</v>
      </c>
      <c r="C15" s="1" t="s">
        <v>83</v>
      </c>
      <c r="D15" s="1" t="s">
        <v>184</v>
      </c>
      <c r="E15" s="3" t="s">
        <v>333</v>
      </c>
    </row>
    <row r="16" spans="1:5" ht="318.75" x14ac:dyDescent="0.4">
      <c r="A16" s="1" t="s">
        <v>3</v>
      </c>
      <c r="B16" s="1" t="s">
        <v>320</v>
      </c>
      <c r="C16" s="1" t="s">
        <v>85</v>
      </c>
      <c r="D16" s="1" t="s">
        <v>187</v>
      </c>
      <c r="E16" s="3" t="s">
        <v>322</v>
      </c>
    </row>
    <row r="17" spans="1:5" ht="262.5" x14ac:dyDescent="0.4">
      <c r="A17" s="1" t="s">
        <v>3</v>
      </c>
      <c r="B17" s="1" t="s">
        <v>320</v>
      </c>
      <c r="C17" s="1" t="s">
        <v>86</v>
      </c>
      <c r="D17" s="1" t="s">
        <v>195</v>
      </c>
      <c r="E17" s="3" t="s">
        <v>334</v>
      </c>
    </row>
    <row r="18" spans="1:5" ht="409.5" x14ac:dyDescent="0.4">
      <c r="A18" s="1" t="s">
        <v>3</v>
      </c>
      <c r="B18" s="1" t="s">
        <v>320</v>
      </c>
      <c r="C18" s="1" t="s">
        <v>122</v>
      </c>
      <c r="D18" s="1" t="s">
        <v>200</v>
      </c>
      <c r="E18" s="3" t="s">
        <v>335</v>
      </c>
    </row>
    <row r="19" spans="1:5" ht="409.5" x14ac:dyDescent="0.4">
      <c r="A19" s="1" t="s">
        <v>3</v>
      </c>
      <c r="B19" s="1" t="s">
        <v>320</v>
      </c>
      <c r="C19" s="1" t="s">
        <v>123</v>
      </c>
      <c r="D19" s="1" t="s">
        <v>206</v>
      </c>
      <c r="E19" s="3" t="s">
        <v>336</v>
      </c>
    </row>
    <row r="20" spans="1:5" ht="409.5" x14ac:dyDescent="0.4">
      <c r="A20" s="1" t="s">
        <v>3</v>
      </c>
      <c r="B20" s="1" t="s">
        <v>320</v>
      </c>
      <c r="C20" s="1" t="s">
        <v>87</v>
      </c>
      <c r="D20" s="1" t="s">
        <v>211</v>
      </c>
      <c r="E20" s="3" t="s">
        <v>337</v>
      </c>
    </row>
    <row r="21" spans="1:5" ht="409.5" x14ac:dyDescent="0.4">
      <c r="A21" s="1" t="s">
        <v>3</v>
      </c>
      <c r="B21" s="1" t="s">
        <v>320</v>
      </c>
      <c r="C21" s="1" t="s">
        <v>88</v>
      </c>
      <c r="D21" s="1" t="s">
        <v>213</v>
      </c>
      <c r="E21" s="3" t="s">
        <v>338</v>
      </c>
    </row>
    <row r="22" spans="1:5" ht="409.5" x14ac:dyDescent="0.4">
      <c r="A22" s="1" t="s">
        <v>3</v>
      </c>
      <c r="B22" s="1" t="s">
        <v>320</v>
      </c>
      <c r="C22" s="1" t="s">
        <v>89</v>
      </c>
      <c r="D22" s="1" t="s">
        <v>214</v>
      </c>
      <c r="E22" s="3" t="s">
        <v>339</v>
      </c>
    </row>
    <row r="23" spans="1:5" ht="318.75" x14ac:dyDescent="0.4">
      <c r="A23" s="1" t="s">
        <v>3</v>
      </c>
      <c r="B23" s="1" t="s">
        <v>320</v>
      </c>
      <c r="C23" s="1" t="s">
        <v>90</v>
      </c>
      <c r="D23" s="1" t="s">
        <v>218</v>
      </c>
      <c r="E23" s="3" t="s">
        <v>340</v>
      </c>
    </row>
    <row r="24" spans="1:5" ht="300" x14ac:dyDescent="0.4">
      <c r="A24" s="1" t="s">
        <v>3</v>
      </c>
      <c r="B24" s="1" t="s">
        <v>320</v>
      </c>
      <c r="C24" s="1" t="s">
        <v>98</v>
      </c>
      <c r="D24" s="1" t="s">
        <v>224</v>
      </c>
      <c r="E24" s="3" t="s">
        <v>341</v>
      </c>
    </row>
    <row r="25" spans="1:5" ht="243.75" x14ac:dyDescent="0.4">
      <c r="A25" s="1" t="s">
        <v>3</v>
      </c>
      <c r="B25" s="1" t="s">
        <v>320</v>
      </c>
      <c r="C25" s="1" t="s">
        <v>97</v>
      </c>
      <c r="D25" s="1" t="s">
        <v>227</v>
      </c>
      <c r="E25" s="3" t="s">
        <v>342</v>
      </c>
    </row>
    <row r="26" spans="1:5" ht="243.75" x14ac:dyDescent="0.4">
      <c r="A26" s="1" t="s">
        <v>3</v>
      </c>
      <c r="B26" s="1" t="s">
        <v>320</v>
      </c>
      <c r="C26" s="1" t="s">
        <v>96</v>
      </c>
      <c r="D26" s="1" t="s">
        <v>229</v>
      </c>
      <c r="E26" s="3" t="s">
        <v>343</v>
      </c>
    </row>
    <row r="27" spans="1:5" ht="409.5" x14ac:dyDescent="0.4">
      <c r="A27" s="1" t="s">
        <v>3</v>
      </c>
      <c r="B27" s="1" t="s">
        <v>320</v>
      </c>
      <c r="C27" s="1" t="s">
        <v>99</v>
      </c>
      <c r="D27" s="1" t="s">
        <v>234</v>
      </c>
      <c r="E27" s="3" t="s">
        <v>344</v>
      </c>
    </row>
    <row r="28" spans="1:5" ht="356.25" x14ac:dyDescent="0.4">
      <c r="A28" s="1" t="s">
        <v>3</v>
      </c>
      <c r="B28" s="1" t="s">
        <v>320</v>
      </c>
      <c r="C28" s="1" t="s">
        <v>100</v>
      </c>
      <c r="D28" s="1" t="s">
        <v>236</v>
      </c>
      <c r="E28" s="3" t="s">
        <v>345</v>
      </c>
    </row>
    <row r="29" spans="1:5" ht="300" x14ac:dyDescent="0.4">
      <c r="A29" s="1" t="s">
        <v>3</v>
      </c>
      <c r="B29" s="1" t="s">
        <v>320</v>
      </c>
      <c r="C29" s="1" t="s">
        <v>101</v>
      </c>
      <c r="D29" s="1" t="s">
        <v>240</v>
      </c>
      <c r="E29" s="3" t="s">
        <v>346</v>
      </c>
    </row>
    <row r="30" spans="1:5" ht="262.5" x14ac:dyDescent="0.4">
      <c r="A30" s="1" t="s">
        <v>3</v>
      </c>
      <c r="B30" s="1" t="s">
        <v>320</v>
      </c>
      <c r="C30" s="1" t="s">
        <v>102</v>
      </c>
      <c r="D30" s="1" t="s">
        <v>244</v>
      </c>
      <c r="E30" s="3" t="s">
        <v>347</v>
      </c>
    </row>
    <row r="31" spans="1:5" ht="300" x14ac:dyDescent="0.4">
      <c r="A31" s="1" t="s">
        <v>3</v>
      </c>
      <c r="B31" s="1" t="s">
        <v>320</v>
      </c>
      <c r="C31" s="1" t="s">
        <v>101</v>
      </c>
      <c r="D31" s="1" t="s">
        <v>245</v>
      </c>
      <c r="E31" s="3" t="s">
        <v>348</v>
      </c>
    </row>
    <row r="32" spans="1:5" ht="262.5" x14ac:dyDescent="0.4">
      <c r="A32" s="1" t="s">
        <v>3</v>
      </c>
      <c r="B32" s="1" t="s">
        <v>320</v>
      </c>
      <c r="C32" s="1" t="s">
        <v>103</v>
      </c>
      <c r="D32" s="1" t="s">
        <v>249</v>
      </c>
      <c r="E32" s="3" t="s">
        <v>349</v>
      </c>
    </row>
    <row r="33" spans="1:5" ht="318.75" x14ac:dyDescent="0.4">
      <c r="A33" s="1" t="s">
        <v>3</v>
      </c>
      <c r="B33" s="1" t="s">
        <v>320</v>
      </c>
      <c r="C33" s="1" t="s">
        <v>104</v>
      </c>
      <c r="D33" s="1" t="s">
        <v>253</v>
      </c>
      <c r="E33" s="3" t="s">
        <v>350</v>
      </c>
    </row>
    <row r="34" spans="1:5" ht="409.5" x14ac:dyDescent="0.4">
      <c r="A34" s="1" t="s">
        <v>3</v>
      </c>
      <c r="B34" s="1" t="s">
        <v>320</v>
      </c>
      <c r="C34" s="1" t="s">
        <v>124</v>
      </c>
      <c r="D34" s="1" t="s">
        <v>257</v>
      </c>
      <c r="E34" s="3" t="s">
        <v>351</v>
      </c>
    </row>
    <row r="35" spans="1:5" ht="337.5" x14ac:dyDescent="0.4">
      <c r="A35" s="1" t="s">
        <v>3</v>
      </c>
      <c r="B35" s="1" t="s">
        <v>320</v>
      </c>
      <c r="C35" s="1" t="s">
        <v>107</v>
      </c>
      <c r="D35" s="1" t="s">
        <v>262</v>
      </c>
      <c r="E35" s="3" t="s">
        <v>352</v>
      </c>
    </row>
    <row r="36" spans="1:5" ht="393.75" x14ac:dyDescent="0.4">
      <c r="A36" s="1" t="s">
        <v>3</v>
      </c>
      <c r="B36" s="1" t="s">
        <v>320</v>
      </c>
      <c r="C36" s="1" t="s">
        <v>127</v>
      </c>
      <c r="D36" s="1" t="s">
        <v>266</v>
      </c>
      <c r="E36" s="3" t="s">
        <v>353</v>
      </c>
    </row>
    <row r="37" spans="1:5" ht="393.75" x14ac:dyDescent="0.4">
      <c r="A37" s="1" t="s">
        <v>3</v>
      </c>
      <c r="B37" s="1" t="s">
        <v>320</v>
      </c>
      <c r="C37" s="1" t="s">
        <v>129</v>
      </c>
      <c r="D37" s="1" t="s">
        <v>270</v>
      </c>
      <c r="E37" s="3" t="s">
        <v>354</v>
      </c>
    </row>
    <row r="38" spans="1:5" ht="262.5" x14ac:dyDescent="0.4">
      <c r="A38" s="1" t="s">
        <v>3</v>
      </c>
      <c r="B38" s="1" t="s">
        <v>320</v>
      </c>
      <c r="C38" s="1" t="s">
        <v>108</v>
      </c>
      <c r="D38" s="1" t="s">
        <v>274</v>
      </c>
      <c r="E38" s="3" t="s">
        <v>355</v>
      </c>
    </row>
    <row r="39" spans="1:5" ht="409.5" x14ac:dyDescent="0.4">
      <c r="A39" s="1" t="s">
        <v>3</v>
      </c>
      <c r="B39" s="1" t="s">
        <v>320</v>
      </c>
      <c r="C39" s="1" t="s">
        <v>126</v>
      </c>
      <c r="D39" s="1" t="s">
        <v>278</v>
      </c>
      <c r="E39" s="3" t="s">
        <v>356</v>
      </c>
    </row>
    <row r="40" spans="1:5" ht="300" x14ac:dyDescent="0.4">
      <c r="A40" s="1" t="s">
        <v>3</v>
      </c>
      <c r="B40" s="1" t="s">
        <v>320</v>
      </c>
      <c r="C40" s="1" t="s">
        <v>120</v>
      </c>
      <c r="D40" s="1" t="s">
        <v>286</v>
      </c>
      <c r="E40" s="3" t="s">
        <v>357</v>
      </c>
    </row>
    <row r="41" spans="1:5" ht="409.5" x14ac:dyDescent="0.4">
      <c r="A41" s="1" t="s">
        <v>3</v>
      </c>
      <c r="B41" s="1" t="s">
        <v>320</v>
      </c>
      <c r="C41" s="1" t="s">
        <v>121</v>
      </c>
      <c r="D41" s="1" t="s">
        <v>292</v>
      </c>
      <c r="E41" s="3" t="s">
        <v>358</v>
      </c>
    </row>
    <row r="42" spans="1:5" ht="262.5" x14ac:dyDescent="0.4">
      <c r="A42" s="1" t="s">
        <v>3</v>
      </c>
      <c r="B42" s="1" t="s">
        <v>320</v>
      </c>
      <c r="C42" s="1" t="s">
        <v>118</v>
      </c>
      <c r="D42" s="1" t="s">
        <v>296</v>
      </c>
      <c r="E42" s="3" t="s">
        <v>359</v>
      </c>
    </row>
    <row r="43" spans="1:5" ht="262.5" x14ac:dyDescent="0.4">
      <c r="A43" s="1" t="s">
        <v>3</v>
      </c>
      <c r="B43" s="1" t="s">
        <v>320</v>
      </c>
      <c r="C43" s="1" t="s">
        <v>118</v>
      </c>
      <c r="D43" s="1" t="s">
        <v>297</v>
      </c>
      <c r="E43" s="3" t="s">
        <v>359</v>
      </c>
    </row>
    <row r="44" spans="1:5" ht="356.25" x14ac:dyDescent="0.4">
      <c r="A44" s="1" t="s">
        <v>3</v>
      </c>
      <c r="B44" s="1" t="s">
        <v>320</v>
      </c>
      <c r="C44" s="1" t="s">
        <v>116</v>
      </c>
      <c r="D44" s="1" t="s">
        <v>303</v>
      </c>
      <c r="E44" s="3" t="s">
        <v>360</v>
      </c>
    </row>
    <row r="45" spans="1:5" ht="318.75" x14ac:dyDescent="0.4">
      <c r="A45" s="1" t="s">
        <v>3</v>
      </c>
      <c r="B45" s="1" t="s">
        <v>320</v>
      </c>
      <c r="C45" s="1" t="s">
        <v>115</v>
      </c>
      <c r="D45" s="1" t="s">
        <v>308</v>
      </c>
      <c r="E45" s="3" t="s">
        <v>361</v>
      </c>
    </row>
    <row r="46" spans="1:5" ht="337.5" x14ac:dyDescent="0.4">
      <c r="A46" s="1" t="s">
        <v>3</v>
      </c>
      <c r="B46" s="1" t="s">
        <v>320</v>
      </c>
      <c r="C46" s="1" t="s">
        <v>117</v>
      </c>
      <c r="D46" s="1" t="s">
        <v>312</v>
      </c>
      <c r="E46" s="3" t="s">
        <v>362</v>
      </c>
    </row>
    <row r="47" spans="1:5" ht="318.75" x14ac:dyDescent="0.4">
      <c r="A47" s="1" t="s">
        <v>3</v>
      </c>
      <c r="B47" s="1" t="s">
        <v>320</v>
      </c>
      <c r="C47" s="1" t="s">
        <v>109</v>
      </c>
      <c r="D47" s="1" t="s">
        <v>316</v>
      </c>
      <c r="E47" s="3" t="s">
        <v>322</v>
      </c>
    </row>
    <row r="48" spans="1:5" ht="318.75" x14ac:dyDescent="0.4">
      <c r="A48" s="1" t="s">
        <v>3</v>
      </c>
      <c r="B48" s="1" t="s">
        <v>320</v>
      </c>
      <c r="C48" s="1" t="s">
        <v>119</v>
      </c>
      <c r="D48" s="1" t="s">
        <v>319</v>
      </c>
      <c r="E48" s="3" t="s">
        <v>363</v>
      </c>
    </row>
    <row r="49" spans="1:5" ht="56.25" x14ac:dyDescent="0.4">
      <c r="A49" s="1" t="s">
        <v>3</v>
      </c>
      <c r="B49" s="1" t="s">
        <v>370</v>
      </c>
      <c r="C49" s="1" t="s">
        <v>364</v>
      </c>
      <c r="D49" s="1" t="s">
        <v>371</v>
      </c>
      <c r="E49" s="3" t="s">
        <v>372</v>
      </c>
    </row>
    <row r="50" spans="1:5" ht="56.25" x14ac:dyDescent="0.4">
      <c r="A50" s="1" t="s">
        <v>3</v>
      </c>
      <c r="B50" s="1" t="s">
        <v>370</v>
      </c>
      <c r="C50" s="1" t="s">
        <v>365</v>
      </c>
      <c r="D50" s="1" t="s">
        <v>371</v>
      </c>
      <c r="E50" s="3" t="s">
        <v>372</v>
      </c>
    </row>
    <row r="51" spans="1:5" ht="56.25" x14ac:dyDescent="0.4">
      <c r="A51" s="1" t="s">
        <v>3</v>
      </c>
      <c r="B51" s="1" t="s">
        <v>370</v>
      </c>
      <c r="C51" s="1" t="s">
        <v>366</v>
      </c>
      <c r="D51" s="1" t="s">
        <v>371</v>
      </c>
      <c r="E51" s="3" t="s">
        <v>372</v>
      </c>
    </row>
    <row r="52" spans="1:5" ht="56.25" x14ac:dyDescent="0.4">
      <c r="A52" s="1" t="s">
        <v>3</v>
      </c>
      <c r="B52" s="1" t="s">
        <v>370</v>
      </c>
      <c r="C52" s="1" t="s">
        <v>367</v>
      </c>
      <c r="D52" s="1" t="s">
        <v>371</v>
      </c>
      <c r="E52" s="3" t="s">
        <v>372</v>
      </c>
    </row>
    <row r="53" spans="1:5" ht="56.25" x14ac:dyDescent="0.4">
      <c r="A53" s="1" t="s">
        <v>3</v>
      </c>
      <c r="B53" s="1" t="s">
        <v>370</v>
      </c>
      <c r="C53" s="1" t="s">
        <v>368</v>
      </c>
      <c r="D53" s="1" t="s">
        <v>371</v>
      </c>
      <c r="E53" s="3" t="s">
        <v>372</v>
      </c>
    </row>
    <row r="54" spans="1:5" ht="56.25" x14ac:dyDescent="0.4">
      <c r="A54" s="1" t="s">
        <v>3</v>
      </c>
      <c r="B54" s="1" t="s">
        <v>370</v>
      </c>
      <c r="C54" s="1" t="s">
        <v>369</v>
      </c>
      <c r="D54" s="1" t="s">
        <v>371</v>
      </c>
      <c r="E54" s="3" t="s">
        <v>372</v>
      </c>
    </row>
    <row r="55" spans="1:5" ht="409.5" x14ac:dyDescent="0.4">
      <c r="A55" s="1" t="s">
        <v>3</v>
      </c>
      <c r="B55" s="1" t="s">
        <v>386</v>
      </c>
      <c r="C55" s="1" t="s">
        <v>376</v>
      </c>
      <c r="D55" s="1" t="s">
        <v>380</v>
      </c>
      <c r="E55" s="3" t="s">
        <v>387</v>
      </c>
    </row>
    <row r="56" spans="1:5" ht="112.5" x14ac:dyDescent="0.4">
      <c r="A56" s="1" t="s">
        <v>3</v>
      </c>
      <c r="B56" s="1" t="s">
        <v>386</v>
      </c>
      <c r="C56" s="1" t="s">
        <v>382</v>
      </c>
      <c r="D56" s="1" t="s">
        <v>292</v>
      </c>
      <c r="E56" s="3" t="s">
        <v>388</v>
      </c>
    </row>
    <row r="57" spans="1:5" ht="409.5" x14ac:dyDescent="0.4">
      <c r="A57" s="1" t="s">
        <v>3</v>
      </c>
      <c r="B57" s="1" t="s">
        <v>386</v>
      </c>
      <c r="C57" s="1" t="s">
        <v>375</v>
      </c>
      <c r="D57" s="1" t="s">
        <v>385</v>
      </c>
      <c r="E57" s="3" t="s">
        <v>389</v>
      </c>
    </row>
    <row r="58" spans="1:5" ht="56.25" x14ac:dyDescent="0.4">
      <c r="A58" s="1" t="s">
        <v>3</v>
      </c>
      <c r="B58" s="1" t="s">
        <v>386</v>
      </c>
      <c r="C58" s="1" t="s">
        <v>390</v>
      </c>
      <c r="D58" s="1" t="s">
        <v>371</v>
      </c>
      <c r="E58" s="3" t="s">
        <v>372</v>
      </c>
    </row>
    <row r="59" spans="1:5" x14ac:dyDescent="0.4">
      <c r="A59" s="1" t="s">
        <v>3</v>
      </c>
      <c r="B59" s="1" t="s">
        <v>386</v>
      </c>
      <c r="C59" s="1" t="s">
        <v>367</v>
      </c>
      <c r="D59" s="1" t="s">
        <v>371</v>
      </c>
      <c r="E59" s="1" t="s">
        <v>391</v>
      </c>
    </row>
    <row r="60" spans="1:5" ht="206.25" x14ac:dyDescent="0.4">
      <c r="A60" s="1" t="s">
        <v>3</v>
      </c>
      <c r="B60" s="1" t="s">
        <v>397</v>
      </c>
      <c r="C60" s="1" t="s">
        <v>392</v>
      </c>
      <c r="D60" s="1" t="s">
        <v>211</v>
      </c>
      <c r="E60" s="3" t="s">
        <v>398</v>
      </c>
    </row>
    <row r="61" spans="1:5" ht="206.25" x14ac:dyDescent="0.4">
      <c r="A61" s="1" t="s">
        <v>3</v>
      </c>
      <c r="B61" s="1" t="s">
        <v>397</v>
      </c>
      <c r="C61" s="1" t="s">
        <v>393</v>
      </c>
      <c r="D61" s="1" t="s">
        <v>213</v>
      </c>
      <c r="E61" s="3" t="s">
        <v>398</v>
      </c>
    </row>
    <row r="62" spans="1:5" ht="337.5" x14ac:dyDescent="0.4">
      <c r="A62" s="1" t="s">
        <v>3</v>
      </c>
      <c r="B62" s="1" t="s">
        <v>397</v>
      </c>
      <c r="C62" s="1" t="s">
        <v>394</v>
      </c>
      <c r="D62" s="1" t="s">
        <v>214</v>
      </c>
      <c r="E62" s="3" t="s">
        <v>399</v>
      </c>
    </row>
    <row r="63" spans="1:5" ht="56.25" x14ac:dyDescent="0.4">
      <c r="A63" s="1" t="s">
        <v>3</v>
      </c>
      <c r="B63" s="1" t="s">
        <v>397</v>
      </c>
      <c r="C63" s="1" t="s">
        <v>400</v>
      </c>
      <c r="D63" s="1" t="s">
        <v>371</v>
      </c>
      <c r="E63" s="3" t="s">
        <v>372</v>
      </c>
    </row>
    <row r="64" spans="1:5" x14ac:dyDescent="0.4">
      <c r="A64" s="1" t="s">
        <v>3</v>
      </c>
      <c r="B64" s="1" t="s">
        <v>397</v>
      </c>
      <c r="C64" s="1" t="s">
        <v>365</v>
      </c>
      <c r="D64" s="1" t="s">
        <v>371</v>
      </c>
      <c r="E64" s="1" t="s">
        <v>391</v>
      </c>
    </row>
    <row r="65" spans="1:5" ht="225" x14ac:dyDescent="0.4">
      <c r="A65" s="1" t="s">
        <v>3</v>
      </c>
      <c r="B65" s="1" t="s">
        <v>405</v>
      </c>
      <c r="C65" s="1" t="s">
        <v>404</v>
      </c>
      <c r="D65" s="1" t="s">
        <v>229</v>
      </c>
      <c r="E65" s="3" t="s">
        <v>406</v>
      </c>
    </row>
    <row r="66" spans="1:5" ht="56.25" x14ac:dyDescent="0.4">
      <c r="A66" s="1" t="s">
        <v>3</v>
      </c>
      <c r="B66" s="1" t="s">
        <v>405</v>
      </c>
      <c r="C66" s="1" t="s">
        <v>407</v>
      </c>
      <c r="D66" s="1" t="s">
        <v>371</v>
      </c>
      <c r="E66" s="3" t="s">
        <v>372</v>
      </c>
    </row>
    <row r="67" spans="1:5" ht="93.75" x14ac:dyDescent="0.4">
      <c r="A67" s="1" t="s">
        <v>3</v>
      </c>
      <c r="B67" s="1" t="s">
        <v>411</v>
      </c>
      <c r="C67" s="1" t="s">
        <v>73</v>
      </c>
      <c r="D67" s="1" t="s">
        <v>138</v>
      </c>
      <c r="E67" s="3" t="s">
        <v>412</v>
      </c>
    </row>
    <row r="68" spans="1:5" ht="93.75" x14ac:dyDescent="0.4">
      <c r="A68" s="1" t="s">
        <v>3</v>
      </c>
      <c r="B68" s="1" t="s">
        <v>411</v>
      </c>
      <c r="C68" s="1" t="s">
        <v>78</v>
      </c>
      <c r="D68" s="1" t="s">
        <v>163</v>
      </c>
      <c r="E68" s="3" t="s">
        <v>413</v>
      </c>
    </row>
    <row r="69" spans="1:5" ht="93.75" x14ac:dyDescent="0.4">
      <c r="A69" s="1" t="s">
        <v>3</v>
      </c>
      <c r="B69" s="1" t="s">
        <v>411</v>
      </c>
      <c r="C69" s="1" t="s">
        <v>79</v>
      </c>
      <c r="D69" s="1" t="s">
        <v>166</v>
      </c>
      <c r="E69" s="3" t="s">
        <v>414</v>
      </c>
    </row>
    <row r="70" spans="1:5" ht="93.75" x14ac:dyDescent="0.4">
      <c r="A70" s="1" t="s">
        <v>3</v>
      </c>
      <c r="B70" s="1" t="s">
        <v>411</v>
      </c>
      <c r="C70" s="1" t="s">
        <v>84</v>
      </c>
      <c r="D70" s="1" t="s">
        <v>175</v>
      </c>
      <c r="E70" s="3" t="s">
        <v>414</v>
      </c>
    </row>
    <row r="71" spans="1:5" ht="93.75" x14ac:dyDescent="0.4">
      <c r="A71" s="1" t="s">
        <v>3</v>
      </c>
      <c r="B71" s="1" t="s">
        <v>411</v>
      </c>
      <c r="C71" s="1" t="s">
        <v>83</v>
      </c>
      <c r="D71" s="1" t="s">
        <v>184</v>
      </c>
      <c r="E71" s="3" t="s">
        <v>414</v>
      </c>
    </row>
    <row r="72" spans="1:5" ht="93.75" x14ac:dyDescent="0.4">
      <c r="A72" s="1" t="s">
        <v>3</v>
      </c>
      <c r="B72" s="1" t="s">
        <v>411</v>
      </c>
      <c r="C72" s="1" t="s">
        <v>90</v>
      </c>
      <c r="D72" s="1" t="s">
        <v>218</v>
      </c>
      <c r="E72" s="3" t="s">
        <v>415</v>
      </c>
    </row>
    <row r="73" spans="1:5" ht="93.75" x14ac:dyDescent="0.4">
      <c r="A73" s="1" t="s">
        <v>3</v>
      </c>
      <c r="B73" s="1" t="s">
        <v>411</v>
      </c>
      <c r="C73" s="1" t="s">
        <v>98</v>
      </c>
      <c r="D73" s="1" t="s">
        <v>224</v>
      </c>
      <c r="E73" s="3" t="s">
        <v>416</v>
      </c>
    </row>
    <row r="74" spans="1:5" ht="300" x14ac:dyDescent="0.4">
      <c r="A74" s="1" t="s">
        <v>3</v>
      </c>
      <c r="B74" s="1" t="s">
        <v>411</v>
      </c>
      <c r="C74" s="1" t="s">
        <v>408</v>
      </c>
      <c r="D74" s="1" t="s">
        <v>229</v>
      </c>
      <c r="E74" s="3" t="s">
        <v>417</v>
      </c>
    </row>
    <row r="75" spans="1:5" ht="93.75" x14ac:dyDescent="0.4">
      <c r="A75" s="1" t="s">
        <v>3</v>
      </c>
      <c r="B75" s="1" t="s">
        <v>411</v>
      </c>
      <c r="C75" s="1" t="s">
        <v>101</v>
      </c>
      <c r="D75" s="1" t="s">
        <v>245</v>
      </c>
      <c r="E75" s="3" t="s">
        <v>418</v>
      </c>
    </row>
    <row r="76" spans="1:5" ht="93.75" x14ac:dyDescent="0.4">
      <c r="A76" s="1" t="s">
        <v>3</v>
      </c>
      <c r="B76" s="1" t="s">
        <v>411</v>
      </c>
      <c r="C76" s="1" t="s">
        <v>104</v>
      </c>
      <c r="D76" s="1" t="s">
        <v>253</v>
      </c>
      <c r="E76" s="3" t="s">
        <v>418</v>
      </c>
    </row>
    <row r="77" spans="1:5" x14ac:dyDescent="0.4">
      <c r="A77" s="1" t="s">
        <v>3</v>
      </c>
      <c r="B77" s="1" t="s">
        <v>419</v>
      </c>
      <c r="C77" s="1" t="s">
        <v>407</v>
      </c>
      <c r="D77" s="1" t="s">
        <v>371</v>
      </c>
      <c r="E77" s="1" t="s">
        <v>391</v>
      </c>
    </row>
    <row r="78" spans="1:5" ht="356.25" x14ac:dyDescent="0.4">
      <c r="A78" s="1" t="s">
        <v>3</v>
      </c>
      <c r="B78" s="1" t="s">
        <v>422</v>
      </c>
      <c r="C78" s="1" t="s">
        <v>404</v>
      </c>
      <c r="D78" s="1" t="s">
        <v>421</v>
      </c>
      <c r="E78" s="3" t="s">
        <v>423</v>
      </c>
    </row>
    <row r="79" spans="1:5" ht="112.5" x14ac:dyDescent="0.4">
      <c r="A79" s="1" t="s">
        <v>3</v>
      </c>
      <c r="B79" s="1" t="s">
        <v>422</v>
      </c>
      <c r="C79" s="1" t="s">
        <v>420</v>
      </c>
      <c r="D79" s="1" t="s">
        <v>229</v>
      </c>
      <c r="E79" s="3" t="s">
        <v>424</v>
      </c>
    </row>
    <row r="80" spans="1:5" ht="56.25" x14ac:dyDescent="0.4">
      <c r="A80" s="1" t="s">
        <v>3</v>
      </c>
      <c r="B80" s="1" t="s">
        <v>422</v>
      </c>
      <c r="C80" s="1" t="s">
        <v>425</v>
      </c>
      <c r="D80" s="1" t="s">
        <v>371</v>
      </c>
      <c r="E80" s="3" t="s">
        <v>372</v>
      </c>
    </row>
    <row r="81" spans="1:5" ht="150" x14ac:dyDescent="0.4">
      <c r="A81" s="1" t="s">
        <v>3</v>
      </c>
      <c r="B81" s="1" t="s">
        <v>426</v>
      </c>
      <c r="C81" s="1" t="s">
        <v>408</v>
      </c>
      <c r="D81" s="1" t="s">
        <v>229</v>
      </c>
      <c r="E81" s="3" t="s">
        <v>427</v>
      </c>
    </row>
    <row r="82" spans="1:5" ht="112.5" x14ac:dyDescent="0.4">
      <c r="A82" s="1" t="s">
        <v>3</v>
      </c>
      <c r="B82" s="1" t="s">
        <v>429</v>
      </c>
      <c r="C82" s="1" t="s">
        <v>96</v>
      </c>
      <c r="D82" s="1" t="s">
        <v>229</v>
      </c>
      <c r="E82" s="3" t="s">
        <v>424</v>
      </c>
    </row>
    <row r="83" spans="1:5" x14ac:dyDescent="0.4">
      <c r="A83" s="1" t="s">
        <v>3</v>
      </c>
      <c r="B83" s="1" t="s">
        <v>429</v>
      </c>
      <c r="C83" s="1" t="s">
        <v>404</v>
      </c>
      <c r="D83" s="1" t="s">
        <v>421</v>
      </c>
      <c r="E83" s="1" t="s">
        <v>391</v>
      </c>
    </row>
    <row r="84" spans="1:5" x14ac:dyDescent="0.4">
      <c r="A84" s="1" t="s">
        <v>3</v>
      </c>
      <c r="B84" s="1" t="s">
        <v>430</v>
      </c>
      <c r="C84" s="1" t="s">
        <v>425</v>
      </c>
      <c r="D84" s="1" t="s">
        <v>371</v>
      </c>
      <c r="E84" s="1" t="s">
        <v>391</v>
      </c>
    </row>
    <row r="85" spans="1:5" ht="375" x14ac:dyDescent="0.4">
      <c r="A85" s="1" t="s">
        <v>3</v>
      </c>
      <c r="B85" s="1" t="s">
        <v>433</v>
      </c>
      <c r="C85" s="1" t="s">
        <v>100</v>
      </c>
      <c r="D85" s="1" t="s">
        <v>432</v>
      </c>
      <c r="E85" s="3" t="s">
        <v>434</v>
      </c>
    </row>
    <row r="86" spans="1:5" x14ac:dyDescent="0.4">
      <c r="A86" s="1" t="s">
        <v>3</v>
      </c>
      <c r="B86" s="1" t="s">
        <v>433</v>
      </c>
      <c r="C86" s="1" t="s">
        <v>100</v>
      </c>
      <c r="D86" s="1" t="s">
        <v>236</v>
      </c>
      <c r="E86" s="1" t="s">
        <v>391</v>
      </c>
    </row>
    <row r="87" spans="1:5" ht="187.5" x14ac:dyDescent="0.4">
      <c r="A87" s="1" t="s">
        <v>3</v>
      </c>
      <c r="B87" s="1" t="s">
        <v>435</v>
      </c>
      <c r="C87" s="1" t="s">
        <v>436</v>
      </c>
      <c r="D87" s="1" t="s">
        <v>1</v>
      </c>
      <c r="E87" s="3" t="s">
        <v>437</v>
      </c>
    </row>
    <row r="88" spans="1:5" ht="93.75" x14ac:dyDescent="0.4">
      <c r="A88" s="1" t="s">
        <v>3</v>
      </c>
      <c r="B88" s="1" t="s">
        <v>438</v>
      </c>
      <c r="C88" s="1" t="s">
        <v>73</v>
      </c>
      <c r="D88" s="1" t="s">
        <v>138</v>
      </c>
      <c r="E88" s="3" t="s">
        <v>439</v>
      </c>
    </row>
    <row r="89" spans="1:5" ht="93.75" x14ac:dyDescent="0.4">
      <c r="A89" s="1" t="s">
        <v>3</v>
      </c>
      <c r="B89" s="1" t="s">
        <v>438</v>
      </c>
      <c r="C89" s="1" t="s">
        <v>74</v>
      </c>
      <c r="D89" s="1" t="s">
        <v>143</v>
      </c>
      <c r="E89" s="3" t="s">
        <v>439</v>
      </c>
    </row>
    <row r="90" spans="1:5" ht="93.75" x14ac:dyDescent="0.4">
      <c r="A90" s="1" t="s">
        <v>3</v>
      </c>
      <c r="B90" s="1" t="s">
        <v>438</v>
      </c>
      <c r="C90" s="1" t="s">
        <v>75</v>
      </c>
      <c r="D90" s="1" t="s">
        <v>148</v>
      </c>
      <c r="E90" s="3" t="s">
        <v>439</v>
      </c>
    </row>
    <row r="91" spans="1:5" ht="93.75" x14ac:dyDescent="0.4">
      <c r="A91" s="1" t="s">
        <v>3</v>
      </c>
      <c r="B91" s="1" t="s">
        <v>438</v>
      </c>
      <c r="C91" s="1" t="s">
        <v>76</v>
      </c>
      <c r="D91" s="1" t="s">
        <v>152</v>
      </c>
      <c r="E91" s="3" t="s">
        <v>439</v>
      </c>
    </row>
    <row r="92" spans="1:5" ht="93.75" x14ac:dyDescent="0.4">
      <c r="A92" s="1" t="s">
        <v>3</v>
      </c>
      <c r="B92" s="1" t="s">
        <v>438</v>
      </c>
      <c r="C92" s="1" t="s">
        <v>77</v>
      </c>
      <c r="D92" s="1" t="s">
        <v>154</v>
      </c>
      <c r="E92" s="3" t="s">
        <v>439</v>
      </c>
    </row>
    <row r="93" spans="1:5" ht="93.75" x14ac:dyDescent="0.4">
      <c r="A93" s="1" t="s">
        <v>3</v>
      </c>
      <c r="B93" s="1" t="s">
        <v>438</v>
      </c>
      <c r="C93" s="1" t="s">
        <v>72</v>
      </c>
      <c r="D93" s="1" t="s">
        <v>158</v>
      </c>
      <c r="E93" s="3" t="s">
        <v>439</v>
      </c>
    </row>
    <row r="94" spans="1:5" ht="93.75" x14ac:dyDescent="0.4">
      <c r="A94" s="1" t="s">
        <v>3</v>
      </c>
      <c r="B94" s="1" t="s">
        <v>438</v>
      </c>
      <c r="C94" s="1" t="s">
        <v>78</v>
      </c>
      <c r="D94" s="1" t="s">
        <v>163</v>
      </c>
      <c r="E94" s="3" t="s">
        <v>439</v>
      </c>
    </row>
    <row r="95" spans="1:5" ht="93.75" x14ac:dyDescent="0.4">
      <c r="A95" s="1" t="s">
        <v>3</v>
      </c>
      <c r="B95" s="1" t="s">
        <v>438</v>
      </c>
      <c r="C95" s="1" t="s">
        <v>79</v>
      </c>
      <c r="D95" s="1" t="s">
        <v>166</v>
      </c>
      <c r="E95" s="3" t="s">
        <v>439</v>
      </c>
    </row>
    <row r="96" spans="1:5" ht="93.75" x14ac:dyDescent="0.4">
      <c r="A96" s="1" t="s">
        <v>3</v>
      </c>
      <c r="B96" s="1" t="s">
        <v>438</v>
      </c>
      <c r="C96" s="1" t="s">
        <v>80</v>
      </c>
      <c r="D96" s="1" t="s">
        <v>171</v>
      </c>
      <c r="E96" s="3" t="s">
        <v>439</v>
      </c>
    </row>
    <row r="97" spans="1:5" ht="93.75" x14ac:dyDescent="0.4">
      <c r="A97" s="1" t="s">
        <v>3</v>
      </c>
      <c r="B97" s="1" t="s">
        <v>438</v>
      </c>
      <c r="C97" s="1" t="s">
        <v>84</v>
      </c>
      <c r="D97" s="1" t="s">
        <v>175</v>
      </c>
      <c r="E97" s="3" t="s">
        <v>439</v>
      </c>
    </row>
    <row r="98" spans="1:5" ht="93.75" x14ac:dyDescent="0.4">
      <c r="A98" s="1" t="s">
        <v>3</v>
      </c>
      <c r="B98" s="1" t="s">
        <v>438</v>
      </c>
      <c r="C98" s="1" t="s">
        <v>82</v>
      </c>
      <c r="D98" s="1" t="s">
        <v>178</v>
      </c>
      <c r="E98" s="3" t="s">
        <v>439</v>
      </c>
    </row>
    <row r="99" spans="1:5" ht="93.75" x14ac:dyDescent="0.4">
      <c r="A99" s="1" t="s">
        <v>3</v>
      </c>
      <c r="B99" s="1" t="s">
        <v>438</v>
      </c>
      <c r="C99" s="1" t="s">
        <v>81</v>
      </c>
      <c r="D99" s="1" t="s">
        <v>181</v>
      </c>
      <c r="E99" s="3" t="s">
        <v>439</v>
      </c>
    </row>
    <row r="100" spans="1:5" ht="93.75" x14ac:dyDescent="0.4">
      <c r="A100" s="1" t="s">
        <v>3</v>
      </c>
      <c r="B100" s="1" t="s">
        <v>438</v>
      </c>
      <c r="C100" s="1" t="s">
        <v>83</v>
      </c>
      <c r="D100" s="1" t="s">
        <v>184</v>
      </c>
      <c r="E100" s="3" t="s">
        <v>439</v>
      </c>
    </row>
    <row r="101" spans="1:5" ht="93.75" x14ac:dyDescent="0.4">
      <c r="A101" s="1" t="s">
        <v>3</v>
      </c>
      <c r="B101" s="1" t="s">
        <v>438</v>
      </c>
      <c r="C101" s="1" t="s">
        <v>85</v>
      </c>
      <c r="D101" s="1" t="s">
        <v>187</v>
      </c>
      <c r="E101" s="3" t="s">
        <v>439</v>
      </c>
    </row>
    <row r="102" spans="1:5" ht="93.75" x14ac:dyDescent="0.4">
      <c r="A102" s="1" t="s">
        <v>3</v>
      </c>
      <c r="B102" s="1" t="s">
        <v>438</v>
      </c>
      <c r="C102" s="1" t="s">
        <v>86</v>
      </c>
      <c r="D102" s="1" t="s">
        <v>195</v>
      </c>
      <c r="E102" s="3" t="s">
        <v>439</v>
      </c>
    </row>
    <row r="103" spans="1:5" ht="93.75" x14ac:dyDescent="0.4">
      <c r="A103" s="1" t="s">
        <v>3</v>
      </c>
      <c r="B103" s="1" t="s">
        <v>438</v>
      </c>
      <c r="C103" s="1" t="s">
        <v>122</v>
      </c>
      <c r="D103" s="1" t="s">
        <v>200</v>
      </c>
      <c r="E103" s="3" t="s">
        <v>439</v>
      </c>
    </row>
    <row r="104" spans="1:5" ht="93.75" x14ac:dyDescent="0.4">
      <c r="A104" s="1" t="s">
        <v>3</v>
      </c>
      <c r="B104" s="1" t="s">
        <v>438</v>
      </c>
      <c r="C104" s="1" t="s">
        <v>123</v>
      </c>
      <c r="D104" s="1" t="s">
        <v>206</v>
      </c>
      <c r="E104" s="3" t="s">
        <v>439</v>
      </c>
    </row>
    <row r="105" spans="1:5" ht="93.75" x14ac:dyDescent="0.4">
      <c r="A105" s="1" t="s">
        <v>3</v>
      </c>
      <c r="B105" s="1" t="s">
        <v>438</v>
      </c>
      <c r="C105" s="1" t="s">
        <v>392</v>
      </c>
      <c r="D105" s="1" t="s">
        <v>211</v>
      </c>
      <c r="E105" s="3" t="s">
        <v>439</v>
      </c>
    </row>
    <row r="106" spans="1:5" ht="93.75" x14ac:dyDescent="0.4">
      <c r="A106" s="1" t="s">
        <v>3</v>
      </c>
      <c r="B106" s="1" t="s">
        <v>438</v>
      </c>
      <c r="C106" s="1" t="s">
        <v>393</v>
      </c>
      <c r="D106" s="1" t="s">
        <v>213</v>
      </c>
      <c r="E106" s="3" t="s">
        <v>439</v>
      </c>
    </row>
    <row r="107" spans="1:5" ht="93.75" x14ac:dyDescent="0.4">
      <c r="A107" s="1" t="s">
        <v>3</v>
      </c>
      <c r="B107" s="1" t="s">
        <v>438</v>
      </c>
      <c r="C107" s="1" t="s">
        <v>394</v>
      </c>
      <c r="D107" s="1" t="s">
        <v>214</v>
      </c>
      <c r="E107" s="3" t="s">
        <v>439</v>
      </c>
    </row>
    <row r="108" spans="1:5" ht="93.75" x14ac:dyDescent="0.4">
      <c r="A108" s="1" t="s">
        <v>3</v>
      </c>
      <c r="B108" s="1" t="s">
        <v>438</v>
      </c>
      <c r="C108" s="1" t="s">
        <v>90</v>
      </c>
      <c r="D108" s="1" t="s">
        <v>218</v>
      </c>
      <c r="E108" s="3" t="s">
        <v>439</v>
      </c>
    </row>
    <row r="109" spans="1:5" ht="93.75" x14ac:dyDescent="0.4">
      <c r="A109" s="1" t="s">
        <v>3</v>
      </c>
      <c r="B109" s="1" t="s">
        <v>438</v>
      </c>
      <c r="C109" s="1" t="s">
        <v>98</v>
      </c>
      <c r="D109" s="1" t="s">
        <v>224</v>
      </c>
      <c r="E109" s="3" t="s">
        <v>439</v>
      </c>
    </row>
    <row r="110" spans="1:5" ht="93.75" x14ac:dyDescent="0.4">
      <c r="A110" s="1" t="s">
        <v>3</v>
      </c>
      <c r="B110" s="1" t="s">
        <v>438</v>
      </c>
      <c r="C110" s="1" t="s">
        <v>97</v>
      </c>
      <c r="D110" s="1" t="s">
        <v>227</v>
      </c>
      <c r="E110" s="3" t="s">
        <v>439</v>
      </c>
    </row>
    <row r="111" spans="1:5" ht="93.75" x14ac:dyDescent="0.4">
      <c r="A111" s="1" t="s">
        <v>3</v>
      </c>
      <c r="B111" s="1" t="s">
        <v>438</v>
      </c>
      <c r="C111" s="1" t="s">
        <v>96</v>
      </c>
      <c r="D111" s="1" t="s">
        <v>229</v>
      </c>
      <c r="E111" s="3" t="s">
        <v>439</v>
      </c>
    </row>
    <row r="112" spans="1:5" ht="93.75" x14ac:dyDescent="0.4">
      <c r="A112" s="1" t="s">
        <v>3</v>
      </c>
      <c r="B112" s="1" t="s">
        <v>438</v>
      </c>
      <c r="C112" s="1" t="s">
        <v>99</v>
      </c>
      <c r="D112" s="1" t="s">
        <v>234</v>
      </c>
      <c r="E112" s="3" t="s">
        <v>439</v>
      </c>
    </row>
    <row r="113" spans="1:5" ht="93.75" x14ac:dyDescent="0.4">
      <c r="A113" s="1" t="s">
        <v>3</v>
      </c>
      <c r="B113" s="1" t="s">
        <v>438</v>
      </c>
      <c r="C113" s="1" t="s">
        <v>100</v>
      </c>
      <c r="D113" s="1" t="s">
        <v>432</v>
      </c>
      <c r="E113" s="3" t="s">
        <v>439</v>
      </c>
    </row>
    <row r="114" spans="1:5" ht="93.75" x14ac:dyDescent="0.4">
      <c r="A114" s="1" t="s">
        <v>3</v>
      </c>
      <c r="B114" s="1" t="s">
        <v>438</v>
      </c>
      <c r="C114" s="1" t="s">
        <v>101</v>
      </c>
      <c r="D114" s="1" t="s">
        <v>240</v>
      </c>
      <c r="E114" s="3" t="s">
        <v>439</v>
      </c>
    </row>
    <row r="115" spans="1:5" ht="93.75" x14ac:dyDescent="0.4">
      <c r="A115" s="1" t="s">
        <v>3</v>
      </c>
      <c r="B115" s="1" t="s">
        <v>438</v>
      </c>
      <c r="C115" s="1" t="s">
        <v>102</v>
      </c>
      <c r="D115" s="1" t="s">
        <v>244</v>
      </c>
      <c r="E115" s="3" t="s">
        <v>439</v>
      </c>
    </row>
    <row r="116" spans="1:5" ht="93.75" x14ac:dyDescent="0.4">
      <c r="A116" s="1" t="s">
        <v>3</v>
      </c>
      <c r="B116" s="1" t="s">
        <v>438</v>
      </c>
      <c r="C116" s="1" t="s">
        <v>101</v>
      </c>
      <c r="D116" s="1" t="s">
        <v>245</v>
      </c>
      <c r="E116" s="3" t="s">
        <v>439</v>
      </c>
    </row>
    <row r="117" spans="1:5" ht="93.75" x14ac:dyDescent="0.4">
      <c r="A117" s="1" t="s">
        <v>3</v>
      </c>
      <c r="B117" s="1" t="s">
        <v>438</v>
      </c>
      <c r="C117" s="1" t="s">
        <v>103</v>
      </c>
      <c r="D117" s="1" t="s">
        <v>249</v>
      </c>
      <c r="E117" s="3" t="s">
        <v>439</v>
      </c>
    </row>
    <row r="118" spans="1:5" ht="93.75" x14ac:dyDescent="0.4">
      <c r="A118" s="1" t="s">
        <v>3</v>
      </c>
      <c r="B118" s="1" t="s">
        <v>438</v>
      </c>
      <c r="C118" s="1" t="s">
        <v>104</v>
      </c>
      <c r="D118" s="1" t="s">
        <v>253</v>
      </c>
      <c r="E118" s="3" t="s">
        <v>439</v>
      </c>
    </row>
    <row r="119" spans="1:5" ht="93.75" x14ac:dyDescent="0.4">
      <c r="A119" s="1" t="s">
        <v>3</v>
      </c>
      <c r="B119" s="1" t="s">
        <v>438</v>
      </c>
      <c r="C119" s="1" t="s">
        <v>124</v>
      </c>
      <c r="D119" s="1" t="s">
        <v>257</v>
      </c>
      <c r="E119" s="3" t="s">
        <v>439</v>
      </c>
    </row>
    <row r="120" spans="1:5" ht="93.75" x14ac:dyDescent="0.4">
      <c r="A120" s="1" t="s">
        <v>3</v>
      </c>
      <c r="B120" s="1" t="s">
        <v>438</v>
      </c>
      <c r="C120" s="1" t="s">
        <v>107</v>
      </c>
      <c r="D120" s="1" t="s">
        <v>262</v>
      </c>
      <c r="E120" s="3" t="s">
        <v>439</v>
      </c>
    </row>
    <row r="121" spans="1:5" ht="93.75" x14ac:dyDescent="0.4">
      <c r="A121" s="1" t="s">
        <v>3</v>
      </c>
      <c r="B121" s="1" t="s">
        <v>438</v>
      </c>
      <c r="C121" s="1" t="s">
        <v>127</v>
      </c>
      <c r="D121" s="1" t="s">
        <v>266</v>
      </c>
      <c r="E121" s="3" t="s">
        <v>439</v>
      </c>
    </row>
    <row r="122" spans="1:5" ht="93.75" x14ac:dyDescent="0.4">
      <c r="A122" s="1" t="s">
        <v>3</v>
      </c>
      <c r="B122" s="1" t="s">
        <v>438</v>
      </c>
      <c r="C122" s="1" t="s">
        <v>129</v>
      </c>
      <c r="D122" s="1" t="s">
        <v>270</v>
      </c>
      <c r="E122" s="3" t="s">
        <v>439</v>
      </c>
    </row>
    <row r="123" spans="1:5" ht="93.75" x14ac:dyDescent="0.4">
      <c r="A123" s="1" t="s">
        <v>3</v>
      </c>
      <c r="B123" s="1" t="s">
        <v>438</v>
      </c>
      <c r="C123" s="1" t="s">
        <v>108</v>
      </c>
      <c r="D123" s="1" t="s">
        <v>274</v>
      </c>
      <c r="E123" s="3" t="s">
        <v>439</v>
      </c>
    </row>
    <row r="124" spans="1:5" ht="93.75" x14ac:dyDescent="0.4">
      <c r="A124" s="1" t="s">
        <v>3</v>
      </c>
      <c r="B124" s="1" t="s">
        <v>438</v>
      </c>
      <c r="C124" s="1" t="s">
        <v>126</v>
      </c>
      <c r="D124" s="1" t="s">
        <v>278</v>
      </c>
      <c r="E124" s="3" t="s">
        <v>439</v>
      </c>
    </row>
    <row r="125" spans="1:5" ht="93.75" x14ac:dyDescent="0.4">
      <c r="A125" s="1" t="s">
        <v>3</v>
      </c>
      <c r="B125" s="1" t="s">
        <v>438</v>
      </c>
      <c r="C125" s="1" t="s">
        <v>401</v>
      </c>
      <c r="D125" s="1" t="s">
        <v>286</v>
      </c>
      <c r="E125" s="3" t="s">
        <v>439</v>
      </c>
    </row>
    <row r="126" spans="1:5" ht="93.75" x14ac:dyDescent="0.4">
      <c r="A126" s="1" t="s">
        <v>3</v>
      </c>
      <c r="B126" s="1" t="s">
        <v>438</v>
      </c>
      <c r="C126" s="1" t="s">
        <v>376</v>
      </c>
      <c r="D126" s="1" t="s">
        <v>380</v>
      </c>
      <c r="E126" s="3" t="s">
        <v>439</v>
      </c>
    </row>
    <row r="127" spans="1:5" ht="93.75" x14ac:dyDescent="0.4">
      <c r="A127" s="1" t="s">
        <v>3</v>
      </c>
      <c r="B127" s="1" t="s">
        <v>438</v>
      </c>
      <c r="C127" s="1" t="s">
        <v>382</v>
      </c>
      <c r="D127" s="1" t="s">
        <v>292</v>
      </c>
      <c r="E127" s="3" t="s">
        <v>439</v>
      </c>
    </row>
    <row r="128" spans="1:5" ht="409.5" x14ac:dyDescent="0.4">
      <c r="A128" s="1" t="s">
        <v>3</v>
      </c>
      <c r="B128" s="1" t="s">
        <v>438</v>
      </c>
      <c r="C128" s="1" t="s">
        <v>375</v>
      </c>
      <c r="D128" s="1" t="s">
        <v>385</v>
      </c>
      <c r="E128" s="3" t="s">
        <v>440</v>
      </c>
    </row>
    <row r="129" spans="1:5" ht="93.75" x14ac:dyDescent="0.4">
      <c r="A129" s="1" t="s">
        <v>3</v>
      </c>
      <c r="B129" s="1" t="s">
        <v>438</v>
      </c>
      <c r="C129" s="1" t="s">
        <v>118</v>
      </c>
      <c r="D129" s="1" t="s">
        <v>296</v>
      </c>
      <c r="E129" s="3" t="s">
        <v>439</v>
      </c>
    </row>
    <row r="130" spans="1:5" ht="93.75" x14ac:dyDescent="0.4">
      <c r="A130" s="1" t="s">
        <v>3</v>
      </c>
      <c r="B130" s="1" t="s">
        <v>438</v>
      </c>
      <c r="C130" s="1" t="s">
        <v>118</v>
      </c>
      <c r="D130" s="1" t="s">
        <v>297</v>
      </c>
      <c r="E130" s="3" t="s">
        <v>439</v>
      </c>
    </row>
    <row r="131" spans="1:5" ht="93.75" x14ac:dyDescent="0.4">
      <c r="A131" s="1" t="s">
        <v>3</v>
      </c>
      <c r="B131" s="1" t="s">
        <v>438</v>
      </c>
      <c r="C131" s="1" t="s">
        <v>116</v>
      </c>
      <c r="D131" s="1" t="s">
        <v>303</v>
      </c>
      <c r="E131" s="3" t="s">
        <v>439</v>
      </c>
    </row>
    <row r="132" spans="1:5" ht="93.75" x14ac:dyDescent="0.4">
      <c r="A132" s="1" t="s">
        <v>3</v>
      </c>
      <c r="B132" s="1" t="s">
        <v>438</v>
      </c>
      <c r="C132" s="1" t="s">
        <v>115</v>
      </c>
      <c r="D132" s="1" t="s">
        <v>308</v>
      </c>
      <c r="E132" s="3" t="s">
        <v>439</v>
      </c>
    </row>
    <row r="133" spans="1:5" ht="93.75" x14ac:dyDescent="0.4">
      <c r="A133" s="1" t="s">
        <v>3</v>
      </c>
      <c r="B133" s="1" t="s">
        <v>438</v>
      </c>
      <c r="C133" s="1" t="s">
        <v>117</v>
      </c>
      <c r="D133" s="1" t="s">
        <v>312</v>
      </c>
      <c r="E133" s="3" t="s">
        <v>439</v>
      </c>
    </row>
    <row r="134" spans="1:5" ht="93.75" x14ac:dyDescent="0.4">
      <c r="A134" s="1" t="s">
        <v>3</v>
      </c>
      <c r="B134" s="1" t="s">
        <v>438</v>
      </c>
      <c r="C134" s="1" t="s">
        <v>109</v>
      </c>
      <c r="D134" s="1" t="s">
        <v>316</v>
      </c>
      <c r="E134" s="3" t="s">
        <v>439</v>
      </c>
    </row>
    <row r="135" spans="1:5" ht="93.75" x14ac:dyDescent="0.4">
      <c r="A135" s="1" t="s">
        <v>3</v>
      </c>
      <c r="B135" s="1" t="s">
        <v>438</v>
      </c>
      <c r="C135" s="1" t="s">
        <v>119</v>
      </c>
      <c r="D135" s="1" t="s">
        <v>319</v>
      </c>
      <c r="E135" s="3" t="s">
        <v>439</v>
      </c>
    </row>
    <row r="136" spans="1:5" ht="56.25" x14ac:dyDescent="0.4">
      <c r="A136" s="1" t="s">
        <v>3</v>
      </c>
      <c r="B136" s="1" t="s">
        <v>448</v>
      </c>
      <c r="C136" s="1" t="s">
        <v>441</v>
      </c>
      <c r="D136" s="1" t="s">
        <v>371</v>
      </c>
      <c r="E136" s="3" t="s">
        <v>372</v>
      </c>
    </row>
    <row r="137" spans="1:5" ht="56.25" x14ac:dyDescent="0.4">
      <c r="A137" s="1" t="s">
        <v>3</v>
      </c>
      <c r="B137" s="1" t="s">
        <v>448</v>
      </c>
      <c r="C137" s="1" t="s">
        <v>442</v>
      </c>
      <c r="D137" s="1" t="s">
        <v>371</v>
      </c>
      <c r="E137" s="3" t="s">
        <v>372</v>
      </c>
    </row>
    <row r="138" spans="1:5" ht="56.25" x14ac:dyDescent="0.4">
      <c r="A138" s="1" t="s">
        <v>3</v>
      </c>
      <c r="B138" s="1" t="s">
        <v>448</v>
      </c>
      <c r="C138" s="1" t="s">
        <v>443</v>
      </c>
      <c r="D138" s="1" t="s">
        <v>371</v>
      </c>
      <c r="E138" s="3" t="s">
        <v>372</v>
      </c>
    </row>
    <row r="139" spans="1:5" ht="56.25" x14ac:dyDescent="0.4">
      <c r="A139" s="1" t="s">
        <v>3</v>
      </c>
      <c r="B139" s="1" t="s">
        <v>448</v>
      </c>
      <c r="C139" s="1" t="s">
        <v>444</v>
      </c>
      <c r="D139" s="1" t="s">
        <v>371</v>
      </c>
      <c r="E139" s="3" t="s">
        <v>372</v>
      </c>
    </row>
    <row r="140" spans="1:5" ht="56.25" x14ac:dyDescent="0.4">
      <c r="A140" s="1" t="s">
        <v>3</v>
      </c>
      <c r="B140" s="1" t="s">
        <v>448</v>
      </c>
      <c r="C140" s="1" t="s">
        <v>445</v>
      </c>
      <c r="D140" s="1" t="s">
        <v>371</v>
      </c>
      <c r="E140" s="3" t="s">
        <v>372</v>
      </c>
    </row>
    <row r="141" spans="1:5" ht="56.25" x14ac:dyDescent="0.4">
      <c r="A141" s="1" t="s">
        <v>3</v>
      </c>
      <c r="B141" s="1" t="s">
        <v>448</v>
      </c>
      <c r="C141" s="1" t="s">
        <v>446</v>
      </c>
      <c r="D141" s="1" t="s">
        <v>371</v>
      </c>
      <c r="E141" s="3" t="s">
        <v>372</v>
      </c>
    </row>
    <row r="142" spans="1:5" ht="56.25" x14ac:dyDescent="0.4">
      <c r="A142" s="1" t="s">
        <v>3</v>
      </c>
      <c r="B142" s="1" t="s">
        <v>448</v>
      </c>
      <c r="C142" s="1" t="s">
        <v>447</v>
      </c>
      <c r="D142" s="1" t="s">
        <v>371</v>
      </c>
      <c r="E142" s="3" t="s">
        <v>372</v>
      </c>
    </row>
    <row r="143" spans="1:5" x14ac:dyDescent="0.4">
      <c r="A143" s="1" t="s">
        <v>3</v>
      </c>
      <c r="B143" s="1" t="s">
        <v>448</v>
      </c>
      <c r="C143" s="1" t="s">
        <v>364</v>
      </c>
      <c r="D143" s="1" t="s">
        <v>371</v>
      </c>
      <c r="E143" s="1" t="s">
        <v>391</v>
      </c>
    </row>
    <row r="144" spans="1:5" x14ac:dyDescent="0.4">
      <c r="A144" s="1" t="s">
        <v>3</v>
      </c>
      <c r="B144" s="1" t="s">
        <v>448</v>
      </c>
      <c r="C144" s="1" t="s">
        <v>366</v>
      </c>
      <c r="D144" s="1" t="s">
        <v>371</v>
      </c>
      <c r="E144" s="1" t="s">
        <v>391</v>
      </c>
    </row>
    <row r="145" spans="1:5" x14ac:dyDescent="0.4">
      <c r="A145" s="1" t="s">
        <v>3</v>
      </c>
      <c r="B145" s="1" t="s">
        <v>448</v>
      </c>
      <c r="C145" s="1" t="s">
        <v>368</v>
      </c>
      <c r="D145" s="1" t="s">
        <v>371</v>
      </c>
      <c r="E145" s="1" t="s">
        <v>391</v>
      </c>
    </row>
    <row r="146" spans="1:5" x14ac:dyDescent="0.4">
      <c r="A146" s="1" t="s">
        <v>3</v>
      </c>
      <c r="B146" s="1" t="s">
        <v>448</v>
      </c>
      <c r="C146" s="1" t="s">
        <v>369</v>
      </c>
      <c r="D146" s="1" t="s">
        <v>371</v>
      </c>
      <c r="E146" s="1" t="s">
        <v>391</v>
      </c>
    </row>
    <row r="147" spans="1:5" x14ac:dyDescent="0.4">
      <c r="A147" s="1" t="s">
        <v>3</v>
      </c>
      <c r="B147" s="1" t="s">
        <v>448</v>
      </c>
      <c r="C147" s="1" t="s">
        <v>390</v>
      </c>
      <c r="D147" s="1" t="s">
        <v>371</v>
      </c>
      <c r="E147" s="1" t="s">
        <v>391</v>
      </c>
    </row>
    <row r="148" spans="1:5" x14ac:dyDescent="0.4">
      <c r="A148" s="1" t="s">
        <v>3</v>
      </c>
      <c r="B148" s="1" t="s">
        <v>448</v>
      </c>
      <c r="C148" s="1" t="s">
        <v>400</v>
      </c>
      <c r="D148" s="1" t="s">
        <v>371</v>
      </c>
      <c r="E148" s="1" t="s">
        <v>391</v>
      </c>
    </row>
    <row r="149" spans="1:5" ht="37.5" x14ac:dyDescent="0.4">
      <c r="A149" s="1" t="s">
        <v>3</v>
      </c>
      <c r="B149" s="1" t="s">
        <v>448</v>
      </c>
      <c r="C149" s="1" t="s">
        <v>5</v>
      </c>
      <c r="D149" s="1" t="s">
        <v>1</v>
      </c>
      <c r="E149" s="3" t="s">
        <v>6</v>
      </c>
    </row>
    <row r="150" spans="1:5" ht="56.25" x14ac:dyDescent="0.4">
      <c r="A150" s="1" t="s">
        <v>3</v>
      </c>
      <c r="B150" s="1" t="s">
        <v>450</v>
      </c>
      <c r="C150" s="1" t="s">
        <v>70</v>
      </c>
      <c r="D150" s="1" t="s">
        <v>1</v>
      </c>
      <c r="E150" s="3" t="s">
        <v>451</v>
      </c>
    </row>
    <row r="151" spans="1:5" ht="243.75" x14ac:dyDescent="0.4">
      <c r="A151" s="1" t="s">
        <v>3</v>
      </c>
      <c r="B151" s="1" t="s">
        <v>452</v>
      </c>
      <c r="C151" s="1" t="s">
        <v>446</v>
      </c>
      <c r="D151" s="1" t="s">
        <v>371</v>
      </c>
      <c r="E151" s="3" t="s">
        <v>453</v>
      </c>
    </row>
    <row r="152" spans="1:5" ht="243.75" x14ac:dyDescent="0.4">
      <c r="A152" s="1" t="s">
        <v>3</v>
      </c>
      <c r="B152" s="1" t="s">
        <v>452</v>
      </c>
      <c r="C152" s="1" t="s">
        <v>447</v>
      </c>
      <c r="D152" s="1" t="s">
        <v>371</v>
      </c>
      <c r="E152" s="3" t="s">
        <v>453</v>
      </c>
    </row>
    <row r="153" spans="1:5" ht="56.25" x14ac:dyDescent="0.4">
      <c r="A153" s="1" t="s">
        <v>3</v>
      </c>
      <c r="B153" s="1" t="s">
        <v>454</v>
      </c>
      <c r="C153" s="1" t="s">
        <v>436</v>
      </c>
      <c r="D153" s="1" t="s">
        <v>1</v>
      </c>
      <c r="E153" s="3" t="s">
        <v>455</v>
      </c>
    </row>
    <row r="154" spans="1:5" ht="93.75" x14ac:dyDescent="0.4">
      <c r="A154" s="1" t="s">
        <v>3</v>
      </c>
      <c r="B154" s="1" t="s">
        <v>456</v>
      </c>
      <c r="C154" s="1" t="s">
        <v>73</v>
      </c>
      <c r="D154" s="1" t="s">
        <v>138</v>
      </c>
      <c r="E154" s="3" t="s">
        <v>457</v>
      </c>
    </row>
    <row r="155" spans="1:5" ht="93.75" x14ac:dyDescent="0.4">
      <c r="A155" s="1" t="s">
        <v>3</v>
      </c>
      <c r="B155" s="1" t="s">
        <v>456</v>
      </c>
      <c r="C155" s="1" t="s">
        <v>74</v>
      </c>
      <c r="D155" s="1" t="s">
        <v>143</v>
      </c>
      <c r="E155" s="3" t="s">
        <v>457</v>
      </c>
    </row>
    <row r="156" spans="1:5" ht="93.75" x14ac:dyDescent="0.4">
      <c r="A156" s="1" t="s">
        <v>3</v>
      </c>
      <c r="B156" s="1" t="s">
        <v>456</v>
      </c>
      <c r="C156" s="1" t="s">
        <v>75</v>
      </c>
      <c r="D156" s="1" t="s">
        <v>148</v>
      </c>
      <c r="E156" s="3" t="s">
        <v>457</v>
      </c>
    </row>
    <row r="157" spans="1:5" ht="93.75" x14ac:dyDescent="0.4">
      <c r="A157" s="1" t="s">
        <v>3</v>
      </c>
      <c r="B157" s="1" t="s">
        <v>456</v>
      </c>
      <c r="C157" s="1" t="s">
        <v>76</v>
      </c>
      <c r="D157" s="1" t="s">
        <v>152</v>
      </c>
      <c r="E157" s="3" t="s">
        <v>457</v>
      </c>
    </row>
    <row r="158" spans="1:5" ht="93.75" x14ac:dyDescent="0.4">
      <c r="A158" s="1" t="s">
        <v>3</v>
      </c>
      <c r="B158" s="1" t="s">
        <v>456</v>
      </c>
      <c r="C158" s="1" t="s">
        <v>77</v>
      </c>
      <c r="D158" s="1" t="s">
        <v>154</v>
      </c>
      <c r="E158" s="3" t="s">
        <v>457</v>
      </c>
    </row>
    <row r="159" spans="1:5" ht="93.75" x14ac:dyDescent="0.4">
      <c r="A159" s="1" t="s">
        <v>3</v>
      </c>
      <c r="B159" s="1" t="s">
        <v>456</v>
      </c>
      <c r="C159" s="1" t="s">
        <v>72</v>
      </c>
      <c r="D159" s="1" t="s">
        <v>158</v>
      </c>
      <c r="E159" s="3" t="s">
        <v>457</v>
      </c>
    </row>
    <row r="160" spans="1:5" ht="93.75" x14ac:dyDescent="0.4">
      <c r="A160" s="1" t="s">
        <v>3</v>
      </c>
      <c r="B160" s="1" t="s">
        <v>456</v>
      </c>
      <c r="C160" s="1" t="s">
        <v>78</v>
      </c>
      <c r="D160" s="1" t="s">
        <v>163</v>
      </c>
      <c r="E160" s="3" t="s">
        <v>457</v>
      </c>
    </row>
    <row r="161" spans="1:5" ht="93.75" x14ac:dyDescent="0.4">
      <c r="A161" s="1" t="s">
        <v>3</v>
      </c>
      <c r="B161" s="1" t="s">
        <v>456</v>
      </c>
      <c r="C161" s="1" t="s">
        <v>79</v>
      </c>
      <c r="D161" s="1" t="s">
        <v>166</v>
      </c>
      <c r="E161" s="3" t="s">
        <v>457</v>
      </c>
    </row>
    <row r="162" spans="1:5" ht="93.75" x14ac:dyDescent="0.4">
      <c r="A162" s="1" t="s">
        <v>3</v>
      </c>
      <c r="B162" s="1" t="s">
        <v>456</v>
      </c>
      <c r="C162" s="1" t="s">
        <v>80</v>
      </c>
      <c r="D162" s="1" t="s">
        <v>171</v>
      </c>
      <c r="E162" s="3" t="s">
        <v>457</v>
      </c>
    </row>
    <row r="163" spans="1:5" ht="93.75" x14ac:dyDescent="0.4">
      <c r="A163" s="1" t="s">
        <v>3</v>
      </c>
      <c r="B163" s="1" t="s">
        <v>456</v>
      </c>
      <c r="C163" s="1" t="s">
        <v>84</v>
      </c>
      <c r="D163" s="1" t="s">
        <v>175</v>
      </c>
      <c r="E163" s="3" t="s">
        <v>457</v>
      </c>
    </row>
    <row r="164" spans="1:5" ht="93.75" x14ac:dyDescent="0.4">
      <c r="A164" s="1" t="s">
        <v>3</v>
      </c>
      <c r="B164" s="1" t="s">
        <v>456</v>
      </c>
      <c r="C164" s="1" t="s">
        <v>82</v>
      </c>
      <c r="D164" s="1" t="s">
        <v>178</v>
      </c>
      <c r="E164" s="3" t="s">
        <v>457</v>
      </c>
    </row>
    <row r="165" spans="1:5" ht="93.75" x14ac:dyDescent="0.4">
      <c r="A165" s="1" t="s">
        <v>3</v>
      </c>
      <c r="B165" s="1" t="s">
        <v>456</v>
      </c>
      <c r="C165" s="1" t="s">
        <v>81</v>
      </c>
      <c r="D165" s="1" t="s">
        <v>181</v>
      </c>
      <c r="E165" s="3" t="s">
        <v>457</v>
      </c>
    </row>
    <row r="166" spans="1:5" ht="93.75" x14ac:dyDescent="0.4">
      <c r="A166" s="1" t="s">
        <v>3</v>
      </c>
      <c r="B166" s="1" t="s">
        <v>456</v>
      </c>
      <c r="C166" s="1" t="s">
        <v>83</v>
      </c>
      <c r="D166" s="1" t="s">
        <v>184</v>
      </c>
      <c r="E166" s="3" t="s">
        <v>457</v>
      </c>
    </row>
    <row r="167" spans="1:5" ht="93.75" x14ac:dyDescent="0.4">
      <c r="A167" s="1" t="s">
        <v>3</v>
      </c>
      <c r="B167" s="1" t="s">
        <v>456</v>
      </c>
      <c r="C167" s="1" t="s">
        <v>85</v>
      </c>
      <c r="D167" s="1" t="s">
        <v>187</v>
      </c>
      <c r="E167" s="3" t="s">
        <v>457</v>
      </c>
    </row>
    <row r="168" spans="1:5" ht="93.75" x14ac:dyDescent="0.4">
      <c r="A168" s="1" t="s">
        <v>3</v>
      </c>
      <c r="B168" s="1" t="s">
        <v>456</v>
      </c>
      <c r="C168" s="1" t="s">
        <v>86</v>
      </c>
      <c r="D168" s="1" t="s">
        <v>195</v>
      </c>
      <c r="E168" s="3" t="s">
        <v>457</v>
      </c>
    </row>
    <row r="169" spans="1:5" ht="93.75" x14ac:dyDescent="0.4">
      <c r="A169" s="1" t="s">
        <v>3</v>
      </c>
      <c r="B169" s="1" t="s">
        <v>456</v>
      </c>
      <c r="C169" s="1" t="s">
        <v>122</v>
      </c>
      <c r="D169" s="1" t="s">
        <v>200</v>
      </c>
      <c r="E169" s="3" t="s">
        <v>457</v>
      </c>
    </row>
    <row r="170" spans="1:5" ht="93.75" x14ac:dyDescent="0.4">
      <c r="A170" s="1" t="s">
        <v>3</v>
      </c>
      <c r="B170" s="1" t="s">
        <v>456</v>
      </c>
      <c r="C170" s="1" t="s">
        <v>123</v>
      </c>
      <c r="D170" s="1" t="s">
        <v>206</v>
      </c>
      <c r="E170" s="3" t="s">
        <v>457</v>
      </c>
    </row>
    <row r="171" spans="1:5" ht="93.75" x14ac:dyDescent="0.4">
      <c r="A171" s="1" t="s">
        <v>3</v>
      </c>
      <c r="B171" s="1" t="s">
        <v>456</v>
      </c>
      <c r="C171" s="1" t="s">
        <v>392</v>
      </c>
      <c r="D171" s="1" t="s">
        <v>211</v>
      </c>
      <c r="E171" s="3" t="s">
        <v>457</v>
      </c>
    </row>
    <row r="172" spans="1:5" ht="93.75" x14ac:dyDescent="0.4">
      <c r="A172" s="1" t="s">
        <v>3</v>
      </c>
      <c r="B172" s="1" t="s">
        <v>456</v>
      </c>
      <c r="C172" s="1" t="s">
        <v>393</v>
      </c>
      <c r="D172" s="1" t="s">
        <v>213</v>
      </c>
      <c r="E172" s="3" t="s">
        <v>457</v>
      </c>
    </row>
    <row r="173" spans="1:5" ht="93.75" x14ac:dyDescent="0.4">
      <c r="A173" s="1" t="s">
        <v>3</v>
      </c>
      <c r="B173" s="1" t="s">
        <v>456</v>
      </c>
      <c r="C173" s="1" t="s">
        <v>394</v>
      </c>
      <c r="D173" s="1" t="s">
        <v>214</v>
      </c>
      <c r="E173" s="3" t="s">
        <v>457</v>
      </c>
    </row>
    <row r="174" spans="1:5" ht="93.75" x14ac:dyDescent="0.4">
      <c r="A174" s="1" t="s">
        <v>3</v>
      </c>
      <c r="B174" s="1" t="s">
        <v>456</v>
      </c>
      <c r="C174" s="1" t="s">
        <v>90</v>
      </c>
      <c r="D174" s="1" t="s">
        <v>218</v>
      </c>
      <c r="E174" s="3" t="s">
        <v>457</v>
      </c>
    </row>
    <row r="175" spans="1:5" ht="93.75" x14ac:dyDescent="0.4">
      <c r="A175" s="1" t="s">
        <v>3</v>
      </c>
      <c r="B175" s="1" t="s">
        <v>456</v>
      </c>
      <c r="C175" s="1" t="s">
        <v>98</v>
      </c>
      <c r="D175" s="1" t="s">
        <v>224</v>
      </c>
      <c r="E175" s="3" t="s">
        <v>457</v>
      </c>
    </row>
    <row r="176" spans="1:5" ht="93.75" x14ac:dyDescent="0.4">
      <c r="A176" s="1" t="s">
        <v>3</v>
      </c>
      <c r="B176" s="1" t="s">
        <v>456</v>
      </c>
      <c r="C176" s="1" t="s">
        <v>97</v>
      </c>
      <c r="D176" s="1" t="s">
        <v>227</v>
      </c>
      <c r="E176" s="3" t="s">
        <v>457</v>
      </c>
    </row>
    <row r="177" spans="1:5" ht="93.75" x14ac:dyDescent="0.4">
      <c r="A177" s="1" t="s">
        <v>3</v>
      </c>
      <c r="B177" s="1" t="s">
        <v>456</v>
      </c>
      <c r="C177" s="1" t="s">
        <v>96</v>
      </c>
      <c r="D177" s="1" t="s">
        <v>229</v>
      </c>
      <c r="E177" s="3" t="s">
        <v>457</v>
      </c>
    </row>
    <row r="178" spans="1:5" ht="93.75" x14ac:dyDescent="0.4">
      <c r="A178" s="1" t="s">
        <v>3</v>
      </c>
      <c r="B178" s="1" t="s">
        <v>456</v>
      </c>
      <c r="C178" s="1" t="s">
        <v>99</v>
      </c>
      <c r="D178" s="1" t="s">
        <v>234</v>
      </c>
      <c r="E178" s="3" t="s">
        <v>457</v>
      </c>
    </row>
    <row r="179" spans="1:5" ht="93.75" x14ac:dyDescent="0.4">
      <c r="A179" s="1" t="s">
        <v>3</v>
      </c>
      <c r="B179" s="1" t="s">
        <v>456</v>
      </c>
      <c r="C179" s="1" t="s">
        <v>100</v>
      </c>
      <c r="D179" s="1" t="s">
        <v>432</v>
      </c>
      <c r="E179" s="3" t="s">
        <v>457</v>
      </c>
    </row>
    <row r="180" spans="1:5" ht="93.75" x14ac:dyDescent="0.4">
      <c r="A180" s="1" t="s">
        <v>3</v>
      </c>
      <c r="B180" s="1" t="s">
        <v>456</v>
      </c>
      <c r="C180" s="1" t="s">
        <v>101</v>
      </c>
      <c r="D180" s="1" t="s">
        <v>240</v>
      </c>
      <c r="E180" s="3" t="s">
        <v>457</v>
      </c>
    </row>
    <row r="181" spans="1:5" ht="93.75" x14ac:dyDescent="0.4">
      <c r="A181" s="1" t="s">
        <v>3</v>
      </c>
      <c r="B181" s="1" t="s">
        <v>456</v>
      </c>
      <c r="C181" s="1" t="s">
        <v>102</v>
      </c>
      <c r="D181" s="1" t="s">
        <v>244</v>
      </c>
      <c r="E181" s="3" t="s">
        <v>457</v>
      </c>
    </row>
    <row r="182" spans="1:5" ht="93.75" x14ac:dyDescent="0.4">
      <c r="A182" s="1" t="s">
        <v>3</v>
      </c>
      <c r="B182" s="1" t="s">
        <v>456</v>
      </c>
      <c r="C182" s="1" t="s">
        <v>101</v>
      </c>
      <c r="D182" s="1" t="s">
        <v>245</v>
      </c>
      <c r="E182" s="3" t="s">
        <v>457</v>
      </c>
    </row>
    <row r="183" spans="1:5" ht="93.75" x14ac:dyDescent="0.4">
      <c r="A183" s="1" t="s">
        <v>3</v>
      </c>
      <c r="B183" s="1" t="s">
        <v>456</v>
      </c>
      <c r="C183" s="1" t="s">
        <v>103</v>
      </c>
      <c r="D183" s="1" t="s">
        <v>249</v>
      </c>
      <c r="E183" s="3" t="s">
        <v>457</v>
      </c>
    </row>
    <row r="184" spans="1:5" ht="93.75" x14ac:dyDescent="0.4">
      <c r="A184" s="1" t="s">
        <v>3</v>
      </c>
      <c r="B184" s="1" t="s">
        <v>456</v>
      </c>
      <c r="C184" s="1" t="s">
        <v>104</v>
      </c>
      <c r="D184" s="1" t="s">
        <v>253</v>
      </c>
      <c r="E184" s="3" t="s">
        <v>457</v>
      </c>
    </row>
    <row r="185" spans="1:5" ht="93.75" x14ac:dyDescent="0.4">
      <c r="A185" s="1" t="s">
        <v>3</v>
      </c>
      <c r="B185" s="1" t="s">
        <v>456</v>
      </c>
      <c r="C185" s="1" t="s">
        <v>124</v>
      </c>
      <c r="D185" s="1" t="s">
        <v>257</v>
      </c>
      <c r="E185" s="3" t="s">
        <v>457</v>
      </c>
    </row>
    <row r="186" spans="1:5" ht="93.75" x14ac:dyDescent="0.4">
      <c r="A186" s="1" t="s">
        <v>3</v>
      </c>
      <c r="B186" s="1" t="s">
        <v>456</v>
      </c>
      <c r="C186" s="1" t="s">
        <v>107</v>
      </c>
      <c r="D186" s="1" t="s">
        <v>262</v>
      </c>
      <c r="E186" s="3" t="s">
        <v>457</v>
      </c>
    </row>
    <row r="187" spans="1:5" ht="93.75" x14ac:dyDescent="0.4">
      <c r="A187" s="1" t="s">
        <v>3</v>
      </c>
      <c r="B187" s="1" t="s">
        <v>456</v>
      </c>
      <c r="C187" s="1" t="s">
        <v>127</v>
      </c>
      <c r="D187" s="1" t="s">
        <v>266</v>
      </c>
      <c r="E187" s="3" t="s">
        <v>457</v>
      </c>
    </row>
    <row r="188" spans="1:5" ht="93.75" x14ac:dyDescent="0.4">
      <c r="A188" s="1" t="s">
        <v>3</v>
      </c>
      <c r="B188" s="1" t="s">
        <v>456</v>
      </c>
      <c r="C188" s="1" t="s">
        <v>129</v>
      </c>
      <c r="D188" s="1" t="s">
        <v>270</v>
      </c>
      <c r="E188" s="3" t="s">
        <v>457</v>
      </c>
    </row>
    <row r="189" spans="1:5" ht="93.75" x14ac:dyDescent="0.4">
      <c r="A189" s="1" t="s">
        <v>3</v>
      </c>
      <c r="B189" s="1" t="s">
        <v>456</v>
      </c>
      <c r="C189" s="1" t="s">
        <v>108</v>
      </c>
      <c r="D189" s="1" t="s">
        <v>274</v>
      </c>
      <c r="E189" s="3" t="s">
        <v>457</v>
      </c>
    </row>
    <row r="190" spans="1:5" ht="93.75" x14ac:dyDescent="0.4">
      <c r="A190" s="1" t="s">
        <v>3</v>
      </c>
      <c r="B190" s="1" t="s">
        <v>456</v>
      </c>
      <c r="C190" s="1" t="s">
        <v>126</v>
      </c>
      <c r="D190" s="1" t="s">
        <v>278</v>
      </c>
      <c r="E190" s="3" t="s">
        <v>457</v>
      </c>
    </row>
    <row r="191" spans="1:5" ht="93.75" x14ac:dyDescent="0.4">
      <c r="A191" s="1" t="s">
        <v>3</v>
      </c>
      <c r="B191" s="1" t="s">
        <v>456</v>
      </c>
      <c r="C191" s="1" t="s">
        <v>401</v>
      </c>
      <c r="D191" s="1" t="s">
        <v>286</v>
      </c>
      <c r="E191" s="3" t="s">
        <v>457</v>
      </c>
    </row>
    <row r="192" spans="1:5" ht="318.75" x14ac:dyDescent="0.4">
      <c r="A192" s="1" t="s">
        <v>3</v>
      </c>
      <c r="B192" s="1" t="s">
        <v>456</v>
      </c>
      <c r="C192" s="1" t="s">
        <v>376</v>
      </c>
      <c r="D192" s="1" t="s">
        <v>380</v>
      </c>
      <c r="E192" s="3" t="s">
        <v>458</v>
      </c>
    </row>
    <row r="193" spans="1:5" ht="93.75" x14ac:dyDescent="0.4">
      <c r="A193" s="1" t="s">
        <v>3</v>
      </c>
      <c r="B193" s="1" t="s">
        <v>456</v>
      </c>
      <c r="C193" s="1" t="s">
        <v>382</v>
      </c>
      <c r="D193" s="1" t="s">
        <v>292</v>
      </c>
      <c r="E193" s="3" t="s">
        <v>457</v>
      </c>
    </row>
    <row r="194" spans="1:5" ht="93.75" x14ac:dyDescent="0.4">
      <c r="A194" s="1" t="s">
        <v>3</v>
      </c>
      <c r="B194" s="1" t="s">
        <v>456</v>
      </c>
      <c r="C194" s="1" t="s">
        <v>375</v>
      </c>
      <c r="D194" s="1" t="s">
        <v>385</v>
      </c>
      <c r="E194" s="3" t="s">
        <v>459</v>
      </c>
    </row>
    <row r="195" spans="1:5" ht="93.75" x14ac:dyDescent="0.4">
      <c r="A195" s="1" t="s">
        <v>3</v>
      </c>
      <c r="B195" s="1" t="s">
        <v>456</v>
      </c>
      <c r="C195" s="1" t="s">
        <v>118</v>
      </c>
      <c r="D195" s="1" t="s">
        <v>296</v>
      </c>
      <c r="E195" s="3" t="s">
        <v>457</v>
      </c>
    </row>
    <row r="196" spans="1:5" ht="93.75" x14ac:dyDescent="0.4">
      <c r="A196" s="1" t="s">
        <v>3</v>
      </c>
      <c r="B196" s="1" t="s">
        <v>456</v>
      </c>
      <c r="C196" s="1" t="s">
        <v>118</v>
      </c>
      <c r="D196" s="1" t="s">
        <v>297</v>
      </c>
      <c r="E196" s="3" t="s">
        <v>457</v>
      </c>
    </row>
    <row r="197" spans="1:5" ht="93.75" x14ac:dyDescent="0.4">
      <c r="A197" s="1" t="s">
        <v>3</v>
      </c>
      <c r="B197" s="1" t="s">
        <v>456</v>
      </c>
      <c r="C197" s="1" t="s">
        <v>116</v>
      </c>
      <c r="D197" s="1" t="s">
        <v>303</v>
      </c>
      <c r="E197" s="3" t="s">
        <v>457</v>
      </c>
    </row>
    <row r="198" spans="1:5" ht="93.75" x14ac:dyDescent="0.4">
      <c r="A198" s="1" t="s">
        <v>3</v>
      </c>
      <c r="B198" s="1" t="s">
        <v>456</v>
      </c>
      <c r="C198" s="1" t="s">
        <v>115</v>
      </c>
      <c r="D198" s="1" t="s">
        <v>308</v>
      </c>
      <c r="E198" s="3" t="s">
        <v>457</v>
      </c>
    </row>
    <row r="199" spans="1:5" ht="93.75" x14ac:dyDescent="0.4">
      <c r="A199" s="1" t="s">
        <v>3</v>
      </c>
      <c r="B199" s="1" t="s">
        <v>456</v>
      </c>
      <c r="C199" s="1" t="s">
        <v>117</v>
      </c>
      <c r="D199" s="1" t="s">
        <v>312</v>
      </c>
      <c r="E199" s="3" t="s">
        <v>457</v>
      </c>
    </row>
    <row r="200" spans="1:5" ht="93.75" x14ac:dyDescent="0.4">
      <c r="A200" s="1" t="s">
        <v>3</v>
      </c>
      <c r="B200" s="1" t="s">
        <v>456</v>
      </c>
      <c r="C200" s="1" t="s">
        <v>109</v>
      </c>
      <c r="D200" s="1" t="s">
        <v>316</v>
      </c>
      <c r="E200" s="3" t="s">
        <v>457</v>
      </c>
    </row>
    <row r="201" spans="1:5" ht="93.75" x14ac:dyDescent="0.4">
      <c r="A201" s="1" t="s">
        <v>3</v>
      </c>
      <c r="B201" s="1" t="s">
        <v>456</v>
      </c>
      <c r="C201" s="1" t="s">
        <v>119</v>
      </c>
      <c r="D201" s="1" t="s">
        <v>319</v>
      </c>
      <c r="E201" s="3" t="s">
        <v>457</v>
      </c>
    </row>
    <row r="202" spans="1:5" ht="56.25" x14ac:dyDescent="0.4">
      <c r="A202" s="1" t="s">
        <v>3</v>
      </c>
      <c r="B202" s="1" t="s">
        <v>456</v>
      </c>
      <c r="C202" s="1" t="s">
        <v>368</v>
      </c>
      <c r="D202" s="1" t="s">
        <v>371</v>
      </c>
      <c r="E202" s="3" t="s">
        <v>372</v>
      </c>
    </row>
    <row r="203" spans="1:5" ht="56.25" x14ac:dyDescent="0.4">
      <c r="A203" s="1" t="s">
        <v>3</v>
      </c>
      <c r="B203" s="1" t="s">
        <v>456</v>
      </c>
      <c r="C203" s="1" t="s">
        <v>369</v>
      </c>
      <c r="D203" s="1" t="s">
        <v>371</v>
      </c>
      <c r="E203" s="3" t="s">
        <v>372</v>
      </c>
    </row>
    <row r="204" spans="1:5" x14ac:dyDescent="0.4">
      <c r="A204" s="1" t="s">
        <v>3</v>
      </c>
      <c r="B204" s="1" t="s">
        <v>456</v>
      </c>
      <c r="C204" s="1" t="s">
        <v>442</v>
      </c>
      <c r="D204" s="1" t="s">
        <v>371</v>
      </c>
      <c r="E204" s="1" t="s">
        <v>391</v>
      </c>
    </row>
    <row r="205" spans="1:5" x14ac:dyDescent="0.4">
      <c r="A205" s="1" t="s">
        <v>3</v>
      </c>
      <c r="B205" s="1" t="s">
        <v>456</v>
      </c>
      <c r="C205" s="1" t="s">
        <v>443</v>
      </c>
      <c r="D205" s="1" t="s">
        <v>371</v>
      </c>
      <c r="E205" s="1" t="s">
        <v>391</v>
      </c>
    </row>
    <row r="206" spans="1:5" x14ac:dyDescent="0.4">
      <c r="A206" s="1" t="s">
        <v>3</v>
      </c>
      <c r="B206" s="1" t="s">
        <v>456</v>
      </c>
      <c r="C206" s="1" t="s">
        <v>447</v>
      </c>
      <c r="D206" s="1" t="s">
        <v>371</v>
      </c>
      <c r="E206" s="1" t="s">
        <v>391</v>
      </c>
    </row>
    <row r="207" spans="1:5" ht="37.5" x14ac:dyDescent="0.4">
      <c r="A207" s="1" t="s">
        <v>3</v>
      </c>
      <c r="B207" s="1" t="s">
        <v>460</v>
      </c>
      <c r="C207" s="1" t="s">
        <v>5</v>
      </c>
      <c r="D207" s="1" t="s">
        <v>1</v>
      </c>
      <c r="E207" s="3" t="s">
        <v>6</v>
      </c>
    </row>
    <row r="208" spans="1:5" ht="187.5" x14ac:dyDescent="0.4">
      <c r="A208" s="1" t="s">
        <v>3</v>
      </c>
      <c r="B208" s="1" t="s">
        <v>463</v>
      </c>
      <c r="C208" s="1" t="s">
        <v>436</v>
      </c>
      <c r="D208" s="1" t="s">
        <v>1</v>
      </c>
      <c r="E208" s="3" t="s">
        <v>437</v>
      </c>
    </row>
    <row r="209" spans="1:5" ht="93.75" x14ac:dyDescent="0.4">
      <c r="A209" s="1" t="s">
        <v>3</v>
      </c>
      <c r="B209" s="1" t="s">
        <v>467</v>
      </c>
      <c r="C209" s="1" t="s">
        <v>73</v>
      </c>
      <c r="D209" s="1" t="s">
        <v>138</v>
      </c>
      <c r="E209" s="3" t="s">
        <v>439</v>
      </c>
    </row>
    <row r="210" spans="1:5" ht="93.75" x14ac:dyDescent="0.4">
      <c r="A210" s="1" t="s">
        <v>3</v>
      </c>
      <c r="B210" s="1" t="s">
        <v>467</v>
      </c>
      <c r="C210" s="1" t="s">
        <v>74</v>
      </c>
      <c r="D210" s="1" t="s">
        <v>143</v>
      </c>
      <c r="E210" s="3" t="s">
        <v>439</v>
      </c>
    </row>
    <row r="211" spans="1:5" ht="93.75" x14ac:dyDescent="0.4">
      <c r="A211" s="1" t="s">
        <v>3</v>
      </c>
      <c r="B211" s="1" t="s">
        <v>467</v>
      </c>
      <c r="C211" s="1" t="s">
        <v>75</v>
      </c>
      <c r="D211" s="1" t="s">
        <v>148</v>
      </c>
      <c r="E211" s="3" t="s">
        <v>439</v>
      </c>
    </row>
    <row r="212" spans="1:5" ht="93.75" x14ac:dyDescent="0.4">
      <c r="A212" s="1" t="s">
        <v>3</v>
      </c>
      <c r="B212" s="1" t="s">
        <v>467</v>
      </c>
      <c r="C212" s="1" t="s">
        <v>76</v>
      </c>
      <c r="D212" s="1" t="s">
        <v>152</v>
      </c>
      <c r="E212" s="3" t="s">
        <v>439</v>
      </c>
    </row>
    <row r="213" spans="1:5" ht="93.75" x14ac:dyDescent="0.4">
      <c r="A213" s="1" t="s">
        <v>3</v>
      </c>
      <c r="B213" s="1" t="s">
        <v>467</v>
      </c>
      <c r="C213" s="1" t="s">
        <v>77</v>
      </c>
      <c r="D213" s="1" t="s">
        <v>154</v>
      </c>
      <c r="E213" s="3" t="s">
        <v>439</v>
      </c>
    </row>
    <row r="214" spans="1:5" ht="93.75" x14ac:dyDescent="0.4">
      <c r="A214" s="1" t="s">
        <v>3</v>
      </c>
      <c r="B214" s="1" t="s">
        <v>467</v>
      </c>
      <c r="C214" s="1" t="s">
        <v>72</v>
      </c>
      <c r="D214" s="1" t="s">
        <v>158</v>
      </c>
      <c r="E214" s="3" t="s">
        <v>439</v>
      </c>
    </row>
    <row r="215" spans="1:5" ht="93.75" x14ac:dyDescent="0.4">
      <c r="A215" s="1" t="s">
        <v>3</v>
      </c>
      <c r="B215" s="1" t="s">
        <v>467</v>
      </c>
      <c r="C215" s="1" t="s">
        <v>78</v>
      </c>
      <c r="D215" s="1" t="s">
        <v>163</v>
      </c>
      <c r="E215" s="3" t="s">
        <v>439</v>
      </c>
    </row>
    <row r="216" spans="1:5" ht="93.75" x14ac:dyDescent="0.4">
      <c r="A216" s="1" t="s">
        <v>3</v>
      </c>
      <c r="B216" s="1" t="s">
        <v>467</v>
      </c>
      <c r="C216" s="1" t="s">
        <v>79</v>
      </c>
      <c r="D216" s="1" t="s">
        <v>166</v>
      </c>
      <c r="E216" s="3" t="s">
        <v>439</v>
      </c>
    </row>
    <row r="217" spans="1:5" ht="93.75" x14ac:dyDescent="0.4">
      <c r="A217" s="1" t="s">
        <v>3</v>
      </c>
      <c r="B217" s="1" t="s">
        <v>467</v>
      </c>
      <c r="C217" s="1" t="s">
        <v>80</v>
      </c>
      <c r="D217" s="1" t="s">
        <v>171</v>
      </c>
      <c r="E217" s="3" t="s">
        <v>439</v>
      </c>
    </row>
    <row r="218" spans="1:5" ht="93.75" x14ac:dyDescent="0.4">
      <c r="A218" s="1" t="s">
        <v>3</v>
      </c>
      <c r="B218" s="1" t="s">
        <v>467</v>
      </c>
      <c r="C218" s="1" t="s">
        <v>84</v>
      </c>
      <c r="D218" s="1" t="s">
        <v>175</v>
      </c>
      <c r="E218" s="3" t="s">
        <v>439</v>
      </c>
    </row>
    <row r="219" spans="1:5" ht="93.75" x14ac:dyDescent="0.4">
      <c r="A219" s="1" t="s">
        <v>3</v>
      </c>
      <c r="B219" s="1" t="s">
        <v>467</v>
      </c>
      <c r="C219" s="1" t="s">
        <v>82</v>
      </c>
      <c r="D219" s="1" t="s">
        <v>178</v>
      </c>
      <c r="E219" s="3" t="s">
        <v>439</v>
      </c>
    </row>
    <row r="220" spans="1:5" ht="93.75" x14ac:dyDescent="0.4">
      <c r="A220" s="1" t="s">
        <v>3</v>
      </c>
      <c r="B220" s="1" t="s">
        <v>467</v>
      </c>
      <c r="C220" s="1" t="s">
        <v>81</v>
      </c>
      <c r="D220" s="1" t="s">
        <v>181</v>
      </c>
      <c r="E220" s="3" t="s">
        <v>439</v>
      </c>
    </row>
    <row r="221" spans="1:5" ht="93.75" x14ac:dyDescent="0.4">
      <c r="A221" s="1" t="s">
        <v>3</v>
      </c>
      <c r="B221" s="1" t="s">
        <v>467</v>
      </c>
      <c r="C221" s="1" t="s">
        <v>83</v>
      </c>
      <c r="D221" s="1" t="s">
        <v>184</v>
      </c>
      <c r="E221" s="3" t="s">
        <v>439</v>
      </c>
    </row>
    <row r="222" spans="1:5" ht="93.75" x14ac:dyDescent="0.4">
      <c r="A222" s="1" t="s">
        <v>3</v>
      </c>
      <c r="B222" s="1" t="s">
        <v>467</v>
      </c>
      <c r="C222" s="1" t="s">
        <v>85</v>
      </c>
      <c r="D222" s="1" t="s">
        <v>187</v>
      </c>
      <c r="E222" s="3" t="s">
        <v>439</v>
      </c>
    </row>
    <row r="223" spans="1:5" ht="93.75" x14ac:dyDescent="0.4">
      <c r="A223" s="1" t="s">
        <v>3</v>
      </c>
      <c r="B223" s="1" t="s">
        <v>467</v>
      </c>
      <c r="C223" s="1" t="s">
        <v>86</v>
      </c>
      <c r="D223" s="1" t="s">
        <v>195</v>
      </c>
      <c r="E223" s="3" t="s">
        <v>439</v>
      </c>
    </row>
    <row r="224" spans="1:5" ht="93.75" x14ac:dyDescent="0.4">
      <c r="A224" s="1" t="s">
        <v>3</v>
      </c>
      <c r="B224" s="1" t="s">
        <v>467</v>
      </c>
      <c r="C224" s="1" t="s">
        <v>122</v>
      </c>
      <c r="D224" s="1" t="s">
        <v>200</v>
      </c>
      <c r="E224" s="3" t="s">
        <v>439</v>
      </c>
    </row>
    <row r="225" spans="1:5" ht="93.75" x14ac:dyDescent="0.4">
      <c r="A225" s="1" t="s">
        <v>3</v>
      </c>
      <c r="B225" s="1" t="s">
        <v>467</v>
      </c>
      <c r="C225" s="1" t="s">
        <v>123</v>
      </c>
      <c r="D225" s="1" t="s">
        <v>206</v>
      </c>
      <c r="E225" s="3" t="s">
        <v>439</v>
      </c>
    </row>
    <row r="226" spans="1:5" ht="93.75" x14ac:dyDescent="0.4">
      <c r="A226" s="1" t="s">
        <v>3</v>
      </c>
      <c r="B226" s="1" t="s">
        <v>467</v>
      </c>
      <c r="C226" s="1" t="s">
        <v>392</v>
      </c>
      <c r="D226" s="1" t="s">
        <v>211</v>
      </c>
      <c r="E226" s="3" t="s">
        <v>439</v>
      </c>
    </row>
    <row r="227" spans="1:5" ht="93.75" x14ac:dyDescent="0.4">
      <c r="A227" s="1" t="s">
        <v>3</v>
      </c>
      <c r="B227" s="1" t="s">
        <v>467</v>
      </c>
      <c r="C227" s="1" t="s">
        <v>393</v>
      </c>
      <c r="D227" s="1" t="s">
        <v>213</v>
      </c>
      <c r="E227" s="3" t="s">
        <v>439</v>
      </c>
    </row>
    <row r="228" spans="1:5" ht="93.75" x14ac:dyDescent="0.4">
      <c r="A228" s="1" t="s">
        <v>3</v>
      </c>
      <c r="B228" s="1" t="s">
        <v>467</v>
      </c>
      <c r="C228" s="1" t="s">
        <v>394</v>
      </c>
      <c r="D228" s="1" t="s">
        <v>214</v>
      </c>
      <c r="E228" s="3" t="s">
        <v>439</v>
      </c>
    </row>
    <row r="229" spans="1:5" ht="93.75" x14ac:dyDescent="0.4">
      <c r="A229" s="1" t="s">
        <v>3</v>
      </c>
      <c r="B229" s="1" t="s">
        <v>467</v>
      </c>
      <c r="C229" s="1" t="s">
        <v>90</v>
      </c>
      <c r="D229" s="1" t="s">
        <v>218</v>
      </c>
      <c r="E229" s="3" t="s">
        <v>439</v>
      </c>
    </row>
    <row r="230" spans="1:5" ht="93.75" x14ac:dyDescent="0.4">
      <c r="A230" s="1" t="s">
        <v>3</v>
      </c>
      <c r="B230" s="1" t="s">
        <v>467</v>
      </c>
      <c r="C230" s="1" t="s">
        <v>98</v>
      </c>
      <c r="D230" s="1" t="s">
        <v>224</v>
      </c>
      <c r="E230" s="3" t="s">
        <v>439</v>
      </c>
    </row>
    <row r="231" spans="1:5" ht="93.75" x14ac:dyDescent="0.4">
      <c r="A231" s="1" t="s">
        <v>3</v>
      </c>
      <c r="B231" s="1" t="s">
        <v>467</v>
      </c>
      <c r="C231" s="1" t="s">
        <v>97</v>
      </c>
      <c r="D231" s="1" t="s">
        <v>227</v>
      </c>
      <c r="E231" s="3" t="s">
        <v>439</v>
      </c>
    </row>
    <row r="232" spans="1:5" ht="93.75" x14ac:dyDescent="0.4">
      <c r="A232" s="1" t="s">
        <v>3</v>
      </c>
      <c r="B232" s="1" t="s">
        <v>467</v>
      </c>
      <c r="C232" s="1" t="s">
        <v>96</v>
      </c>
      <c r="D232" s="1" t="s">
        <v>229</v>
      </c>
      <c r="E232" s="3" t="s">
        <v>439</v>
      </c>
    </row>
    <row r="233" spans="1:5" ht="93.75" x14ac:dyDescent="0.4">
      <c r="A233" s="1" t="s">
        <v>3</v>
      </c>
      <c r="B233" s="1" t="s">
        <v>467</v>
      </c>
      <c r="C233" s="1" t="s">
        <v>99</v>
      </c>
      <c r="D233" s="1" t="s">
        <v>234</v>
      </c>
      <c r="E233" s="3" t="s">
        <v>439</v>
      </c>
    </row>
    <row r="234" spans="1:5" ht="93.75" x14ac:dyDescent="0.4">
      <c r="A234" s="1" t="s">
        <v>3</v>
      </c>
      <c r="B234" s="1" t="s">
        <v>467</v>
      </c>
      <c r="C234" s="1" t="s">
        <v>100</v>
      </c>
      <c r="D234" s="1" t="s">
        <v>432</v>
      </c>
      <c r="E234" s="3" t="s">
        <v>439</v>
      </c>
    </row>
    <row r="235" spans="1:5" ht="93.75" x14ac:dyDescent="0.4">
      <c r="A235" s="1" t="s">
        <v>3</v>
      </c>
      <c r="B235" s="1" t="s">
        <v>467</v>
      </c>
      <c r="C235" s="1" t="s">
        <v>101</v>
      </c>
      <c r="D235" s="1" t="s">
        <v>240</v>
      </c>
      <c r="E235" s="3" t="s">
        <v>439</v>
      </c>
    </row>
    <row r="236" spans="1:5" ht="93.75" x14ac:dyDescent="0.4">
      <c r="A236" s="1" t="s">
        <v>3</v>
      </c>
      <c r="B236" s="1" t="s">
        <v>467</v>
      </c>
      <c r="C236" s="1" t="s">
        <v>102</v>
      </c>
      <c r="D236" s="1" t="s">
        <v>244</v>
      </c>
      <c r="E236" s="3" t="s">
        <v>439</v>
      </c>
    </row>
    <row r="237" spans="1:5" ht="93.75" x14ac:dyDescent="0.4">
      <c r="A237" s="1" t="s">
        <v>3</v>
      </c>
      <c r="B237" s="1" t="s">
        <v>467</v>
      </c>
      <c r="C237" s="1" t="s">
        <v>101</v>
      </c>
      <c r="D237" s="1" t="s">
        <v>245</v>
      </c>
      <c r="E237" s="3" t="s">
        <v>439</v>
      </c>
    </row>
    <row r="238" spans="1:5" ht="93.75" x14ac:dyDescent="0.4">
      <c r="A238" s="1" t="s">
        <v>3</v>
      </c>
      <c r="B238" s="1" t="s">
        <v>467</v>
      </c>
      <c r="C238" s="1" t="s">
        <v>103</v>
      </c>
      <c r="D238" s="1" t="s">
        <v>249</v>
      </c>
      <c r="E238" s="3" t="s">
        <v>439</v>
      </c>
    </row>
    <row r="239" spans="1:5" ht="93.75" x14ac:dyDescent="0.4">
      <c r="A239" s="1" t="s">
        <v>3</v>
      </c>
      <c r="B239" s="1" t="s">
        <v>467</v>
      </c>
      <c r="C239" s="1" t="s">
        <v>104</v>
      </c>
      <c r="D239" s="1" t="s">
        <v>253</v>
      </c>
      <c r="E239" s="3" t="s">
        <v>439</v>
      </c>
    </row>
    <row r="240" spans="1:5" ht="93.75" x14ac:dyDescent="0.4">
      <c r="A240" s="1" t="s">
        <v>3</v>
      </c>
      <c r="B240" s="1" t="s">
        <v>467</v>
      </c>
      <c r="C240" s="1" t="s">
        <v>124</v>
      </c>
      <c r="D240" s="1" t="s">
        <v>257</v>
      </c>
      <c r="E240" s="3" t="s">
        <v>439</v>
      </c>
    </row>
    <row r="241" spans="1:5" ht="93.75" x14ac:dyDescent="0.4">
      <c r="A241" s="1" t="s">
        <v>3</v>
      </c>
      <c r="B241" s="1" t="s">
        <v>467</v>
      </c>
      <c r="C241" s="1" t="s">
        <v>107</v>
      </c>
      <c r="D241" s="1" t="s">
        <v>262</v>
      </c>
      <c r="E241" s="3" t="s">
        <v>439</v>
      </c>
    </row>
    <row r="242" spans="1:5" ht="93.75" x14ac:dyDescent="0.4">
      <c r="A242" s="1" t="s">
        <v>3</v>
      </c>
      <c r="B242" s="1" t="s">
        <v>467</v>
      </c>
      <c r="C242" s="1" t="s">
        <v>127</v>
      </c>
      <c r="D242" s="1" t="s">
        <v>266</v>
      </c>
      <c r="E242" s="3" t="s">
        <v>439</v>
      </c>
    </row>
    <row r="243" spans="1:5" ht="93.75" x14ac:dyDescent="0.4">
      <c r="A243" s="1" t="s">
        <v>3</v>
      </c>
      <c r="B243" s="1" t="s">
        <v>467</v>
      </c>
      <c r="C243" s="1" t="s">
        <v>129</v>
      </c>
      <c r="D243" s="1" t="s">
        <v>270</v>
      </c>
      <c r="E243" s="3" t="s">
        <v>439</v>
      </c>
    </row>
    <row r="244" spans="1:5" ht="93.75" x14ac:dyDescent="0.4">
      <c r="A244" s="1" t="s">
        <v>3</v>
      </c>
      <c r="B244" s="1" t="s">
        <v>467</v>
      </c>
      <c r="C244" s="1" t="s">
        <v>108</v>
      </c>
      <c r="D244" s="1" t="s">
        <v>274</v>
      </c>
      <c r="E244" s="3" t="s">
        <v>439</v>
      </c>
    </row>
    <row r="245" spans="1:5" ht="93.75" x14ac:dyDescent="0.4">
      <c r="A245" s="1" t="s">
        <v>3</v>
      </c>
      <c r="B245" s="1" t="s">
        <v>467</v>
      </c>
      <c r="C245" s="1" t="s">
        <v>126</v>
      </c>
      <c r="D245" s="1" t="s">
        <v>278</v>
      </c>
      <c r="E245" s="3" t="s">
        <v>439</v>
      </c>
    </row>
    <row r="246" spans="1:5" ht="93.75" x14ac:dyDescent="0.4">
      <c r="A246" s="1" t="s">
        <v>3</v>
      </c>
      <c r="B246" s="1" t="s">
        <v>467</v>
      </c>
      <c r="C246" s="1" t="s">
        <v>401</v>
      </c>
      <c r="D246" s="1" t="s">
        <v>286</v>
      </c>
      <c r="E246" s="3" t="s">
        <v>439</v>
      </c>
    </row>
    <row r="247" spans="1:5" ht="206.25" x14ac:dyDescent="0.4">
      <c r="A247" s="1" t="s">
        <v>3</v>
      </c>
      <c r="B247" s="1" t="s">
        <v>467</v>
      </c>
      <c r="C247" s="1" t="s">
        <v>376</v>
      </c>
      <c r="D247" s="1" t="s">
        <v>380</v>
      </c>
      <c r="E247" s="3" t="s">
        <v>468</v>
      </c>
    </row>
    <row r="248" spans="1:5" ht="281.25" x14ac:dyDescent="0.4">
      <c r="A248" s="1" t="s">
        <v>3</v>
      </c>
      <c r="B248" s="1" t="s">
        <v>467</v>
      </c>
      <c r="C248" s="1" t="s">
        <v>382</v>
      </c>
      <c r="D248" s="1" t="s">
        <v>292</v>
      </c>
      <c r="E248" s="3" t="s">
        <v>469</v>
      </c>
    </row>
    <row r="249" spans="1:5" ht="93.75" x14ac:dyDescent="0.4">
      <c r="A249" s="1" t="s">
        <v>3</v>
      </c>
      <c r="B249" s="1" t="s">
        <v>467</v>
      </c>
      <c r="C249" s="1" t="s">
        <v>375</v>
      </c>
      <c r="D249" s="1" t="s">
        <v>385</v>
      </c>
      <c r="E249" s="3" t="s">
        <v>470</v>
      </c>
    </row>
    <row r="250" spans="1:5" ht="93.75" x14ac:dyDescent="0.4">
      <c r="A250" s="1" t="s">
        <v>3</v>
      </c>
      <c r="B250" s="1" t="s">
        <v>467</v>
      </c>
      <c r="C250" s="1" t="s">
        <v>118</v>
      </c>
      <c r="D250" s="1" t="s">
        <v>296</v>
      </c>
      <c r="E250" s="3" t="s">
        <v>439</v>
      </c>
    </row>
    <row r="251" spans="1:5" ht="93.75" x14ac:dyDescent="0.4">
      <c r="A251" s="1" t="s">
        <v>3</v>
      </c>
      <c r="B251" s="1" t="s">
        <v>467</v>
      </c>
      <c r="C251" s="1" t="s">
        <v>118</v>
      </c>
      <c r="D251" s="1" t="s">
        <v>297</v>
      </c>
      <c r="E251" s="3" t="s">
        <v>439</v>
      </c>
    </row>
    <row r="252" spans="1:5" ht="93.75" x14ac:dyDescent="0.4">
      <c r="A252" s="1" t="s">
        <v>3</v>
      </c>
      <c r="B252" s="1" t="s">
        <v>467</v>
      </c>
      <c r="C252" s="1" t="s">
        <v>116</v>
      </c>
      <c r="D252" s="1" t="s">
        <v>303</v>
      </c>
      <c r="E252" s="3" t="s">
        <v>439</v>
      </c>
    </row>
    <row r="253" spans="1:5" ht="93.75" x14ac:dyDescent="0.4">
      <c r="A253" s="1" t="s">
        <v>3</v>
      </c>
      <c r="B253" s="1" t="s">
        <v>467</v>
      </c>
      <c r="C253" s="1" t="s">
        <v>115</v>
      </c>
      <c r="D253" s="1" t="s">
        <v>308</v>
      </c>
      <c r="E253" s="3" t="s">
        <v>439</v>
      </c>
    </row>
    <row r="254" spans="1:5" ht="93.75" x14ac:dyDescent="0.4">
      <c r="A254" s="1" t="s">
        <v>3</v>
      </c>
      <c r="B254" s="1" t="s">
        <v>467</v>
      </c>
      <c r="C254" s="1" t="s">
        <v>117</v>
      </c>
      <c r="D254" s="1" t="s">
        <v>312</v>
      </c>
      <c r="E254" s="3" t="s">
        <v>439</v>
      </c>
    </row>
    <row r="255" spans="1:5" ht="93.75" x14ac:dyDescent="0.4">
      <c r="A255" s="1" t="s">
        <v>3</v>
      </c>
      <c r="B255" s="1" t="s">
        <v>467</v>
      </c>
      <c r="C255" s="1" t="s">
        <v>109</v>
      </c>
      <c r="D255" s="1" t="s">
        <v>316</v>
      </c>
      <c r="E255" s="3" t="s">
        <v>439</v>
      </c>
    </row>
    <row r="256" spans="1:5" ht="93.75" x14ac:dyDescent="0.4">
      <c r="A256" s="1" t="s">
        <v>3</v>
      </c>
      <c r="B256" s="1" t="s">
        <v>467</v>
      </c>
      <c r="C256" s="1" t="s">
        <v>119</v>
      </c>
      <c r="D256" s="1" t="s">
        <v>319</v>
      </c>
      <c r="E256" s="3" t="s">
        <v>439</v>
      </c>
    </row>
    <row r="257" spans="1:5" ht="56.25" x14ac:dyDescent="0.4">
      <c r="A257" s="1" t="s">
        <v>3</v>
      </c>
      <c r="B257" s="1" t="s">
        <v>467</v>
      </c>
      <c r="C257" s="1" t="s">
        <v>442</v>
      </c>
      <c r="D257" s="1" t="s">
        <v>371</v>
      </c>
      <c r="E257" s="3" t="s">
        <v>372</v>
      </c>
    </row>
    <row r="258" spans="1:5" ht="56.25" x14ac:dyDescent="0.4">
      <c r="A258" s="1" t="s">
        <v>3</v>
      </c>
      <c r="B258" s="1" t="s">
        <v>467</v>
      </c>
      <c r="C258" s="1" t="s">
        <v>443</v>
      </c>
      <c r="D258" s="1" t="s">
        <v>371</v>
      </c>
      <c r="E258" s="3" t="s">
        <v>372</v>
      </c>
    </row>
    <row r="259" spans="1:5" ht="243.75" x14ac:dyDescent="0.4">
      <c r="A259" s="1" t="s">
        <v>3</v>
      </c>
      <c r="B259" s="1" t="s">
        <v>467</v>
      </c>
      <c r="C259" s="1" t="s">
        <v>446</v>
      </c>
      <c r="D259" s="1" t="s">
        <v>371</v>
      </c>
      <c r="E259" s="3" t="s">
        <v>453</v>
      </c>
    </row>
    <row r="260" spans="1:5" ht="56.25" x14ac:dyDescent="0.4">
      <c r="A260" s="1" t="s">
        <v>3</v>
      </c>
      <c r="B260" s="1" t="s">
        <v>467</v>
      </c>
      <c r="C260" s="1" t="s">
        <v>447</v>
      </c>
      <c r="D260" s="1" t="s">
        <v>371</v>
      </c>
      <c r="E260" s="3" t="s">
        <v>372</v>
      </c>
    </row>
    <row r="261" spans="1:5" x14ac:dyDescent="0.4">
      <c r="A261" s="1" t="s">
        <v>3</v>
      </c>
      <c r="B261" s="1" t="s">
        <v>467</v>
      </c>
      <c r="C261" s="1" t="s">
        <v>368</v>
      </c>
      <c r="D261" s="1" t="s">
        <v>371</v>
      </c>
      <c r="E261" s="1" t="s">
        <v>391</v>
      </c>
    </row>
    <row r="262" spans="1:5" x14ac:dyDescent="0.4">
      <c r="A262" s="1" t="s">
        <v>3</v>
      </c>
      <c r="B262" s="1" t="s">
        <v>467</v>
      </c>
      <c r="C262" s="1" t="s">
        <v>369</v>
      </c>
      <c r="D262" s="1" t="s">
        <v>371</v>
      </c>
      <c r="E262" s="1" t="s">
        <v>391</v>
      </c>
    </row>
    <row r="263" spans="1:5" ht="37.5" x14ac:dyDescent="0.4">
      <c r="A263" s="1" t="s">
        <v>3</v>
      </c>
      <c r="B263" s="1" t="s">
        <v>471</v>
      </c>
      <c r="C263" s="1" t="s">
        <v>5</v>
      </c>
      <c r="D263" s="1" t="s">
        <v>1</v>
      </c>
      <c r="E263" s="3" t="s">
        <v>6</v>
      </c>
    </row>
    <row r="264" spans="1:5" ht="225" x14ac:dyDescent="0.4">
      <c r="A264" s="1" t="s">
        <v>3</v>
      </c>
      <c r="B264" s="1" t="s">
        <v>471</v>
      </c>
      <c r="C264" s="1" t="s">
        <v>70</v>
      </c>
      <c r="D264" s="1" t="s">
        <v>1</v>
      </c>
      <c r="E264" s="3" t="s">
        <v>473</v>
      </c>
    </row>
    <row r="265" spans="1:5" ht="168.75" x14ac:dyDescent="0.4">
      <c r="A265" s="1" t="s">
        <v>3</v>
      </c>
      <c r="B265" s="1" t="s">
        <v>520</v>
      </c>
      <c r="C265" s="1" t="s">
        <v>483</v>
      </c>
      <c r="D265" s="1" t="s">
        <v>143</v>
      </c>
      <c r="E265" s="3" t="s">
        <v>521</v>
      </c>
    </row>
    <row r="266" spans="1:5" ht="409.5" x14ac:dyDescent="0.4">
      <c r="A266" s="1" t="s">
        <v>3</v>
      </c>
      <c r="B266" s="1" t="s">
        <v>520</v>
      </c>
      <c r="C266" s="1" t="s">
        <v>485</v>
      </c>
      <c r="D266" s="1" t="s">
        <v>152</v>
      </c>
      <c r="E266" s="3" t="s">
        <v>522</v>
      </c>
    </row>
    <row r="267" spans="1:5" ht="409.5" x14ac:dyDescent="0.4">
      <c r="A267" s="1" t="s">
        <v>3</v>
      </c>
      <c r="B267" s="1" t="s">
        <v>520</v>
      </c>
      <c r="C267" s="1" t="s">
        <v>487</v>
      </c>
      <c r="D267" s="1" t="s">
        <v>154</v>
      </c>
      <c r="E267" s="3" t="s">
        <v>523</v>
      </c>
    </row>
    <row r="268" spans="1:5" ht="150" x14ac:dyDescent="0.4">
      <c r="A268" s="1" t="s">
        <v>3</v>
      </c>
      <c r="B268" s="1" t="s">
        <v>520</v>
      </c>
      <c r="C268" s="1" t="s">
        <v>493</v>
      </c>
      <c r="D268" s="1" t="s">
        <v>175</v>
      </c>
      <c r="E268" s="3" t="s">
        <v>524</v>
      </c>
    </row>
    <row r="269" spans="1:5" ht="150" x14ac:dyDescent="0.4">
      <c r="A269" s="1" t="s">
        <v>3</v>
      </c>
      <c r="B269" s="1" t="s">
        <v>520</v>
      </c>
      <c r="C269" s="1" t="s">
        <v>496</v>
      </c>
      <c r="D269" s="1" t="s">
        <v>178</v>
      </c>
      <c r="E269" s="3" t="s">
        <v>524</v>
      </c>
    </row>
    <row r="270" spans="1:5" ht="150" x14ac:dyDescent="0.4">
      <c r="A270" s="1" t="s">
        <v>3</v>
      </c>
      <c r="B270" s="1" t="s">
        <v>520</v>
      </c>
      <c r="C270" s="1" t="s">
        <v>491</v>
      </c>
      <c r="D270" s="1" t="s">
        <v>181</v>
      </c>
      <c r="E270" s="3" t="s">
        <v>524</v>
      </c>
    </row>
    <row r="271" spans="1:5" ht="150" x14ac:dyDescent="0.4">
      <c r="A271" s="1" t="s">
        <v>3</v>
      </c>
      <c r="B271" s="1" t="s">
        <v>520</v>
      </c>
      <c r="C271" s="1" t="s">
        <v>494</v>
      </c>
      <c r="D271" s="1" t="s">
        <v>184</v>
      </c>
      <c r="E271" s="3" t="s">
        <v>524</v>
      </c>
    </row>
    <row r="272" spans="1:5" ht="168.75" x14ac:dyDescent="0.4">
      <c r="A272" s="1" t="s">
        <v>3</v>
      </c>
      <c r="B272" s="1" t="s">
        <v>520</v>
      </c>
      <c r="C272" s="1" t="s">
        <v>498</v>
      </c>
      <c r="D272" s="1" t="s">
        <v>187</v>
      </c>
      <c r="E272" s="3" t="s">
        <v>525</v>
      </c>
    </row>
    <row r="273" spans="1:5" ht="225" x14ac:dyDescent="0.4">
      <c r="A273" s="1" t="s">
        <v>3</v>
      </c>
      <c r="B273" s="1" t="s">
        <v>520</v>
      </c>
      <c r="C273" s="1" t="s">
        <v>500</v>
      </c>
      <c r="D273" s="1" t="s">
        <v>206</v>
      </c>
      <c r="E273" s="3" t="s">
        <v>526</v>
      </c>
    </row>
    <row r="274" spans="1:5" ht="187.5" x14ac:dyDescent="0.4">
      <c r="A274" s="1" t="s">
        <v>3</v>
      </c>
      <c r="B274" s="1" t="s">
        <v>520</v>
      </c>
      <c r="C274" s="1" t="s">
        <v>502</v>
      </c>
      <c r="D274" s="1" t="s">
        <v>211</v>
      </c>
      <c r="E274" s="3" t="s">
        <v>527</v>
      </c>
    </row>
    <row r="275" spans="1:5" ht="187.5" x14ac:dyDescent="0.4">
      <c r="A275" s="1" t="s">
        <v>3</v>
      </c>
      <c r="B275" s="1" t="s">
        <v>520</v>
      </c>
      <c r="C275" s="1" t="s">
        <v>504</v>
      </c>
      <c r="D275" s="1" t="s">
        <v>213</v>
      </c>
      <c r="E275" s="3" t="s">
        <v>527</v>
      </c>
    </row>
    <row r="276" spans="1:5" ht="187.5" x14ac:dyDescent="0.4">
      <c r="A276" s="1" t="s">
        <v>3</v>
      </c>
      <c r="B276" s="1" t="s">
        <v>520</v>
      </c>
      <c r="C276" s="1" t="s">
        <v>505</v>
      </c>
      <c r="D276" s="1" t="s">
        <v>214</v>
      </c>
      <c r="E276" s="3" t="s">
        <v>527</v>
      </c>
    </row>
    <row r="277" spans="1:5" ht="281.25" x14ac:dyDescent="0.4">
      <c r="A277" s="1" t="s">
        <v>3</v>
      </c>
      <c r="B277" s="1" t="s">
        <v>520</v>
      </c>
      <c r="C277" s="1" t="s">
        <v>376</v>
      </c>
      <c r="D277" s="1" t="s">
        <v>380</v>
      </c>
      <c r="E277" s="3" t="s">
        <v>528</v>
      </c>
    </row>
    <row r="278" spans="1:5" ht="56.25" x14ac:dyDescent="0.4">
      <c r="A278" s="1" t="s">
        <v>3</v>
      </c>
      <c r="B278" s="1" t="s">
        <v>520</v>
      </c>
      <c r="C278" s="1" t="s">
        <v>529</v>
      </c>
      <c r="D278" s="1" t="s">
        <v>371</v>
      </c>
      <c r="E278" s="3" t="s">
        <v>372</v>
      </c>
    </row>
    <row r="279" spans="1:5" ht="56.25" x14ac:dyDescent="0.4">
      <c r="A279" s="1" t="s">
        <v>3</v>
      </c>
      <c r="B279" s="1" t="s">
        <v>520</v>
      </c>
      <c r="C279" s="1" t="s">
        <v>530</v>
      </c>
      <c r="D279" s="1" t="s">
        <v>371</v>
      </c>
      <c r="E279" s="3" t="s">
        <v>372</v>
      </c>
    </row>
    <row r="280" spans="1:5" x14ac:dyDescent="0.4">
      <c r="A280" s="1" t="s">
        <v>3</v>
      </c>
      <c r="B280" s="1" t="s">
        <v>520</v>
      </c>
      <c r="C280" s="1" t="s">
        <v>441</v>
      </c>
      <c r="D280" s="1" t="s">
        <v>371</v>
      </c>
      <c r="E280" s="1" t="s">
        <v>391</v>
      </c>
    </row>
    <row r="281" spans="1:5" x14ac:dyDescent="0.4">
      <c r="A281" s="1" t="s">
        <v>3</v>
      </c>
      <c r="B281" s="1" t="s">
        <v>520</v>
      </c>
      <c r="C281" s="1" t="s">
        <v>444</v>
      </c>
      <c r="D281" s="1" t="s">
        <v>371</v>
      </c>
      <c r="E281" s="1" t="s">
        <v>391</v>
      </c>
    </row>
    <row r="282" spans="1:5" ht="75" x14ac:dyDescent="0.4">
      <c r="A282" s="1" t="s">
        <v>3</v>
      </c>
      <c r="B282" s="1" t="s">
        <v>532</v>
      </c>
      <c r="C282" s="1" t="s">
        <v>436</v>
      </c>
      <c r="D282" s="1" t="s">
        <v>1</v>
      </c>
      <c r="E282" s="3" t="s">
        <v>533</v>
      </c>
    </row>
    <row r="283" spans="1:5" ht="409.5" x14ac:dyDescent="0.4">
      <c r="A283" s="1" t="s">
        <v>3</v>
      </c>
      <c r="B283" s="1" t="s">
        <v>536</v>
      </c>
      <c r="C283" s="1" t="s">
        <v>376</v>
      </c>
      <c r="D283" s="1" t="s">
        <v>535</v>
      </c>
      <c r="E283" s="3" t="s">
        <v>537</v>
      </c>
    </row>
    <row r="284" spans="1:5" ht="409.5" x14ac:dyDescent="0.4">
      <c r="A284" s="1" t="s">
        <v>3</v>
      </c>
      <c r="B284" s="1" t="s">
        <v>536</v>
      </c>
      <c r="C284" s="1" t="s">
        <v>375</v>
      </c>
      <c r="D284" s="1" t="s">
        <v>531</v>
      </c>
      <c r="E284" s="3" t="s">
        <v>538</v>
      </c>
    </row>
    <row r="285" spans="1:5" x14ac:dyDescent="0.4">
      <c r="A285" s="1" t="s">
        <v>3</v>
      </c>
      <c r="B285" s="1" t="s">
        <v>536</v>
      </c>
      <c r="C285" s="1" t="s">
        <v>376</v>
      </c>
      <c r="D285" s="1" t="s">
        <v>380</v>
      </c>
      <c r="E285" s="1" t="s">
        <v>391</v>
      </c>
    </row>
    <row r="286" spans="1:5" x14ac:dyDescent="0.4">
      <c r="A286" s="1" t="s">
        <v>3</v>
      </c>
      <c r="B286" s="1" t="s">
        <v>536</v>
      </c>
      <c r="C286" s="1" t="s">
        <v>375</v>
      </c>
      <c r="D286" s="1" t="s">
        <v>385</v>
      </c>
      <c r="E286" s="1" t="s">
        <v>391</v>
      </c>
    </row>
    <row r="287" spans="1:5" ht="281.25" x14ac:dyDescent="0.4">
      <c r="A287" s="1" t="s">
        <v>3</v>
      </c>
      <c r="B287" s="1" t="s">
        <v>541</v>
      </c>
      <c r="C287" s="1" t="s">
        <v>539</v>
      </c>
      <c r="D287" s="1" t="s">
        <v>371</v>
      </c>
      <c r="E287" s="3" t="s">
        <v>542</v>
      </c>
    </row>
    <row r="288" spans="1:5" ht="281.25" x14ac:dyDescent="0.4">
      <c r="A288" s="1" t="s">
        <v>3</v>
      </c>
      <c r="B288" s="1" t="s">
        <v>541</v>
      </c>
      <c r="C288" s="1" t="s">
        <v>540</v>
      </c>
      <c r="D288" s="1" t="s">
        <v>371</v>
      </c>
      <c r="E288" s="3" t="s">
        <v>542</v>
      </c>
    </row>
    <row r="289" spans="1:5" x14ac:dyDescent="0.4">
      <c r="A289" s="1" t="s">
        <v>3</v>
      </c>
      <c r="B289" s="1" t="s">
        <v>541</v>
      </c>
      <c r="C289" s="1" t="s">
        <v>446</v>
      </c>
      <c r="D289" s="1" t="s">
        <v>371</v>
      </c>
      <c r="E289" s="1" t="s">
        <v>391</v>
      </c>
    </row>
    <row r="290" spans="1:5" x14ac:dyDescent="0.4">
      <c r="A290" s="1" t="s">
        <v>3</v>
      </c>
      <c r="B290" s="1" t="s">
        <v>541</v>
      </c>
      <c r="C290" s="1" t="s">
        <v>447</v>
      </c>
      <c r="D290" s="1" t="s">
        <v>371</v>
      </c>
      <c r="E290" s="1" t="s">
        <v>391</v>
      </c>
    </row>
    <row r="291" spans="1:5" ht="75" x14ac:dyDescent="0.4">
      <c r="A291" s="1" t="s">
        <v>3</v>
      </c>
      <c r="B291" s="1" t="s">
        <v>543</v>
      </c>
      <c r="C291" s="1" t="s">
        <v>436</v>
      </c>
      <c r="D291" s="1" t="s">
        <v>1</v>
      </c>
      <c r="E291" s="3" t="s">
        <v>544</v>
      </c>
    </row>
    <row r="292" spans="1:5" ht="409.5" x14ac:dyDescent="0.4">
      <c r="A292" s="1" t="s">
        <v>3</v>
      </c>
      <c r="B292" s="1" t="s">
        <v>546</v>
      </c>
      <c r="C292" s="1" t="s">
        <v>376</v>
      </c>
      <c r="D292" s="1" t="s">
        <v>380</v>
      </c>
      <c r="E292" s="3" t="s">
        <v>547</v>
      </c>
    </row>
    <row r="293" spans="1:5" ht="409.5" x14ac:dyDescent="0.4">
      <c r="A293" s="1" t="s">
        <v>3</v>
      </c>
      <c r="B293" s="1" t="s">
        <v>546</v>
      </c>
      <c r="C293" s="1" t="s">
        <v>375</v>
      </c>
      <c r="D293" s="1" t="s">
        <v>385</v>
      </c>
      <c r="E293" s="3" t="s">
        <v>548</v>
      </c>
    </row>
    <row r="294" spans="1:5" x14ac:dyDescent="0.4">
      <c r="A294" s="1" t="s">
        <v>3</v>
      </c>
      <c r="B294" s="1" t="s">
        <v>546</v>
      </c>
      <c r="C294" s="1" t="s">
        <v>376</v>
      </c>
      <c r="D294" s="1" t="s">
        <v>535</v>
      </c>
      <c r="E294" s="1" t="s">
        <v>391</v>
      </c>
    </row>
    <row r="295" spans="1:5" x14ac:dyDescent="0.4">
      <c r="A295" s="1" t="s">
        <v>3</v>
      </c>
      <c r="B295" s="1" t="s">
        <v>546</v>
      </c>
      <c r="C295" s="1" t="s">
        <v>375</v>
      </c>
      <c r="D295" s="1" t="s">
        <v>531</v>
      </c>
      <c r="E295" s="1" t="s">
        <v>391</v>
      </c>
    </row>
    <row r="296" spans="1:5" ht="281.25" x14ac:dyDescent="0.4">
      <c r="A296" s="1" t="s">
        <v>3</v>
      </c>
      <c r="B296" s="1" t="s">
        <v>546</v>
      </c>
      <c r="C296" s="1" t="s">
        <v>446</v>
      </c>
      <c r="D296" s="1" t="s">
        <v>371</v>
      </c>
      <c r="E296" s="3" t="s">
        <v>542</v>
      </c>
    </row>
    <row r="297" spans="1:5" ht="281.25" x14ac:dyDescent="0.4">
      <c r="A297" s="1" t="s">
        <v>3</v>
      </c>
      <c r="B297" s="1" t="s">
        <v>546</v>
      </c>
      <c r="C297" s="1" t="s">
        <v>447</v>
      </c>
      <c r="D297" s="1" t="s">
        <v>371</v>
      </c>
      <c r="E297" s="3" t="s">
        <v>542</v>
      </c>
    </row>
    <row r="298" spans="1:5" x14ac:dyDescent="0.4">
      <c r="A298" s="1" t="s">
        <v>3</v>
      </c>
      <c r="B298" s="1" t="s">
        <v>546</v>
      </c>
      <c r="C298" s="1" t="s">
        <v>539</v>
      </c>
      <c r="D298" s="1" t="s">
        <v>371</v>
      </c>
      <c r="E298" s="1" t="s">
        <v>391</v>
      </c>
    </row>
    <row r="299" spans="1:5" x14ac:dyDescent="0.4">
      <c r="A299" s="1" t="s">
        <v>3</v>
      </c>
      <c r="B299" s="1" t="s">
        <v>546</v>
      </c>
      <c r="C299" s="1" t="s">
        <v>540</v>
      </c>
      <c r="D299" s="1" t="s">
        <v>371</v>
      </c>
      <c r="E299" s="1" t="s">
        <v>391</v>
      </c>
    </row>
    <row r="300" spans="1:5" ht="409.5" x14ac:dyDescent="0.4">
      <c r="A300" s="1" t="s">
        <v>3</v>
      </c>
      <c r="B300" s="1" t="s">
        <v>550</v>
      </c>
      <c r="C300" s="1" t="s">
        <v>375</v>
      </c>
      <c r="D300" s="1" t="s">
        <v>385</v>
      </c>
      <c r="E300" s="3" t="s">
        <v>551</v>
      </c>
    </row>
    <row r="301" spans="1:5" ht="337.5" x14ac:dyDescent="0.4">
      <c r="A301" s="1" t="s">
        <v>3</v>
      </c>
      <c r="B301" s="1" t="s">
        <v>577</v>
      </c>
      <c r="C301" s="1" t="s">
        <v>553</v>
      </c>
      <c r="D301" s="1" t="s">
        <v>569</v>
      </c>
      <c r="E301" s="3" t="s">
        <v>578</v>
      </c>
    </row>
    <row r="302" spans="1:5" ht="300" x14ac:dyDescent="0.4">
      <c r="A302" s="1" t="s">
        <v>3</v>
      </c>
      <c r="B302" s="1" t="s">
        <v>577</v>
      </c>
      <c r="C302" s="1" t="s">
        <v>554</v>
      </c>
      <c r="D302" s="1" t="s">
        <v>573</v>
      </c>
      <c r="E302" s="3" t="s">
        <v>579</v>
      </c>
    </row>
    <row r="303" spans="1:5" ht="168.75" x14ac:dyDescent="0.4">
      <c r="A303" s="1" t="s">
        <v>3</v>
      </c>
      <c r="B303" s="1" t="s">
        <v>577</v>
      </c>
      <c r="C303" s="1" t="s">
        <v>561</v>
      </c>
      <c r="D303" s="1" t="s">
        <v>316</v>
      </c>
      <c r="E303" s="3" t="s">
        <v>580</v>
      </c>
    </row>
    <row r="304" spans="1:5" ht="243.75" x14ac:dyDescent="0.4">
      <c r="A304" s="1" t="s">
        <v>3</v>
      </c>
      <c r="B304" s="1" t="s">
        <v>582</v>
      </c>
      <c r="C304" s="1" t="s">
        <v>500</v>
      </c>
      <c r="D304" s="1" t="s">
        <v>206</v>
      </c>
      <c r="E304" s="3" t="s">
        <v>583</v>
      </c>
    </row>
    <row r="305" spans="1:5" ht="112.5" x14ac:dyDescent="0.4">
      <c r="A305" s="1" t="s">
        <v>3</v>
      </c>
      <c r="B305" s="1" t="s">
        <v>585</v>
      </c>
      <c r="C305" s="1" t="s">
        <v>500</v>
      </c>
      <c r="D305" s="1" t="s">
        <v>206</v>
      </c>
      <c r="E305" s="3" t="s">
        <v>586</v>
      </c>
    </row>
    <row r="306" spans="1:5" ht="112.5" x14ac:dyDescent="0.4">
      <c r="A306" s="1" t="s">
        <v>3</v>
      </c>
      <c r="B306" s="1" t="s">
        <v>587</v>
      </c>
      <c r="C306" s="1" t="s">
        <v>122</v>
      </c>
      <c r="D306" s="1" t="s">
        <v>200</v>
      </c>
      <c r="E306" s="3" t="s">
        <v>588</v>
      </c>
    </row>
    <row r="307" spans="1:5" ht="75" x14ac:dyDescent="0.4">
      <c r="A307" s="1" t="s">
        <v>3</v>
      </c>
      <c r="B307" s="1" t="s">
        <v>587</v>
      </c>
      <c r="C307" s="1" t="s">
        <v>382</v>
      </c>
      <c r="D307" s="1" t="s">
        <v>292</v>
      </c>
      <c r="E307" s="3" t="s">
        <v>589</v>
      </c>
    </row>
    <row r="308" spans="1:5" ht="75" x14ac:dyDescent="0.4">
      <c r="A308" s="1" t="s">
        <v>3</v>
      </c>
      <c r="B308" s="1" t="s">
        <v>590</v>
      </c>
      <c r="C308" s="1" t="s">
        <v>382</v>
      </c>
      <c r="D308" s="1" t="s">
        <v>292</v>
      </c>
      <c r="E308" s="3" t="s">
        <v>591</v>
      </c>
    </row>
    <row r="309" spans="1:5" ht="409.5" x14ac:dyDescent="0.4">
      <c r="A309" s="1" t="s">
        <v>607</v>
      </c>
      <c r="B309" s="1" t="s">
        <v>608</v>
      </c>
      <c r="C309" s="1" t="s">
        <v>485</v>
      </c>
      <c r="D309" s="1" t="s">
        <v>152</v>
      </c>
      <c r="E309" s="3" t="s">
        <v>609</v>
      </c>
    </row>
    <row r="310" spans="1:5" ht="409.5" x14ac:dyDescent="0.4">
      <c r="A310" s="1" t="s">
        <v>607</v>
      </c>
      <c r="B310" s="1" t="s">
        <v>608</v>
      </c>
      <c r="C310" s="1" t="s">
        <v>487</v>
      </c>
      <c r="D310" s="1" t="s">
        <v>154</v>
      </c>
      <c r="E310" s="3" t="s">
        <v>610</v>
      </c>
    </row>
    <row r="311" spans="1:5" ht="300" x14ac:dyDescent="0.4">
      <c r="A311" s="1" t="s">
        <v>607</v>
      </c>
      <c r="B311" s="1" t="s">
        <v>608</v>
      </c>
      <c r="C311" s="1" t="s">
        <v>480</v>
      </c>
      <c r="D311" s="1" t="s">
        <v>596</v>
      </c>
      <c r="E311" s="3" t="s">
        <v>611</v>
      </c>
    </row>
    <row r="312" spans="1:5" ht="393.75" x14ac:dyDescent="0.4">
      <c r="A312" s="1" t="s">
        <v>607</v>
      </c>
      <c r="B312" s="1" t="s">
        <v>608</v>
      </c>
      <c r="C312" s="1" t="s">
        <v>493</v>
      </c>
      <c r="D312" s="1" t="s">
        <v>597</v>
      </c>
      <c r="E312" s="3" t="s">
        <v>612</v>
      </c>
    </row>
    <row r="313" spans="1:5" ht="409.5" x14ac:dyDescent="0.4">
      <c r="A313" s="1" t="s">
        <v>607</v>
      </c>
      <c r="B313" s="1" t="s">
        <v>608</v>
      </c>
      <c r="C313" s="1" t="s">
        <v>122</v>
      </c>
      <c r="D313" s="1" t="s">
        <v>599</v>
      </c>
      <c r="E313" s="3" t="s">
        <v>613</v>
      </c>
    </row>
    <row r="314" spans="1:5" ht="409.5" x14ac:dyDescent="0.4">
      <c r="A314" s="1" t="s">
        <v>607</v>
      </c>
      <c r="B314" s="1" t="s">
        <v>608</v>
      </c>
      <c r="C314" s="1" t="s">
        <v>593</v>
      </c>
      <c r="D314" s="1" t="s">
        <v>604</v>
      </c>
      <c r="E314" s="3" t="s">
        <v>614</v>
      </c>
    </row>
    <row r="315" spans="1:5" ht="300" x14ac:dyDescent="0.4">
      <c r="A315" s="1" t="s">
        <v>607</v>
      </c>
      <c r="B315" s="1" t="s">
        <v>608</v>
      </c>
      <c r="C315" s="1" t="s">
        <v>98</v>
      </c>
      <c r="D315" s="1" t="s">
        <v>606</v>
      </c>
      <c r="E315" s="3" t="s">
        <v>615</v>
      </c>
    </row>
    <row r="316" spans="1:5" ht="75" x14ac:dyDescent="0.4">
      <c r="A316" s="1" t="s">
        <v>607</v>
      </c>
      <c r="B316" s="1" t="s">
        <v>608</v>
      </c>
      <c r="C316" s="1" t="s">
        <v>102</v>
      </c>
      <c r="D316" s="1" t="s">
        <v>244</v>
      </c>
      <c r="E316" s="3" t="s">
        <v>616</v>
      </c>
    </row>
    <row r="317" spans="1:5" ht="75" x14ac:dyDescent="0.4">
      <c r="A317" s="1" t="s">
        <v>607</v>
      </c>
      <c r="B317" s="1" t="s">
        <v>608</v>
      </c>
      <c r="C317" s="1" t="s">
        <v>103</v>
      </c>
      <c r="D317" s="1" t="s">
        <v>249</v>
      </c>
      <c r="E317" s="3" t="s">
        <v>616</v>
      </c>
    </row>
    <row r="318" spans="1:5" x14ac:dyDescent="0.4">
      <c r="A318" s="1" t="s">
        <v>607</v>
      </c>
      <c r="B318" s="1" t="s">
        <v>608</v>
      </c>
      <c r="C318" s="1" t="s">
        <v>480</v>
      </c>
      <c r="D318" s="1" t="s">
        <v>163</v>
      </c>
      <c r="E318" s="1" t="s">
        <v>391</v>
      </c>
    </row>
    <row r="319" spans="1:5" x14ac:dyDescent="0.4">
      <c r="A319" s="1" t="s">
        <v>607</v>
      </c>
      <c r="B319" s="1" t="s">
        <v>608</v>
      </c>
      <c r="C319" s="1" t="s">
        <v>493</v>
      </c>
      <c r="D319" s="1" t="s">
        <v>175</v>
      </c>
      <c r="E319" s="1" t="s">
        <v>391</v>
      </c>
    </row>
    <row r="320" spans="1:5" x14ac:dyDescent="0.4">
      <c r="A320" s="1" t="s">
        <v>607</v>
      </c>
      <c r="B320" s="1" t="s">
        <v>608</v>
      </c>
      <c r="C320" s="1" t="s">
        <v>122</v>
      </c>
      <c r="D320" s="1" t="s">
        <v>200</v>
      </c>
      <c r="E320" s="1" t="s">
        <v>391</v>
      </c>
    </row>
    <row r="321" spans="1:5" x14ac:dyDescent="0.4">
      <c r="A321" s="1" t="s">
        <v>607</v>
      </c>
      <c r="B321" s="1" t="s">
        <v>608</v>
      </c>
      <c r="C321" s="1" t="s">
        <v>98</v>
      </c>
      <c r="D321" s="1" t="s">
        <v>224</v>
      </c>
      <c r="E321" s="1" t="s">
        <v>391</v>
      </c>
    </row>
    <row r="322" spans="1:5" x14ac:dyDescent="0.4">
      <c r="A322" s="1" t="s">
        <v>607</v>
      </c>
      <c r="B322" s="1" t="s">
        <v>608</v>
      </c>
      <c r="C322" s="1" t="s">
        <v>118</v>
      </c>
      <c r="D322" s="1" t="s">
        <v>296</v>
      </c>
      <c r="E322" s="1" t="s">
        <v>391</v>
      </c>
    </row>
    <row r="323" spans="1:5" x14ac:dyDescent="0.4">
      <c r="A323" s="1" t="s">
        <v>607</v>
      </c>
      <c r="B323" s="1" t="s">
        <v>608</v>
      </c>
      <c r="C323" s="1" t="s">
        <v>118</v>
      </c>
      <c r="D323" s="1" t="s">
        <v>297</v>
      </c>
      <c r="E323" s="1" t="s">
        <v>391</v>
      </c>
    </row>
    <row r="324" spans="1:5" ht="409.5" x14ac:dyDescent="0.4">
      <c r="A324" s="1" t="s">
        <v>607</v>
      </c>
      <c r="B324" s="1" t="s">
        <v>617</v>
      </c>
      <c r="C324" s="1" t="s">
        <v>593</v>
      </c>
      <c r="D324" s="1" t="s">
        <v>604</v>
      </c>
      <c r="E324" s="3" t="s">
        <v>618</v>
      </c>
    </row>
    <row r="325" spans="1:5" ht="75" x14ac:dyDescent="0.4">
      <c r="A325" s="1" t="s">
        <v>607</v>
      </c>
      <c r="B325" s="1" t="s">
        <v>620</v>
      </c>
      <c r="C325" s="1" t="s">
        <v>100</v>
      </c>
      <c r="D325" s="1" t="s">
        <v>432</v>
      </c>
      <c r="E325" s="3" t="s">
        <v>621</v>
      </c>
    </row>
    <row r="326" spans="1:5" ht="112.5" x14ac:dyDescent="0.4">
      <c r="A326" s="1" t="s">
        <v>607</v>
      </c>
      <c r="B326" s="1" t="s">
        <v>620</v>
      </c>
      <c r="C326" s="1" t="s">
        <v>101</v>
      </c>
      <c r="D326" s="1" t="s">
        <v>240</v>
      </c>
      <c r="E326" s="3" t="s">
        <v>622</v>
      </c>
    </row>
    <row r="327" spans="1:5" ht="281.25" x14ac:dyDescent="0.4">
      <c r="A327" s="1" t="s">
        <v>607</v>
      </c>
      <c r="B327" s="1" t="s">
        <v>636</v>
      </c>
      <c r="C327" s="1" t="s">
        <v>623</v>
      </c>
      <c r="D327" s="1" t="s">
        <v>213</v>
      </c>
      <c r="E327" s="3" t="s">
        <v>637</v>
      </c>
    </row>
    <row r="328" spans="1:5" ht="187.5" x14ac:dyDescent="0.4">
      <c r="A328" s="1" t="s">
        <v>607</v>
      </c>
      <c r="B328" s="1" t="s">
        <v>636</v>
      </c>
      <c r="C328" s="1" t="s">
        <v>625</v>
      </c>
      <c r="D328" s="1" t="s">
        <v>214</v>
      </c>
      <c r="E328" s="3" t="s">
        <v>638</v>
      </c>
    </row>
    <row r="329" spans="1:5" ht="262.5" x14ac:dyDescent="0.4">
      <c r="A329" s="1" t="s">
        <v>607</v>
      </c>
      <c r="B329" s="1" t="s">
        <v>636</v>
      </c>
      <c r="C329" s="1" t="s">
        <v>99</v>
      </c>
      <c r="D329" s="1" t="s">
        <v>635</v>
      </c>
      <c r="E329" s="3" t="s">
        <v>639</v>
      </c>
    </row>
    <row r="330" spans="1:5" x14ac:dyDescent="0.4">
      <c r="A330" s="1" t="s">
        <v>607</v>
      </c>
      <c r="B330" s="1" t="s">
        <v>636</v>
      </c>
      <c r="C330" s="1" t="s">
        <v>99</v>
      </c>
      <c r="D330" s="1" t="s">
        <v>234</v>
      </c>
      <c r="E330" s="1" t="s">
        <v>391</v>
      </c>
    </row>
    <row r="331" spans="1:5" x14ac:dyDescent="0.4">
      <c r="A331" s="1" t="s">
        <v>607</v>
      </c>
      <c r="B331" s="1" t="s">
        <v>636</v>
      </c>
      <c r="C331" s="1" t="s">
        <v>100</v>
      </c>
      <c r="D331" s="1" t="s">
        <v>432</v>
      </c>
      <c r="E331" s="1" t="s">
        <v>391</v>
      </c>
    </row>
    <row r="332" spans="1:5" x14ac:dyDescent="0.4">
      <c r="A332" s="1" t="s">
        <v>607</v>
      </c>
      <c r="B332" s="1" t="s">
        <v>636</v>
      </c>
      <c r="C332" s="1" t="s">
        <v>101</v>
      </c>
      <c r="D332" s="1" t="s">
        <v>240</v>
      </c>
      <c r="E332" s="1" t="s">
        <v>391</v>
      </c>
    </row>
    <row r="333" spans="1:5" ht="150" x14ac:dyDescent="0.4">
      <c r="A333" s="1" t="s">
        <v>607</v>
      </c>
      <c r="B333" s="1" t="s">
        <v>640</v>
      </c>
      <c r="C333" s="1" t="s">
        <v>70</v>
      </c>
      <c r="D333" s="1" t="s">
        <v>1</v>
      </c>
      <c r="E333" s="3" t="s">
        <v>641</v>
      </c>
    </row>
    <row r="334" spans="1:5" ht="75" x14ac:dyDescent="0.4">
      <c r="A334" s="1" t="s">
        <v>607</v>
      </c>
      <c r="B334" s="1" t="s">
        <v>644</v>
      </c>
      <c r="C334" s="1" t="s">
        <v>502</v>
      </c>
      <c r="D334" s="1" t="s">
        <v>211</v>
      </c>
      <c r="E334" s="3" t="s">
        <v>645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FEF7-C315-4A5D-A8D6-DCC8E6DE7EDB}">
  <sheetPr codeName="Sheet2"/>
  <dimension ref="A1:I8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67</v>
      </c>
      <c r="B1" s="2" t="s">
        <v>42</v>
      </c>
      <c r="C1" s="2" t="s">
        <v>43</v>
      </c>
      <c r="D1" s="2" t="s">
        <v>60</v>
      </c>
      <c r="E1" s="2" t="s">
        <v>57</v>
      </c>
      <c r="F1" s="2" t="s">
        <v>55</v>
      </c>
      <c r="G1" s="2" t="s">
        <v>56</v>
      </c>
      <c r="H1" s="2" t="s">
        <v>68</v>
      </c>
      <c r="I1" s="2" t="s">
        <v>62</v>
      </c>
    </row>
    <row r="2" spans="1:9" x14ac:dyDescent="0.4">
      <c r="A2" s="2" t="s">
        <v>529</v>
      </c>
      <c r="B2" s="2" t="s">
        <v>131</v>
      </c>
      <c r="C2" s="2" t="s">
        <v>513</v>
      </c>
      <c r="D2" s="2" t="s">
        <v>514</v>
      </c>
      <c r="E2" s="2" t="s">
        <v>1</v>
      </c>
      <c r="F2" s="2" t="s">
        <v>1</v>
      </c>
      <c r="G2" s="2" t="s">
        <v>1</v>
      </c>
      <c r="H2" s="2" t="s">
        <v>40</v>
      </c>
      <c r="I2" s="2" t="s">
        <v>464</v>
      </c>
    </row>
    <row r="3" spans="1:9" x14ac:dyDescent="0.4">
      <c r="A3" s="2" t="s">
        <v>530</v>
      </c>
      <c r="B3" s="2" t="s">
        <v>131</v>
      </c>
      <c r="C3" s="2" t="s">
        <v>518</v>
      </c>
      <c r="D3" s="2" t="s">
        <v>519</v>
      </c>
      <c r="E3" s="2" t="s">
        <v>1</v>
      </c>
      <c r="F3" s="2" t="s">
        <v>1</v>
      </c>
      <c r="G3" s="2" t="s">
        <v>1</v>
      </c>
      <c r="H3" s="2" t="s">
        <v>40</v>
      </c>
      <c r="I3" s="2" t="s">
        <v>464</v>
      </c>
    </row>
    <row r="4" spans="1:9" x14ac:dyDescent="0.4">
      <c r="A4" s="2" t="s">
        <v>445</v>
      </c>
      <c r="B4" s="2" t="s">
        <v>188</v>
      </c>
      <c r="C4" s="2" t="s">
        <v>189</v>
      </c>
      <c r="D4" s="2" t="s">
        <v>235</v>
      </c>
      <c r="E4" s="2" t="s">
        <v>1</v>
      </c>
      <c r="F4" s="2" t="s">
        <v>1</v>
      </c>
      <c r="G4" s="2" t="s">
        <v>1</v>
      </c>
      <c r="H4" s="2" t="s">
        <v>40</v>
      </c>
      <c r="I4" s="2" t="s">
        <v>464</v>
      </c>
    </row>
    <row r="5" spans="1:9" x14ac:dyDescent="0.4">
      <c r="A5" s="2" t="s">
        <v>446</v>
      </c>
      <c r="B5" s="2" t="s">
        <v>188</v>
      </c>
      <c r="C5" s="2" t="s">
        <v>288</v>
      </c>
      <c r="D5" s="2" t="s">
        <v>381</v>
      </c>
      <c r="E5" s="2" t="s">
        <v>1</v>
      </c>
      <c r="F5" s="2" t="s">
        <v>294</v>
      </c>
      <c r="G5" s="2" t="s">
        <v>295</v>
      </c>
      <c r="H5" s="2" t="s">
        <v>462</v>
      </c>
      <c r="I5" s="2" t="s">
        <v>464</v>
      </c>
    </row>
    <row r="6" spans="1:9" x14ac:dyDescent="0.4">
      <c r="A6" s="2" t="s">
        <v>442</v>
      </c>
      <c r="B6" s="2" t="s">
        <v>131</v>
      </c>
      <c r="C6" s="2" t="s">
        <v>196</v>
      </c>
      <c r="D6" s="2" t="s">
        <v>201</v>
      </c>
      <c r="E6" s="2" t="s">
        <v>1</v>
      </c>
      <c r="F6" s="2" t="s">
        <v>1</v>
      </c>
      <c r="G6" s="2" t="s">
        <v>1</v>
      </c>
      <c r="H6" s="2" t="s">
        <v>228</v>
      </c>
      <c r="I6" s="2" t="s">
        <v>464</v>
      </c>
    </row>
    <row r="7" spans="1:9" x14ac:dyDescent="0.4">
      <c r="A7" s="2" t="s">
        <v>443</v>
      </c>
      <c r="B7" s="2" t="s">
        <v>131</v>
      </c>
      <c r="C7" s="2" t="s">
        <v>202</v>
      </c>
      <c r="D7" s="2" t="s">
        <v>207</v>
      </c>
      <c r="E7" s="2" t="s">
        <v>1</v>
      </c>
      <c r="F7" s="2" t="s">
        <v>1</v>
      </c>
      <c r="G7" s="2" t="s">
        <v>1</v>
      </c>
      <c r="H7" s="2" t="s">
        <v>584</v>
      </c>
      <c r="I7" s="2" t="s">
        <v>464</v>
      </c>
    </row>
    <row r="8" spans="1:9" x14ac:dyDescent="0.4">
      <c r="A8" s="2" t="s">
        <v>447</v>
      </c>
      <c r="B8" s="2" t="s">
        <v>188</v>
      </c>
      <c r="C8" s="2" t="s">
        <v>288</v>
      </c>
      <c r="D8" s="2" t="s">
        <v>381</v>
      </c>
      <c r="E8" s="2" t="s">
        <v>1</v>
      </c>
      <c r="F8" s="2" t="s">
        <v>294</v>
      </c>
      <c r="G8" s="2" t="s">
        <v>295</v>
      </c>
      <c r="H8" s="2" t="s">
        <v>552</v>
      </c>
      <c r="I8" s="2" t="s">
        <v>466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60E4-F3A6-4EE9-B5DC-F6E5EF348DF2}">
  <sheetPr codeName="Sheet3"/>
  <dimension ref="A1:AC48"/>
  <sheetViews>
    <sheetView topLeftCell="A35" workbookViewId="0">
      <selection activeCell="E53" sqref="E53"/>
    </sheetView>
  </sheetViews>
  <sheetFormatPr defaultRowHeight="18.75" x14ac:dyDescent="0.4"/>
  <cols>
    <col min="1" max="16384" width="9" style="2"/>
  </cols>
  <sheetData>
    <row r="1" spans="1:29" x14ac:dyDescent="0.4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627</v>
      </c>
      <c r="AA1" s="2" t="s">
        <v>628</v>
      </c>
      <c r="AB1" s="2" t="s">
        <v>66</v>
      </c>
      <c r="AC1" s="2" t="s">
        <v>506</v>
      </c>
    </row>
    <row r="2" spans="1:29" x14ac:dyDescent="0.4">
      <c r="A2" s="2" t="s">
        <v>474</v>
      </c>
      <c r="B2" s="2" t="s">
        <v>131</v>
      </c>
      <c r="C2" s="2" t="s">
        <v>507</v>
      </c>
      <c r="D2" s="2" t="s">
        <v>508</v>
      </c>
      <c r="E2" s="2" t="s">
        <v>40</v>
      </c>
      <c r="F2" s="2" t="s">
        <v>132</v>
      </c>
      <c r="G2" s="2" t="s">
        <v>133</v>
      </c>
      <c r="H2" s="2" t="s">
        <v>134</v>
      </c>
      <c r="I2" s="2" t="s">
        <v>135</v>
      </c>
      <c r="K2" s="2" t="s">
        <v>136</v>
      </c>
      <c r="L2" s="2" t="s">
        <v>1</v>
      </c>
      <c r="M2" s="2" t="s">
        <v>1</v>
      </c>
      <c r="N2" s="2" t="s">
        <v>409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138</v>
      </c>
      <c r="T2" s="2" t="s">
        <v>1</v>
      </c>
      <c r="U2" s="2" t="s">
        <v>1</v>
      </c>
      <c r="V2" s="2" t="s">
        <v>464</v>
      </c>
      <c r="W2" s="2" t="s">
        <v>1</v>
      </c>
      <c r="X2" s="2" t="s">
        <v>136</v>
      </c>
      <c r="Z2" s="2" t="s">
        <v>136</v>
      </c>
      <c r="AA2" s="2" t="s">
        <v>1</v>
      </c>
      <c r="AB2" s="2" t="s">
        <v>1</v>
      </c>
      <c r="AC2" s="2" t="s">
        <v>40</v>
      </c>
    </row>
    <row r="3" spans="1:29" x14ac:dyDescent="0.4">
      <c r="A3" s="2" t="s">
        <v>483</v>
      </c>
      <c r="B3" s="2" t="s">
        <v>131</v>
      </c>
      <c r="C3" s="2" t="s">
        <v>507</v>
      </c>
      <c r="D3" s="2" t="s">
        <v>139</v>
      </c>
      <c r="E3" s="2" t="s">
        <v>40</v>
      </c>
      <c r="F3" s="2" t="s">
        <v>140</v>
      </c>
      <c r="G3" s="2" t="s">
        <v>141</v>
      </c>
      <c r="H3" s="2" t="s">
        <v>509</v>
      </c>
      <c r="I3" s="2" t="s">
        <v>142</v>
      </c>
      <c r="K3" s="2" t="s">
        <v>136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143</v>
      </c>
      <c r="T3" s="2" t="s">
        <v>1</v>
      </c>
      <c r="U3" s="2" t="s">
        <v>1</v>
      </c>
      <c r="V3" s="2" t="s">
        <v>464</v>
      </c>
      <c r="W3" s="2" t="s">
        <v>1</v>
      </c>
      <c r="X3" s="2" t="s">
        <v>136</v>
      </c>
      <c r="Z3" s="2" t="s">
        <v>136</v>
      </c>
      <c r="AA3" s="2" t="s">
        <v>1</v>
      </c>
      <c r="AB3" s="2" t="s">
        <v>1</v>
      </c>
      <c r="AC3" s="2" t="s">
        <v>1</v>
      </c>
    </row>
    <row r="4" spans="1:29" x14ac:dyDescent="0.4">
      <c r="A4" s="2" t="s">
        <v>481</v>
      </c>
      <c r="B4" s="2" t="s">
        <v>131</v>
      </c>
      <c r="C4" s="2" t="s">
        <v>507</v>
      </c>
      <c r="D4" s="2" t="s">
        <v>144</v>
      </c>
      <c r="E4" s="2" t="s">
        <v>40</v>
      </c>
      <c r="F4" s="2" t="s">
        <v>145</v>
      </c>
      <c r="G4" s="2" t="s">
        <v>146</v>
      </c>
      <c r="H4" s="2" t="s">
        <v>147</v>
      </c>
      <c r="I4" s="2" t="s">
        <v>2</v>
      </c>
      <c r="K4" s="2" t="s">
        <v>136</v>
      </c>
      <c r="L4" s="2" t="s">
        <v>1</v>
      </c>
      <c r="M4" s="2" t="s">
        <v>40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148</v>
      </c>
      <c r="T4" s="2" t="s">
        <v>1</v>
      </c>
      <c r="U4" s="2" t="s">
        <v>1</v>
      </c>
      <c r="V4" s="2" t="s">
        <v>464</v>
      </c>
      <c r="W4" s="2" t="s">
        <v>1</v>
      </c>
      <c r="X4" s="2" t="s">
        <v>136</v>
      </c>
      <c r="Z4" s="2" t="s">
        <v>136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485</v>
      </c>
      <c r="B5" s="2" t="s">
        <v>131</v>
      </c>
      <c r="C5" s="2" t="s">
        <v>507</v>
      </c>
      <c r="D5" s="2" t="s">
        <v>149</v>
      </c>
      <c r="E5" s="2" t="s">
        <v>40</v>
      </c>
      <c r="F5" s="2" t="s">
        <v>150</v>
      </c>
      <c r="G5" s="2" t="s">
        <v>133</v>
      </c>
      <c r="H5" s="2" t="s">
        <v>151</v>
      </c>
      <c r="I5" s="2" t="s">
        <v>135</v>
      </c>
      <c r="J5" s="2" t="s">
        <v>594</v>
      </c>
      <c r="K5" s="2" t="s">
        <v>136</v>
      </c>
      <c r="L5" s="2" t="s">
        <v>1</v>
      </c>
      <c r="M5" s="2" t="s">
        <v>40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152</v>
      </c>
      <c r="T5" s="2" t="s">
        <v>1</v>
      </c>
      <c r="U5" s="2" t="s">
        <v>1</v>
      </c>
      <c r="V5" s="2" t="s">
        <v>464</v>
      </c>
      <c r="W5" s="2" t="s">
        <v>1</v>
      </c>
      <c r="X5" s="2" t="s">
        <v>136</v>
      </c>
      <c r="Z5" s="2" t="s">
        <v>136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487</v>
      </c>
      <c r="B6" s="2" t="s">
        <v>131</v>
      </c>
      <c r="C6" s="2" t="s">
        <v>507</v>
      </c>
      <c r="D6" s="2" t="s">
        <v>510</v>
      </c>
      <c r="E6" s="2" t="s">
        <v>40</v>
      </c>
      <c r="F6" s="2" t="s">
        <v>153</v>
      </c>
      <c r="G6" s="2" t="s">
        <v>133</v>
      </c>
      <c r="H6" s="2" t="s">
        <v>511</v>
      </c>
      <c r="I6" s="2" t="s">
        <v>135</v>
      </c>
      <c r="J6" s="2" t="s">
        <v>595</v>
      </c>
      <c r="K6" s="2" t="s">
        <v>136</v>
      </c>
      <c r="L6" s="2" t="s">
        <v>1</v>
      </c>
      <c r="M6" s="2" t="s">
        <v>40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154</v>
      </c>
      <c r="T6" s="2" t="s">
        <v>1</v>
      </c>
      <c r="U6" s="2" t="s">
        <v>1</v>
      </c>
      <c r="V6" s="2" t="s">
        <v>464</v>
      </c>
      <c r="W6" s="2" t="s">
        <v>1</v>
      </c>
      <c r="X6" s="2" t="s">
        <v>136</v>
      </c>
      <c r="Z6" s="2" t="s">
        <v>136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476</v>
      </c>
      <c r="B7" s="2" t="s">
        <v>131</v>
      </c>
      <c r="C7" s="2" t="s">
        <v>507</v>
      </c>
      <c r="D7" s="2" t="s">
        <v>512</v>
      </c>
      <c r="E7" s="2" t="s">
        <v>40</v>
      </c>
      <c r="F7" s="2" t="s">
        <v>156</v>
      </c>
      <c r="G7" s="2" t="s">
        <v>133</v>
      </c>
      <c r="H7" s="2" t="s">
        <v>157</v>
      </c>
      <c r="I7" s="2" t="s">
        <v>135</v>
      </c>
      <c r="K7" s="2" t="s">
        <v>136</v>
      </c>
      <c r="L7" s="2" t="s">
        <v>1</v>
      </c>
      <c r="M7" s="2" t="s">
        <v>40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158</v>
      </c>
      <c r="T7" s="2" t="s">
        <v>1</v>
      </c>
      <c r="U7" s="2" t="s">
        <v>1</v>
      </c>
      <c r="V7" s="2" t="s">
        <v>464</v>
      </c>
      <c r="W7" s="2" t="s">
        <v>1</v>
      </c>
      <c r="X7" s="2" t="s">
        <v>136</v>
      </c>
      <c r="Z7" s="2" t="s">
        <v>136</v>
      </c>
      <c r="AA7" s="2" t="s">
        <v>1</v>
      </c>
      <c r="AB7" s="2" t="s">
        <v>1</v>
      </c>
      <c r="AC7" s="2" t="s">
        <v>1</v>
      </c>
    </row>
    <row r="8" spans="1:29" x14ac:dyDescent="0.4">
      <c r="A8" s="2" t="s">
        <v>478</v>
      </c>
      <c r="B8" s="2" t="s">
        <v>131</v>
      </c>
      <c r="C8" s="2" t="s">
        <v>507</v>
      </c>
      <c r="D8" s="2" t="s">
        <v>299</v>
      </c>
      <c r="E8" s="2" t="s">
        <v>40</v>
      </c>
      <c r="F8" s="2" t="s">
        <v>164</v>
      </c>
      <c r="G8" s="2" t="s">
        <v>133</v>
      </c>
      <c r="H8" s="2" t="s">
        <v>165</v>
      </c>
      <c r="I8" s="2" t="s">
        <v>135</v>
      </c>
      <c r="K8" s="2" t="s">
        <v>136</v>
      </c>
      <c r="L8" s="2" t="s">
        <v>1</v>
      </c>
      <c r="M8" s="2" t="s">
        <v>1</v>
      </c>
      <c r="N8" s="2" t="s">
        <v>410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166</v>
      </c>
      <c r="T8" s="2" t="s">
        <v>1</v>
      </c>
      <c r="U8" s="2" t="s">
        <v>1</v>
      </c>
      <c r="V8" s="2" t="s">
        <v>464</v>
      </c>
      <c r="W8" s="2" t="s">
        <v>1</v>
      </c>
      <c r="X8" s="2" t="s">
        <v>136</v>
      </c>
      <c r="Z8" s="2" t="s">
        <v>136</v>
      </c>
      <c r="AA8" s="2" t="s">
        <v>1</v>
      </c>
      <c r="AB8" s="2" t="s">
        <v>1</v>
      </c>
      <c r="AC8" s="2" t="s">
        <v>40</v>
      </c>
    </row>
    <row r="9" spans="1:29" x14ac:dyDescent="0.4">
      <c r="A9" s="2" t="s">
        <v>489</v>
      </c>
      <c r="B9" s="2" t="s">
        <v>131</v>
      </c>
      <c r="C9" s="2" t="s">
        <v>507</v>
      </c>
      <c r="D9" s="2" t="s">
        <v>167</v>
      </c>
      <c r="E9" s="2" t="s">
        <v>40</v>
      </c>
      <c r="F9" s="2" t="s">
        <v>168</v>
      </c>
      <c r="G9" s="2" t="s">
        <v>133</v>
      </c>
      <c r="H9" s="2" t="s">
        <v>169</v>
      </c>
      <c r="I9" s="2" t="s">
        <v>135</v>
      </c>
      <c r="K9" s="2" t="s">
        <v>136</v>
      </c>
      <c r="L9" s="2" t="s">
        <v>1</v>
      </c>
      <c r="M9" s="2" t="s">
        <v>1</v>
      </c>
      <c r="N9" s="2" t="s">
        <v>170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171</v>
      </c>
      <c r="T9" s="2" t="s">
        <v>1</v>
      </c>
      <c r="U9" s="2" t="s">
        <v>1</v>
      </c>
      <c r="V9" s="2" t="s">
        <v>464</v>
      </c>
      <c r="W9" s="2" t="s">
        <v>1</v>
      </c>
      <c r="X9" s="2" t="s">
        <v>136</v>
      </c>
      <c r="Z9" s="2" t="s">
        <v>136</v>
      </c>
      <c r="AA9" s="2" t="s">
        <v>1</v>
      </c>
      <c r="AB9" s="2" t="s">
        <v>1</v>
      </c>
      <c r="AC9" s="2" t="s">
        <v>40</v>
      </c>
    </row>
    <row r="10" spans="1:29" x14ac:dyDescent="0.4">
      <c r="A10" s="2" t="s">
        <v>480</v>
      </c>
      <c r="B10" s="2" t="s">
        <v>131</v>
      </c>
      <c r="C10" s="2" t="s">
        <v>507</v>
      </c>
      <c r="D10" s="2" t="s">
        <v>159</v>
      </c>
      <c r="E10" s="2" t="s">
        <v>40</v>
      </c>
      <c r="F10" s="2" t="s">
        <v>160</v>
      </c>
      <c r="G10" s="2" t="s">
        <v>133</v>
      </c>
      <c r="H10" s="2" t="s">
        <v>161</v>
      </c>
      <c r="I10" s="2" t="s">
        <v>135</v>
      </c>
      <c r="K10" s="2" t="s">
        <v>136</v>
      </c>
      <c r="L10" s="2" t="s">
        <v>1</v>
      </c>
      <c r="M10" s="2" t="s">
        <v>40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596</v>
      </c>
      <c r="T10" s="2" t="s">
        <v>1</v>
      </c>
      <c r="U10" s="2" t="s">
        <v>1</v>
      </c>
      <c r="V10" s="2" t="s">
        <v>464</v>
      </c>
      <c r="W10" s="2" t="s">
        <v>1</v>
      </c>
      <c r="X10" s="2" t="s">
        <v>136</v>
      </c>
      <c r="Z10" s="2" t="s">
        <v>136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496</v>
      </c>
      <c r="B11" s="2" t="s">
        <v>131</v>
      </c>
      <c r="C11" s="2" t="s">
        <v>513</v>
      </c>
      <c r="D11" s="2" t="s">
        <v>167</v>
      </c>
      <c r="E11" s="2" t="s">
        <v>172</v>
      </c>
      <c r="F11" s="2" t="s">
        <v>176</v>
      </c>
      <c r="G11" s="2" t="s">
        <v>133</v>
      </c>
      <c r="H11" s="2" t="s">
        <v>177</v>
      </c>
      <c r="I11" s="2" t="s">
        <v>135</v>
      </c>
      <c r="K11" s="2" t="s">
        <v>174</v>
      </c>
      <c r="L11" s="2" t="s">
        <v>178</v>
      </c>
      <c r="M11" s="2" t="s">
        <v>1</v>
      </c>
      <c r="N11" s="2" t="s">
        <v>170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178</v>
      </c>
      <c r="T11" s="2" t="s">
        <v>514</v>
      </c>
      <c r="U11" s="2" t="s">
        <v>1</v>
      </c>
      <c r="V11" s="2" t="s">
        <v>464</v>
      </c>
      <c r="W11" s="2" t="s">
        <v>1</v>
      </c>
      <c r="X11" s="2" t="s">
        <v>136</v>
      </c>
      <c r="Z11" s="2" t="s">
        <v>136</v>
      </c>
      <c r="AA11" s="2" t="s">
        <v>1</v>
      </c>
      <c r="AB11" s="2" t="s">
        <v>1</v>
      </c>
      <c r="AC11" s="2" t="s">
        <v>462</v>
      </c>
    </row>
    <row r="12" spans="1:29" x14ac:dyDescent="0.4">
      <c r="A12" s="2" t="s">
        <v>493</v>
      </c>
      <c r="B12" s="2" t="s">
        <v>131</v>
      </c>
      <c r="C12" s="2" t="s">
        <v>513</v>
      </c>
      <c r="D12" s="2" t="s">
        <v>159</v>
      </c>
      <c r="E12" s="2" t="s">
        <v>172</v>
      </c>
      <c r="F12" s="2" t="s">
        <v>173</v>
      </c>
      <c r="G12" s="2" t="s">
        <v>133</v>
      </c>
      <c r="H12" s="2" t="s">
        <v>161</v>
      </c>
      <c r="I12" s="2" t="s">
        <v>135</v>
      </c>
      <c r="K12" s="2" t="s">
        <v>174</v>
      </c>
      <c r="L12" s="2" t="s">
        <v>597</v>
      </c>
      <c r="M12" s="2" t="s">
        <v>40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597</v>
      </c>
      <c r="T12" s="2" t="s">
        <v>514</v>
      </c>
      <c r="U12" s="2" t="s">
        <v>1</v>
      </c>
      <c r="V12" s="2" t="s">
        <v>464</v>
      </c>
      <c r="W12" s="2" t="s">
        <v>1</v>
      </c>
      <c r="X12" s="2" t="s">
        <v>136</v>
      </c>
      <c r="Z12" s="2" t="s">
        <v>136</v>
      </c>
      <c r="AA12" s="2" t="s">
        <v>1</v>
      </c>
      <c r="AB12" s="2" t="s">
        <v>1</v>
      </c>
      <c r="AC12" s="2" t="s">
        <v>1</v>
      </c>
    </row>
    <row r="13" spans="1:29" x14ac:dyDescent="0.4">
      <c r="A13" s="2" t="s">
        <v>491</v>
      </c>
      <c r="B13" s="2" t="s">
        <v>131</v>
      </c>
      <c r="C13" s="2" t="s">
        <v>513</v>
      </c>
      <c r="D13" s="2" t="s">
        <v>155</v>
      </c>
      <c r="E13" s="2" t="s">
        <v>172</v>
      </c>
      <c r="F13" s="2" t="s">
        <v>179</v>
      </c>
      <c r="G13" s="2" t="s">
        <v>133</v>
      </c>
      <c r="H13" s="2" t="s">
        <v>180</v>
      </c>
      <c r="I13" s="2" t="s">
        <v>135</v>
      </c>
      <c r="K13" s="2" t="s">
        <v>174</v>
      </c>
      <c r="L13" s="2" t="s">
        <v>181</v>
      </c>
      <c r="M13" s="2" t="s">
        <v>40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181</v>
      </c>
      <c r="T13" s="2" t="s">
        <v>514</v>
      </c>
      <c r="U13" s="2" t="s">
        <v>1</v>
      </c>
      <c r="V13" s="2" t="s">
        <v>464</v>
      </c>
      <c r="W13" s="2" t="s">
        <v>1</v>
      </c>
      <c r="X13" s="2" t="s">
        <v>136</v>
      </c>
      <c r="Z13" s="2" t="s">
        <v>136</v>
      </c>
      <c r="AA13" s="2" t="s">
        <v>1</v>
      </c>
      <c r="AB13" s="2" t="s">
        <v>1</v>
      </c>
      <c r="AC13" s="2" t="s">
        <v>1</v>
      </c>
    </row>
    <row r="14" spans="1:29" x14ac:dyDescent="0.4">
      <c r="A14" s="2" t="s">
        <v>494</v>
      </c>
      <c r="B14" s="2" t="s">
        <v>131</v>
      </c>
      <c r="C14" s="2" t="s">
        <v>513</v>
      </c>
      <c r="D14" s="2" t="s">
        <v>299</v>
      </c>
      <c r="E14" s="2" t="s">
        <v>172</v>
      </c>
      <c r="F14" s="2" t="s">
        <v>182</v>
      </c>
      <c r="G14" s="2" t="s">
        <v>133</v>
      </c>
      <c r="H14" s="2" t="s">
        <v>183</v>
      </c>
      <c r="I14" s="2" t="s">
        <v>135</v>
      </c>
      <c r="K14" s="2" t="s">
        <v>174</v>
      </c>
      <c r="L14" s="2" t="s">
        <v>184</v>
      </c>
      <c r="M14" s="2" t="s">
        <v>1</v>
      </c>
      <c r="N14" s="2" t="s">
        <v>410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184</v>
      </c>
      <c r="T14" s="2" t="s">
        <v>514</v>
      </c>
      <c r="U14" s="2" t="s">
        <v>1</v>
      </c>
      <c r="V14" s="2" t="s">
        <v>464</v>
      </c>
      <c r="W14" s="2" t="s">
        <v>1</v>
      </c>
      <c r="X14" s="2" t="s">
        <v>136</v>
      </c>
      <c r="Z14" s="2" t="s">
        <v>136</v>
      </c>
      <c r="AA14" s="2" t="s">
        <v>1</v>
      </c>
      <c r="AB14" s="2" t="s">
        <v>1</v>
      </c>
      <c r="AC14" s="2" t="s">
        <v>40</v>
      </c>
    </row>
    <row r="15" spans="1:29" x14ac:dyDescent="0.4">
      <c r="A15" s="2" t="s">
        <v>498</v>
      </c>
      <c r="B15" s="2" t="s">
        <v>131</v>
      </c>
      <c r="C15" s="2" t="s">
        <v>515</v>
      </c>
      <c r="D15" s="2" t="s">
        <v>185</v>
      </c>
      <c r="E15" s="2" t="s">
        <v>170</v>
      </c>
      <c r="F15" s="2" t="s">
        <v>186</v>
      </c>
      <c r="G15" s="2" t="s">
        <v>141</v>
      </c>
      <c r="H15" s="2" t="s">
        <v>516</v>
      </c>
      <c r="I15" s="2" t="s">
        <v>142</v>
      </c>
      <c r="K15" s="2" t="s">
        <v>136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187</v>
      </c>
      <c r="T15" s="2" t="s">
        <v>1</v>
      </c>
      <c r="U15" s="2" t="s">
        <v>1</v>
      </c>
      <c r="V15" s="2" t="s">
        <v>464</v>
      </c>
      <c r="W15" s="2" t="s">
        <v>1</v>
      </c>
      <c r="X15" s="2" t="s">
        <v>136</v>
      </c>
      <c r="Z15" s="2" t="s">
        <v>136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86</v>
      </c>
      <c r="B16" s="2" t="s">
        <v>188</v>
      </c>
      <c r="C16" s="2" t="s">
        <v>189</v>
      </c>
      <c r="D16" s="2" t="s">
        <v>190</v>
      </c>
      <c r="E16" s="2" t="s">
        <v>191</v>
      </c>
      <c r="F16" s="2" t="s">
        <v>192</v>
      </c>
      <c r="G16" s="2" t="s">
        <v>146</v>
      </c>
      <c r="H16" s="2" t="s">
        <v>193</v>
      </c>
      <c r="I16" s="2" t="s">
        <v>194</v>
      </c>
      <c r="K16" s="2" t="s">
        <v>136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195</v>
      </c>
      <c r="T16" s="2" t="s">
        <v>1</v>
      </c>
      <c r="U16" s="2" t="s">
        <v>1</v>
      </c>
      <c r="V16" s="2" t="s">
        <v>464</v>
      </c>
      <c r="W16" s="2" t="s">
        <v>1</v>
      </c>
      <c r="X16" s="2" t="s">
        <v>136</v>
      </c>
      <c r="Z16" s="2" t="s">
        <v>136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500</v>
      </c>
      <c r="B17" s="2" t="s">
        <v>131</v>
      </c>
      <c r="C17" s="2" t="s">
        <v>202</v>
      </c>
      <c r="D17" s="2" t="s">
        <v>517</v>
      </c>
      <c r="E17" s="2" t="s">
        <v>203</v>
      </c>
      <c r="F17" s="2" t="s">
        <v>204</v>
      </c>
      <c r="G17" s="2" t="s">
        <v>133</v>
      </c>
      <c r="H17" s="2" t="s">
        <v>205</v>
      </c>
      <c r="I17" s="2" t="s">
        <v>135</v>
      </c>
      <c r="K17" s="2" t="s">
        <v>174</v>
      </c>
      <c r="L17" s="2" t="s">
        <v>581</v>
      </c>
      <c r="M17" s="2" t="s">
        <v>40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206</v>
      </c>
      <c r="T17" s="2" t="s">
        <v>207</v>
      </c>
      <c r="U17" s="2" t="s">
        <v>1</v>
      </c>
      <c r="V17" s="2" t="s">
        <v>464</v>
      </c>
      <c r="W17" s="2" t="s">
        <v>1</v>
      </c>
      <c r="X17" s="2" t="s">
        <v>136</v>
      </c>
      <c r="Z17" s="2" t="s">
        <v>136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122</v>
      </c>
      <c r="B18" s="2" t="s">
        <v>131</v>
      </c>
      <c r="C18" s="2" t="s">
        <v>196</v>
      </c>
      <c r="D18" s="2" t="s">
        <v>197</v>
      </c>
      <c r="E18" s="2" t="s">
        <v>162</v>
      </c>
      <c r="F18" s="2" t="s">
        <v>198</v>
      </c>
      <c r="G18" s="2" t="s">
        <v>133</v>
      </c>
      <c r="H18" s="2" t="s">
        <v>199</v>
      </c>
      <c r="I18" s="2" t="s">
        <v>135</v>
      </c>
      <c r="K18" s="2" t="s">
        <v>174</v>
      </c>
      <c r="L18" s="2" t="s">
        <v>598</v>
      </c>
      <c r="M18" s="2" t="s">
        <v>40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599</v>
      </c>
      <c r="T18" s="2" t="s">
        <v>201</v>
      </c>
      <c r="U18" s="2" t="s">
        <v>1</v>
      </c>
      <c r="V18" s="2" t="s">
        <v>464</v>
      </c>
      <c r="W18" s="2" t="s">
        <v>1</v>
      </c>
      <c r="X18" s="2" t="s">
        <v>136</v>
      </c>
      <c r="Z18" s="2" t="s">
        <v>136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593</v>
      </c>
      <c r="B19" s="2" t="s">
        <v>131</v>
      </c>
      <c r="C19" s="2" t="s">
        <v>196</v>
      </c>
      <c r="D19" s="2" t="s">
        <v>600</v>
      </c>
      <c r="E19" s="2" t="s">
        <v>162</v>
      </c>
      <c r="F19" s="2" t="s">
        <v>601</v>
      </c>
      <c r="G19" s="2" t="s">
        <v>133</v>
      </c>
      <c r="H19" s="2" t="s">
        <v>602</v>
      </c>
      <c r="I19" s="2" t="s">
        <v>135</v>
      </c>
      <c r="J19" s="2" t="s">
        <v>619</v>
      </c>
      <c r="K19" s="2" t="s">
        <v>174</v>
      </c>
      <c r="L19" s="2" t="s">
        <v>603</v>
      </c>
      <c r="M19" s="2" t="s">
        <v>40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604</v>
      </c>
      <c r="T19" s="2" t="s">
        <v>201</v>
      </c>
      <c r="U19" s="2" t="s">
        <v>1</v>
      </c>
      <c r="V19" s="2" t="s">
        <v>464</v>
      </c>
      <c r="W19" s="2" t="s">
        <v>1</v>
      </c>
      <c r="X19" s="2" t="s">
        <v>136</v>
      </c>
      <c r="Z19" s="2" t="s">
        <v>136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502</v>
      </c>
      <c r="B20" s="2" t="s">
        <v>131</v>
      </c>
      <c r="C20" s="2" t="s">
        <v>518</v>
      </c>
      <c r="D20" s="2" t="s">
        <v>208</v>
      </c>
      <c r="E20" s="2" t="s">
        <v>395</v>
      </c>
      <c r="F20" s="2" t="s">
        <v>209</v>
      </c>
      <c r="G20" s="2" t="s">
        <v>146</v>
      </c>
      <c r="H20" s="2" t="s">
        <v>210</v>
      </c>
      <c r="I20" s="2" t="s">
        <v>2</v>
      </c>
      <c r="K20" s="2" t="s">
        <v>174</v>
      </c>
      <c r="L20" s="2" t="s">
        <v>211</v>
      </c>
      <c r="M20" s="2" t="s">
        <v>40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211</v>
      </c>
      <c r="T20" s="2" t="s">
        <v>519</v>
      </c>
      <c r="U20" s="2" t="s">
        <v>1</v>
      </c>
      <c r="V20" s="2" t="s">
        <v>464</v>
      </c>
      <c r="W20" s="2" t="s">
        <v>1</v>
      </c>
      <c r="X20" s="2" t="s">
        <v>136</v>
      </c>
      <c r="Z20" s="2" t="s">
        <v>136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623</v>
      </c>
      <c r="B21" s="2" t="s">
        <v>629</v>
      </c>
      <c r="C21" s="2" t="s">
        <v>630</v>
      </c>
      <c r="D21" s="2" t="s">
        <v>631</v>
      </c>
      <c r="E21" s="2" t="s">
        <v>462</v>
      </c>
      <c r="F21" s="2" t="s">
        <v>212</v>
      </c>
      <c r="G21" s="2" t="s">
        <v>146</v>
      </c>
      <c r="H21" s="2" t="s">
        <v>632</v>
      </c>
      <c r="I21" s="2" t="s">
        <v>194</v>
      </c>
      <c r="K21" s="2" t="s">
        <v>136</v>
      </c>
      <c r="L21" s="2" t="s">
        <v>1</v>
      </c>
      <c r="M21" s="2" t="s">
        <v>40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213</v>
      </c>
      <c r="T21" s="2" t="s">
        <v>1</v>
      </c>
      <c r="U21" s="2" t="s">
        <v>1</v>
      </c>
      <c r="V21" s="2" t="s">
        <v>464</v>
      </c>
      <c r="W21" s="2" t="s">
        <v>1</v>
      </c>
      <c r="X21" s="2" t="s">
        <v>136</v>
      </c>
      <c r="Z21" s="2" t="s">
        <v>136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625</v>
      </c>
      <c r="B22" s="2" t="s">
        <v>629</v>
      </c>
      <c r="C22" s="2" t="s">
        <v>630</v>
      </c>
      <c r="D22" s="2" t="s">
        <v>633</v>
      </c>
      <c r="E22" s="2" t="s">
        <v>462</v>
      </c>
      <c r="F22" s="2" t="s">
        <v>634</v>
      </c>
      <c r="G22" s="2" t="s">
        <v>141</v>
      </c>
      <c r="H22" s="2" t="s">
        <v>396</v>
      </c>
      <c r="I22" s="2" t="s">
        <v>142</v>
      </c>
      <c r="K22" s="2" t="s">
        <v>136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214</v>
      </c>
      <c r="T22" s="2" t="s">
        <v>1</v>
      </c>
      <c r="U22" s="2" t="s">
        <v>1</v>
      </c>
      <c r="V22" s="2" t="s">
        <v>464</v>
      </c>
      <c r="W22" s="2" t="s">
        <v>1</v>
      </c>
      <c r="X22" s="2" t="s">
        <v>136</v>
      </c>
      <c r="Z22" s="2" t="s">
        <v>136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90</v>
      </c>
      <c r="B23" s="2" t="s">
        <v>188</v>
      </c>
      <c r="C23" s="2" t="s">
        <v>189</v>
      </c>
      <c r="D23" s="2" t="s">
        <v>215</v>
      </c>
      <c r="E23" s="2" t="s">
        <v>191</v>
      </c>
      <c r="F23" s="2" t="s">
        <v>216</v>
      </c>
      <c r="G23" s="2" t="s">
        <v>133</v>
      </c>
      <c r="H23" s="2" t="s">
        <v>217</v>
      </c>
      <c r="I23" s="2" t="s">
        <v>135</v>
      </c>
      <c r="K23" s="2" t="s">
        <v>136</v>
      </c>
      <c r="L23" s="2" t="s">
        <v>1</v>
      </c>
      <c r="M23" s="2" t="s">
        <v>1</v>
      </c>
      <c r="N23" s="2" t="s">
        <v>137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218</v>
      </c>
      <c r="T23" s="2" t="s">
        <v>1</v>
      </c>
      <c r="U23" s="2" t="s">
        <v>1</v>
      </c>
      <c r="V23" s="2" t="s">
        <v>464</v>
      </c>
      <c r="W23" s="2" t="s">
        <v>1</v>
      </c>
      <c r="X23" s="2" t="s">
        <v>136</v>
      </c>
      <c r="Z23" s="2" t="s">
        <v>136</v>
      </c>
      <c r="AA23" s="2" t="s">
        <v>1</v>
      </c>
      <c r="AB23" s="2" t="s">
        <v>1</v>
      </c>
      <c r="AC23" s="2" t="s">
        <v>40</v>
      </c>
    </row>
    <row r="24" spans="1:29" x14ac:dyDescent="0.4">
      <c r="A24" s="2" t="s">
        <v>97</v>
      </c>
      <c r="B24" s="2" t="s">
        <v>188</v>
      </c>
      <c r="C24" s="2" t="s">
        <v>219</v>
      </c>
      <c r="D24" s="2" t="s">
        <v>225</v>
      </c>
      <c r="E24" s="2" t="s">
        <v>221</v>
      </c>
      <c r="F24" s="2" t="s">
        <v>226</v>
      </c>
      <c r="G24" s="2" t="s">
        <v>146</v>
      </c>
      <c r="H24" s="2" t="s">
        <v>191</v>
      </c>
      <c r="I24" s="2" t="s">
        <v>2</v>
      </c>
      <c r="K24" s="2" t="s">
        <v>136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227</v>
      </c>
      <c r="T24" s="2" t="s">
        <v>1</v>
      </c>
      <c r="U24" s="2" t="s">
        <v>1</v>
      </c>
      <c r="V24" s="2" t="s">
        <v>464</v>
      </c>
      <c r="W24" s="2" t="s">
        <v>1</v>
      </c>
      <c r="X24" s="2" t="s">
        <v>136</v>
      </c>
      <c r="Z24" s="2" t="s">
        <v>136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96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146</v>
      </c>
      <c r="H25" s="2" t="s">
        <v>228</v>
      </c>
      <c r="I25" s="2" t="s">
        <v>2</v>
      </c>
      <c r="K25" s="2" t="s">
        <v>136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229</v>
      </c>
      <c r="T25" s="2" t="s">
        <v>1</v>
      </c>
      <c r="U25" s="2" t="s">
        <v>1</v>
      </c>
      <c r="V25" s="2" t="s">
        <v>464</v>
      </c>
      <c r="W25" s="2" t="s">
        <v>1</v>
      </c>
      <c r="X25" s="2" t="s">
        <v>174</v>
      </c>
      <c r="Z25" s="2" t="s">
        <v>174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98</v>
      </c>
      <c r="B26" s="2" t="s">
        <v>188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133</v>
      </c>
      <c r="H26" s="2" t="s">
        <v>223</v>
      </c>
      <c r="I26" s="2" t="s">
        <v>135</v>
      </c>
      <c r="K26" s="2" t="s">
        <v>136</v>
      </c>
      <c r="L26" s="2" t="s">
        <v>1</v>
      </c>
      <c r="M26" s="2" t="s">
        <v>1</v>
      </c>
      <c r="N26" s="2" t="s">
        <v>605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606</v>
      </c>
      <c r="T26" s="2" t="s">
        <v>1</v>
      </c>
      <c r="U26" s="2" t="s">
        <v>1</v>
      </c>
      <c r="V26" s="2" t="s">
        <v>464</v>
      </c>
      <c r="W26" s="2" t="s">
        <v>1</v>
      </c>
      <c r="X26" s="2" t="s">
        <v>136</v>
      </c>
      <c r="Z26" s="2" t="s">
        <v>136</v>
      </c>
      <c r="AA26" s="2" t="s">
        <v>1</v>
      </c>
      <c r="AB26" s="2" t="s">
        <v>1</v>
      </c>
      <c r="AC26" s="2" t="s">
        <v>40</v>
      </c>
    </row>
    <row r="27" spans="1:29" x14ac:dyDescent="0.4">
      <c r="A27" s="2" t="s">
        <v>99</v>
      </c>
      <c r="B27" s="2" t="s">
        <v>188</v>
      </c>
      <c r="C27" s="2" t="s">
        <v>189</v>
      </c>
      <c r="D27" s="2" t="s">
        <v>230</v>
      </c>
      <c r="E27" s="2" t="s">
        <v>231</v>
      </c>
      <c r="F27" s="2" t="s">
        <v>232</v>
      </c>
      <c r="G27" s="2" t="s">
        <v>133</v>
      </c>
      <c r="H27" s="2" t="s">
        <v>233</v>
      </c>
      <c r="I27" s="2" t="s">
        <v>1</v>
      </c>
      <c r="K27" s="2" t="s">
        <v>136</v>
      </c>
      <c r="L27" s="2" t="s">
        <v>1</v>
      </c>
      <c r="M27" s="2" t="s">
        <v>40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635</v>
      </c>
      <c r="T27" s="2" t="s">
        <v>1</v>
      </c>
      <c r="U27" s="2" t="s">
        <v>1</v>
      </c>
      <c r="V27" s="2" t="s">
        <v>464</v>
      </c>
      <c r="W27" s="2" t="s">
        <v>1</v>
      </c>
      <c r="X27" s="2" t="s">
        <v>136</v>
      </c>
      <c r="Z27" s="2" t="s">
        <v>136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102</v>
      </c>
      <c r="B28" s="2" t="s">
        <v>188</v>
      </c>
      <c r="C28" s="2" t="s">
        <v>189</v>
      </c>
      <c r="D28" s="2" t="s">
        <v>241</v>
      </c>
      <c r="E28" s="2" t="s">
        <v>191</v>
      </c>
      <c r="F28" s="2" t="s">
        <v>242</v>
      </c>
      <c r="G28" s="2" t="s">
        <v>146</v>
      </c>
      <c r="H28" s="2" t="s">
        <v>243</v>
      </c>
      <c r="I28" s="2" t="s">
        <v>194</v>
      </c>
      <c r="K28" s="2" t="s">
        <v>136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244</v>
      </c>
      <c r="T28" s="2" t="s">
        <v>1</v>
      </c>
      <c r="U28" s="2" t="s">
        <v>1</v>
      </c>
      <c r="V28" s="2" t="s">
        <v>464</v>
      </c>
      <c r="W28" s="2" t="s">
        <v>1</v>
      </c>
      <c r="X28" s="2" t="s">
        <v>136</v>
      </c>
      <c r="Z28" s="2" t="s">
        <v>136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101</v>
      </c>
      <c r="B29" s="2" t="s">
        <v>188</v>
      </c>
      <c r="C29" s="2" t="s">
        <v>189</v>
      </c>
      <c r="D29" s="2" t="s">
        <v>237</v>
      </c>
      <c r="E29" s="2" t="s">
        <v>191</v>
      </c>
      <c r="F29" s="2" t="s">
        <v>238</v>
      </c>
      <c r="G29" s="2" t="s">
        <v>133</v>
      </c>
      <c r="H29" s="2" t="s">
        <v>239</v>
      </c>
      <c r="I29" s="2" t="s">
        <v>135</v>
      </c>
      <c r="K29" s="2" t="s">
        <v>136</v>
      </c>
      <c r="L29" s="2" t="s">
        <v>1</v>
      </c>
      <c r="M29" s="2" t="s">
        <v>1</v>
      </c>
      <c r="N29" s="2" t="s">
        <v>293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245</v>
      </c>
      <c r="T29" s="2" t="s">
        <v>1</v>
      </c>
      <c r="U29" s="2" t="s">
        <v>1</v>
      </c>
      <c r="V29" s="2" t="s">
        <v>464</v>
      </c>
      <c r="W29" s="2" t="s">
        <v>1</v>
      </c>
      <c r="X29" s="2" t="s">
        <v>136</v>
      </c>
      <c r="Z29" s="2" t="s">
        <v>136</v>
      </c>
      <c r="AA29" s="2" t="s">
        <v>1</v>
      </c>
      <c r="AB29" s="2" t="s">
        <v>1</v>
      </c>
      <c r="AC29" s="2" t="s">
        <v>40</v>
      </c>
    </row>
    <row r="30" spans="1:29" x14ac:dyDescent="0.4">
      <c r="A30" s="2" t="s">
        <v>103</v>
      </c>
      <c r="B30" s="2" t="s">
        <v>188</v>
      </c>
      <c r="C30" s="2" t="s">
        <v>189</v>
      </c>
      <c r="D30" s="2" t="s">
        <v>246</v>
      </c>
      <c r="E30" s="2" t="s">
        <v>191</v>
      </c>
      <c r="F30" s="2" t="s">
        <v>247</v>
      </c>
      <c r="G30" s="2" t="s">
        <v>146</v>
      </c>
      <c r="H30" s="2" t="s">
        <v>248</v>
      </c>
      <c r="I30" s="2" t="s">
        <v>194</v>
      </c>
      <c r="K30" s="2" t="s">
        <v>136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249</v>
      </c>
      <c r="T30" s="2" t="s">
        <v>1</v>
      </c>
      <c r="U30" s="2" t="s">
        <v>1</v>
      </c>
      <c r="V30" s="2" t="s">
        <v>464</v>
      </c>
      <c r="W30" s="2" t="s">
        <v>1</v>
      </c>
      <c r="X30" s="2" t="s">
        <v>136</v>
      </c>
      <c r="Z30" s="2" t="s">
        <v>136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104</v>
      </c>
      <c r="B31" s="2" t="s">
        <v>188</v>
      </c>
      <c r="C31" s="2" t="s">
        <v>189</v>
      </c>
      <c r="D31" s="2" t="s">
        <v>250</v>
      </c>
      <c r="E31" s="2" t="s">
        <v>191</v>
      </c>
      <c r="F31" s="2" t="s">
        <v>251</v>
      </c>
      <c r="G31" s="2" t="s">
        <v>133</v>
      </c>
      <c r="H31" s="2" t="s">
        <v>252</v>
      </c>
      <c r="I31" s="2" t="s">
        <v>135</v>
      </c>
      <c r="K31" s="2" t="s">
        <v>136</v>
      </c>
      <c r="L31" s="2" t="s">
        <v>1</v>
      </c>
      <c r="M31" s="2" t="s">
        <v>1</v>
      </c>
      <c r="N31" s="2" t="s">
        <v>293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253</v>
      </c>
      <c r="T31" s="2" t="s">
        <v>1</v>
      </c>
      <c r="U31" s="2" t="s">
        <v>1</v>
      </c>
      <c r="V31" s="2" t="s">
        <v>464</v>
      </c>
      <c r="W31" s="2" t="s">
        <v>1</v>
      </c>
      <c r="X31" s="2" t="s">
        <v>136</v>
      </c>
      <c r="Z31" s="2" t="s">
        <v>136</v>
      </c>
      <c r="AA31" s="2" t="s">
        <v>1</v>
      </c>
      <c r="AB31" s="2" t="s">
        <v>1</v>
      </c>
      <c r="AC31" s="2" t="s">
        <v>40</v>
      </c>
    </row>
    <row r="32" spans="1:29" x14ac:dyDescent="0.4">
      <c r="A32" s="2" t="s">
        <v>124</v>
      </c>
      <c r="B32" s="2" t="s">
        <v>188</v>
      </c>
      <c r="C32" s="2" t="s">
        <v>189</v>
      </c>
      <c r="D32" s="2" t="s">
        <v>254</v>
      </c>
      <c r="E32" s="2" t="s">
        <v>231</v>
      </c>
      <c r="F32" s="2" t="s">
        <v>255</v>
      </c>
      <c r="G32" s="2" t="s">
        <v>133</v>
      </c>
      <c r="H32" s="2" t="s">
        <v>256</v>
      </c>
      <c r="I32" s="2" t="s">
        <v>135</v>
      </c>
      <c r="K32" s="2" t="s">
        <v>174</v>
      </c>
      <c r="L32" s="2" t="s">
        <v>257</v>
      </c>
      <c r="M32" s="2" t="s">
        <v>1</v>
      </c>
      <c r="N32" s="2" t="s">
        <v>170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257</v>
      </c>
      <c r="T32" s="2" t="s">
        <v>235</v>
      </c>
      <c r="U32" s="2" t="s">
        <v>1</v>
      </c>
      <c r="V32" s="2" t="s">
        <v>464</v>
      </c>
      <c r="W32" s="2" t="s">
        <v>1</v>
      </c>
      <c r="X32" s="2" t="s">
        <v>136</v>
      </c>
      <c r="Z32" s="2" t="s">
        <v>136</v>
      </c>
      <c r="AA32" s="2" t="s">
        <v>1</v>
      </c>
      <c r="AB32" s="2" t="s">
        <v>1</v>
      </c>
      <c r="AC32" s="2" t="s">
        <v>40</v>
      </c>
    </row>
    <row r="33" spans="1:29" x14ac:dyDescent="0.4">
      <c r="A33" s="2" t="s">
        <v>107</v>
      </c>
      <c r="B33" s="2" t="s">
        <v>188</v>
      </c>
      <c r="C33" s="2" t="s">
        <v>189</v>
      </c>
      <c r="D33" s="2" t="s">
        <v>258</v>
      </c>
      <c r="E33" s="2" t="s">
        <v>191</v>
      </c>
      <c r="F33" s="2" t="s">
        <v>259</v>
      </c>
      <c r="G33" s="2" t="s">
        <v>133</v>
      </c>
      <c r="H33" s="2" t="s">
        <v>260</v>
      </c>
      <c r="I33" s="2" t="s">
        <v>135</v>
      </c>
      <c r="K33" s="2" t="s">
        <v>136</v>
      </c>
      <c r="L33" s="2" t="s">
        <v>1</v>
      </c>
      <c r="M33" s="2" t="s">
        <v>1</v>
      </c>
      <c r="N33" s="2" t="s">
        <v>261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262</v>
      </c>
      <c r="T33" s="2" t="s">
        <v>1</v>
      </c>
      <c r="U33" s="2" t="s">
        <v>1</v>
      </c>
      <c r="V33" s="2" t="s">
        <v>464</v>
      </c>
      <c r="W33" s="2" t="s">
        <v>1</v>
      </c>
      <c r="X33" s="2" t="s">
        <v>136</v>
      </c>
      <c r="Z33" s="2" t="s">
        <v>136</v>
      </c>
      <c r="AA33" s="2" t="s">
        <v>1</v>
      </c>
      <c r="AB33" s="2" t="s">
        <v>1</v>
      </c>
      <c r="AC33" s="2" t="s">
        <v>40</v>
      </c>
    </row>
    <row r="34" spans="1:29" x14ac:dyDescent="0.4">
      <c r="A34" s="2" t="s">
        <v>127</v>
      </c>
      <c r="B34" s="2" t="s">
        <v>188</v>
      </c>
      <c r="C34" s="2" t="s">
        <v>189</v>
      </c>
      <c r="D34" s="2" t="s">
        <v>263</v>
      </c>
      <c r="E34" s="2" t="s">
        <v>231</v>
      </c>
      <c r="F34" s="2" t="s">
        <v>264</v>
      </c>
      <c r="G34" s="2" t="s">
        <v>133</v>
      </c>
      <c r="H34" s="2" t="s">
        <v>265</v>
      </c>
      <c r="I34" s="2" t="s">
        <v>135</v>
      </c>
      <c r="K34" s="2" t="s">
        <v>174</v>
      </c>
      <c r="L34" s="2" t="s">
        <v>266</v>
      </c>
      <c r="M34" s="2" t="s">
        <v>40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266</v>
      </c>
      <c r="T34" s="2" t="s">
        <v>235</v>
      </c>
      <c r="U34" s="2" t="s">
        <v>1</v>
      </c>
      <c r="V34" s="2" t="s">
        <v>464</v>
      </c>
      <c r="W34" s="2" t="s">
        <v>1</v>
      </c>
      <c r="X34" s="2" t="s">
        <v>136</v>
      </c>
      <c r="Z34" s="2" t="s">
        <v>136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129</v>
      </c>
      <c r="B35" s="2" t="s">
        <v>188</v>
      </c>
      <c r="C35" s="2" t="s">
        <v>189</v>
      </c>
      <c r="D35" s="2" t="s">
        <v>267</v>
      </c>
      <c r="E35" s="2" t="s">
        <v>231</v>
      </c>
      <c r="F35" s="2" t="s">
        <v>268</v>
      </c>
      <c r="G35" s="2" t="s">
        <v>133</v>
      </c>
      <c r="H35" s="2" t="s">
        <v>269</v>
      </c>
      <c r="I35" s="2" t="s">
        <v>135</v>
      </c>
      <c r="K35" s="2" t="s">
        <v>174</v>
      </c>
      <c r="L35" s="2" t="s">
        <v>270</v>
      </c>
      <c r="M35" s="2" t="s">
        <v>40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270</v>
      </c>
      <c r="T35" s="2" t="s">
        <v>235</v>
      </c>
      <c r="U35" s="2" t="s">
        <v>1</v>
      </c>
      <c r="V35" s="2" t="s">
        <v>464</v>
      </c>
      <c r="W35" s="2" t="s">
        <v>1</v>
      </c>
      <c r="X35" s="2" t="s">
        <v>136</v>
      </c>
      <c r="Z35" s="2" t="s">
        <v>136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108</v>
      </c>
      <c r="B36" s="2" t="s">
        <v>188</v>
      </c>
      <c r="C36" s="2" t="s">
        <v>189</v>
      </c>
      <c r="D36" s="2" t="s">
        <v>271</v>
      </c>
      <c r="E36" s="2" t="s">
        <v>191</v>
      </c>
      <c r="F36" s="2" t="s">
        <v>272</v>
      </c>
      <c r="G36" s="2" t="s">
        <v>146</v>
      </c>
      <c r="H36" s="2" t="s">
        <v>273</v>
      </c>
      <c r="I36" s="2" t="s">
        <v>2</v>
      </c>
      <c r="K36" s="2" t="s">
        <v>136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274</v>
      </c>
      <c r="T36" s="2" t="s">
        <v>1</v>
      </c>
      <c r="U36" s="2" t="s">
        <v>1</v>
      </c>
      <c r="V36" s="2" t="s">
        <v>464</v>
      </c>
      <c r="W36" s="2" t="s">
        <v>1</v>
      </c>
      <c r="X36" s="2" t="s">
        <v>136</v>
      </c>
      <c r="Z36" s="2" t="s">
        <v>136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126</v>
      </c>
      <c r="B37" s="2" t="s">
        <v>188</v>
      </c>
      <c r="C37" s="2" t="s">
        <v>189</v>
      </c>
      <c r="D37" s="2" t="s">
        <v>275</v>
      </c>
      <c r="E37" s="2" t="s">
        <v>231</v>
      </c>
      <c r="F37" s="2" t="s">
        <v>276</v>
      </c>
      <c r="G37" s="2" t="s">
        <v>133</v>
      </c>
      <c r="H37" s="2" t="s">
        <v>277</v>
      </c>
      <c r="I37" s="2" t="s">
        <v>135</v>
      </c>
      <c r="K37" s="2" t="s">
        <v>174</v>
      </c>
      <c r="L37" s="2" t="s">
        <v>278</v>
      </c>
      <c r="M37" s="2" t="s">
        <v>1</v>
      </c>
      <c r="N37" s="2" t="s">
        <v>279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278</v>
      </c>
      <c r="T37" s="2" t="s">
        <v>235</v>
      </c>
      <c r="U37" s="2" t="s">
        <v>1</v>
      </c>
      <c r="V37" s="2" t="s">
        <v>464</v>
      </c>
      <c r="W37" s="2" t="s">
        <v>1</v>
      </c>
      <c r="X37" s="2" t="s">
        <v>136</v>
      </c>
      <c r="Z37" s="2" t="s">
        <v>136</v>
      </c>
      <c r="AA37" s="2" t="s">
        <v>1</v>
      </c>
      <c r="AB37" s="2" t="s">
        <v>1</v>
      </c>
      <c r="AC37" s="2" t="s">
        <v>40</v>
      </c>
    </row>
    <row r="38" spans="1:29" x14ac:dyDescent="0.4">
      <c r="A38" s="2" t="s">
        <v>401</v>
      </c>
      <c r="B38" s="2" t="s">
        <v>188</v>
      </c>
      <c r="C38" s="2" t="s">
        <v>280</v>
      </c>
      <c r="D38" s="2" t="s">
        <v>281</v>
      </c>
      <c r="E38" s="2" t="s">
        <v>403</v>
      </c>
      <c r="F38" s="2" t="s">
        <v>282</v>
      </c>
      <c r="G38" s="2" t="s">
        <v>283</v>
      </c>
      <c r="H38" s="2" t="s">
        <v>284</v>
      </c>
      <c r="I38" s="2" t="s">
        <v>135</v>
      </c>
      <c r="K38" s="2" t="s">
        <v>136</v>
      </c>
      <c r="L38" s="2" t="s">
        <v>1</v>
      </c>
      <c r="M38" s="2" t="s">
        <v>1</v>
      </c>
      <c r="N38" s="2" t="s">
        <v>1</v>
      </c>
      <c r="O38" s="2" t="s">
        <v>565</v>
      </c>
      <c r="P38" s="2" t="s">
        <v>285</v>
      </c>
      <c r="Q38" s="2" t="s">
        <v>1</v>
      </c>
      <c r="R38" s="2" t="s">
        <v>1</v>
      </c>
      <c r="S38" s="2" t="s">
        <v>286</v>
      </c>
      <c r="T38" s="2" t="s">
        <v>1</v>
      </c>
      <c r="U38" s="2" t="s">
        <v>1</v>
      </c>
      <c r="V38" s="2" t="s">
        <v>464</v>
      </c>
      <c r="W38" s="2" t="s">
        <v>1</v>
      </c>
      <c r="X38" s="2" t="s">
        <v>136</v>
      </c>
      <c r="Z38" s="2" t="s">
        <v>136</v>
      </c>
      <c r="AA38" s="2" t="s">
        <v>1</v>
      </c>
      <c r="AB38" s="2" t="s">
        <v>287</v>
      </c>
      <c r="AC38" s="2" t="s">
        <v>1</v>
      </c>
    </row>
    <row r="39" spans="1:29" x14ac:dyDescent="0.4">
      <c r="A39" s="2" t="s">
        <v>376</v>
      </c>
      <c r="B39" s="2" t="s">
        <v>188</v>
      </c>
      <c r="C39" s="2" t="s">
        <v>288</v>
      </c>
      <c r="D39" s="2" t="s">
        <v>377</v>
      </c>
      <c r="E39" s="2" t="s">
        <v>378</v>
      </c>
      <c r="F39" s="2" t="s">
        <v>379</v>
      </c>
      <c r="G39" s="2" t="s">
        <v>141</v>
      </c>
      <c r="H39" s="2" t="s">
        <v>534</v>
      </c>
      <c r="I39" s="2" t="s">
        <v>142</v>
      </c>
      <c r="K39" s="2" t="s">
        <v>174</v>
      </c>
      <c r="L39" s="2" t="s">
        <v>545</v>
      </c>
      <c r="M39" s="2" t="s">
        <v>1</v>
      </c>
      <c r="N39" s="2" t="s">
        <v>1</v>
      </c>
      <c r="O39" s="2" t="s">
        <v>294</v>
      </c>
      <c r="P39" s="2" t="s">
        <v>295</v>
      </c>
      <c r="Q39" s="2" t="s">
        <v>1</v>
      </c>
      <c r="R39" s="2" t="s">
        <v>1</v>
      </c>
      <c r="S39" s="2" t="s">
        <v>380</v>
      </c>
      <c r="T39" s="2" t="s">
        <v>381</v>
      </c>
      <c r="U39" s="2" t="s">
        <v>1</v>
      </c>
      <c r="V39" s="2" t="s">
        <v>464</v>
      </c>
      <c r="W39" s="2" t="s">
        <v>1</v>
      </c>
      <c r="X39" s="2" t="s">
        <v>136</v>
      </c>
      <c r="Z39" s="2" t="s">
        <v>136</v>
      </c>
      <c r="AA39" s="2" t="s">
        <v>1</v>
      </c>
      <c r="AB39" s="2" t="s">
        <v>1</v>
      </c>
      <c r="AC39" s="2" t="s">
        <v>1</v>
      </c>
    </row>
    <row r="40" spans="1:29" x14ac:dyDescent="0.4">
      <c r="A40" s="2" t="s">
        <v>382</v>
      </c>
      <c r="B40" s="2" t="s">
        <v>188</v>
      </c>
      <c r="C40" s="2" t="s">
        <v>288</v>
      </c>
      <c r="D40" s="2" t="s">
        <v>289</v>
      </c>
      <c r="E40" s="2" t="s">
        <v>378</v>
      </c>
      <c r="F40" s="2" t="s">
        <v>290</v>
      </c>
      <c r="G40" s="2" t="s">
        <v>133</v>
      </c>
      <c r="H40" s="2" t="s">
        <v>291</v>
      </c>
      <c r="I40" s="2" t="s">
        <v>135</v>
      </c>
      <c r="K40" s="2" t="s">
        <v>174</v>
      </c>
      <c r="L40" s="2" t="s">
        <v>465</v>
      </c>
      <c r="M40" s="2" t="s">
        <v>1</v>
      </c>
      <c r="N40" s="2" t="s">
        <v>1</v>
      </c>
      <c r="O40" s="2" t="s">
        <v>294</v>
      </c>
      <c r="P40" s="2" t="s">
        <v>295</v>
      </c>
      <c r="Q40" s="2" t="s">
        <v>1</v>
      </c>
      <c r="R40" s="2" t="s">
        <v>1</v>
      </c>
      <c r="S40" s="2" t="s">
        <v>292</v>
      </c>
      <c r="T40" s="2" t="s">
        <v>381</v>
      </c>
      <c r="U40" s="2" t="s">
        <v>1</v>
      </c>
      <c r="V40" s="2" t="s">
        <v>464</v>
      </c>
      <c r="W40" s="2" t="s">
        <v>1</v>
      </c>
      <c r="X40" s="2" t="s">
        <v>136</v>
      </c>
      <c r="Z40" s="2" t="s">
        <v>136</v>
      </c>
      <c r="AA40" s="2" t="s">
        <v>1</v>
      </c>
      <c r="AB40" s="2" t="s">
        <v>1</v>
      </c>
      <c r="AC40" s="2" t="s">
        <v>40</v>
      </c>
    </row>
    <row r="41" spans="1:29" x14ac:dyDescent="0.4">
      <c r="A41" s="2" t="s">
        <v>375</v>
      </c>
      <c r="B41" s="2" t="s">
        <v>188</v>
      </c>
      <c r="C41" s="2" t="s">
        <v>288</v>
      </c>
      <c r="D41" s="2" t="s">
        <v>383</v>
      </c>
      <c r="E41" s="2" t="s">
        <v>378</v>
      </c>
      <c r="F41" s="2" t="s">
        <v>384</v>
      </c>
      <c r="G41" s="2" t="s">
        <v>146</v>
      </c>
      <c r="H41" s="2" t="s">
        <v>40</v>
      </c>
      <c r="I41" s="2" t="s">
        <v>2</v>
      </c>
      <c r="K41" s="2" t="s">
        <v>174</v>
      </c>
      <c r="L41" s="2" t="s">
        <v>549</v>
      </c>
      <c r="M41" s="2" t="s">
        <v>1</v>
      </c>
      <c r="N41" s="2" t="s">
        <v>1</v>
      </c>
      <c r="O41" s="2" t="s">
        <v>294</v>
      </c>
      <c r="P41" s="2" t="s">
        <v>295</v>
      </c>
      <c r="Q41" s="2" t="s">
        <v>1</v>
      </c>
      <c r="R41" s="2" t="s">
        <v>1</v>
      </c>
      <c r="S41" s="2" t="s">
        <v>385</v>
      </c>
      <c r="T41" s="2" t="s">
        <v>381</v>
      </c>
      <c r="U41" s="2" t="s">
        <v>1</v>
      </c>
      <c r="V41" s="2" t="s">
        <v>466</v>
      </c>
      <c r="W41" s="2" t="s">
        <v>1</v>
      </c>
      <c r="X41" s="2" t="s">
        <v>136</v>
      </c>
      <c r="Z41" s="2" t="s">
        <v>136</v>
      </c>
      <c r="AA41" s="2" t="s">
        <v>1</v>
      </c>
      <c r="AB41" s="2" t="s">
        <v>1</v>
      </c>
      <c r="AC41" s="2" t="s">
        <v>1</v>
      </c>
    </row>
    <row r="42" spans="1:29" x14ac:dyDescent="0.4">
      <c r="A42" s="2" t="s">
        <v>553</v>
      </c>
      <c r="B42" s="2" t="s">
        <v>566</v>
      </c>
      <c r="C42" s="2" t="s">
        <v>298</v>
      </c>
      <c r="D42" s="2" t="s">
        <v>159</v>
      </c>
      <c r="E42" s="2" t="s">
        <v>300</v>
      </c>
      <c r="F42" s="2" t="s">
        <v>567</v>
      </c>
      <c r="G42" s="2" t="s">
        <v>133</v>
      </c>
      <c r="H42" s="2" t="s">
        <v>568</v>
      </c>
      <c r="I42" s="2" t="s">
        <v>135</v>
      </c>
      <c r="K42" s="2" t="s">
        <v>136</v>
      </c>
      <c r="L42" s="2" t="s">
        <v>1</v>
      </c>
      <c r="M42" s="2" t="s">
        <v>1</v>
      </c>
      <c r="N42" s="2" t="s">
        <v>293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569</v>
      </c>
      <c r="T42" s="2" t="s">
        <v>1</v>
      </c>
      <c r="U42" s="2" t="s">
        <v>1</v>
      </c>
      <c r="V42" s="2" t="s">
        <v>464</v>
      </c>
      <c r="W42" s="2" t="s">
        <v>1</v>
      </c>
      <c r="X42" s="2" t="s">
        <v>136</v>
      </c>
      <c r="Z42" s="2" t="s">
        <v>136</v>
      </c>
      <c r="AA42" s="2" t="s">
        <v>1</v>
      </c>
      <c r="AB42" s="2" t="s">
        <v>570</v>
      </c>
      <c r="AC42" s="2" t="s">
        <v>40</v>
      </c>
    </row>
    <row r="43" spans="1:29" x14ac:dyDescent="0.4">
      <c r="A43" s="2" t="s">
        <v>559</v>
      </c>
      <c r="B43" s="2" t="s">
        <v>566</v>
      </c>
      <c r="C43" s="2" t="s">
        <v>298</v>
      </c>
      <c r="D43" s="2" t="s">
        <v>299</v>
      </c>
      <c r="E43" s="2" t="s">
        <v>300</v>
      </c>
      <c r="F43" s="2" t="s">
        <v>182</v>
      </c>
      <c r="G43" s="2" t="s">
        <v>133</v>
      </c>
      <c r="H43" s="2" t="s">
        <v>301</v>
      </c>
      <c r="I43" s="2" t="s">
        <v>135</v>
      </c>
      <c r="K43" s="2" t="s">
        <v>136</v>
      </c>
      <c r="L43" s="2" t="s">
        <v>1</v>
      </c>
      <c r="M43" s="2" t="s">
        <v>1</v>
      </c>
      <c r="N43" s="2" t="s">
        <v>302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303</v>
      </c>
      <c r="T43" s="2" t="s">
        <v>1</v>
      </c>
      <c r="U43" s="2" t="s">
        <v>1</v>
      </c>
      <c r="V43" s="2" t="s">
        <v>464</v>
      </c>
      <c r="W43" s="2" t="s">
        <v>1</v>
      </c>
      <c r="X43" s="2" t="s">
        <v>136</v>
      </c>
      <c r="Z43" s="2" t="s">
        <v>136</v>
      </c>
      <c r="AA43" s="2" t="s">
        <v>1</v>
      </c>
      <c r="AB43" s="2" t="s">
        <v>570</v>
      </c>
      <c r="AC43" s="2" t="s">
        <v>40</v>
      </c>
    </row>
    <row r="44" spans="1:29" x14ac:dyDescent="0.4">
      <c r="A44" s="2" t="s">
        <v>557</v>
      </c>
      <c r="B44" s="2" t="s">
        <v>566</v>
      </c>
      <c r="C44" s="2" t="s">
        <v>298</v>
      </c>
      <c r="D44" s="2" t="s">
        <v>304</v>
      </c>
      <c r="E44" s="2" t="s">
        <v>300</v>
      </c>
      <c r="F44" s="2" t="s">
        <v>305</v>
      </c>
      <c r="G44" s="2" t="s">
        <v>133</v>
      </c>
      <c r="H44" s="2" t="s">
        <v>306</v>
      </c>
      <c r="I44" s="2" t="s">
        <v>135</v>
      </c>
      <c r="K44" s="2" t="s">
        <v>136</v>
      </c>
      <c r="L44" s="2" t="s">
        <v>1</v>
      </c>
      <c r="M44" s="2" t="s">
        <v>1</v>
      </c>
      <c r="N44" s="2" t="s">
        <v>307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308</v>
      </c>
      <c r="T44" s="2" t="s">
        <v>1</v>
      </c>
      <c r="U44" s="2" t="s">
        <v>1</v>
      </c>
      <c r="V44" s="2" t="s">
        <v>464</v>
      </c>
      <c r="W44" s="2" t="s">
        <v>1</v>
      </c>
      <c r="X44" s="2" t="s">
        <v>136</v>
      </c>
      <c r="Z44" s="2" t="s">
        <v>136</v>
      </c>
      <c r="AA44" s="2" t="s">
        <v>1</v>
      </c>
      <c r="AB44" s="2" t="s">
        <v>1</v>
      </c>
      <c r="AC44" s="2" t="s">
        <v>40</v>
      </c>
    </row>
    <row r="45" spans="1:29" x14ac:dyDescent="0.4">
      <c r="A45" s="2" t="s">
        <v>555</v>
      </c>
      <c r="B45" s="2" t="s">
        <v>566</v>
      </c>
      <c r="C45" s="2" t="s">
        <v>298</v>
      </c>
      <c r="D45" s="2" t="s">
        <v>167</v>
      </c>
      <c r="E45" s="2" t="s">
        <v>300</v>
      </c>
      <c r="F45" s="2" t="s">
        <v>309</v>
      </c>
      <c r="G45" s="2" t="s">
        <v>133</v>
      </c>
      <c r="H45" s="2" t="s">
        <v>310</v>
      </c>
      <c r="I45" s="2" t="s">
        <v>135</v>
      </c>
      <c r="K45" s="2" t="s">
        <v>136</v>
      </c>
      <c r="L45" s="2" t="s">
        <v>1</v>
      </c>
      <c r="M45" s="2" t="s">
        <v>1</v>
      </c>
      <c r="N45" s="2" t="s">
        <v>311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312</v>
      </c>
      <c r="T45" s="2" t="s">
        <v>1</v>
      </c>
      <c r="U45" s="2" t="s">
        <v>1</v>
      </c>
      <c r="V45" s="2" t="s">
        <v>464</v>
      </c>
      <c r="W45" s="2" t="s">
        <v>1</v>
      </c>
      <c r="X45" s="2" t="s">
        <v>136</v>
      </c>
      <c r="Z45" s="2" t="s">
        <v>136</v>
      </c>
      <c r="AA45" s="2" t="s">
        <v>1</v>
      </c>
      <c r="AB45" s="2" t="s">
        <v>570</v>
      </c>
      <c r="AC45" s="2" t="s">
        <v>40</v>
      </c>
    </row>
    <row r="46" spans="1:29" x14ac:dyDescent="0.4">
      <c r="A46" s="2" t="s">
        <v>554</v>
      </c>
      <c r="B46" s="2" t="s">
        <v>566</v>
      </c>
      <c r="C46" s="2" t="s">
        <v>298</v>
      </c>
      <c r="D46" s="2" t="s">
        <v>571</v>
      </c>
      <c r="E46" s="2" t="s">
        <v>300</v>
      </c>
      <c r="F46" s="2" t="s">
        <v>572</v>
      </c>
      <c r="G46" s="2" t="s">
        <v>133</v>
      </c>
      <c r="H46" s="2" t="s">
        <v>1</v>
      </c>
      <c r="I46" s="2" t="s">
        <v>135</v>
      </c>
      <c r="K46" s="2" t="s">
        <v>136</v>
      </c>
      <c r="L46" s="2" t="s">
        <v>1</v>
      </c>
      <c r="M46" s="2" t="s">
        <v>1</v>
      </c>
      <c r="N46" s="2" t="s">
        <v>311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573</v>
      </c>
      <c r="T46" s="2" t="s">
        <v>1</v>
      </c>
      <c r="U46" s="2" t="s">
        <v>1</v>
      </c>
      <c r="V46" s="2" t="s">
        <v>464</v>
      </c>
      <c r="W46" s="2" t="s">
        <v>1</v>
      </c>
      <c r="X46" s="2" t="s">
        <v>136</v>
      </c>
      <c r="Z46" s="2" t="s">
        <v>136</v>
      </c>
      <c r="AA46" s="2" t="s">
        <v>1</v>
      </c>
      <c r="AB46" s="2" t="s">
        <v>570</v>
      </c>
      <c r="AC46" s="2" t="s">
        <v>40</v>
      </c>
    </row>
    <row r="47" spans="1:29" x14ac:dyDescent="0.4">
      <c r="A47" s="2" t="s">
        <v>561</v>
      </c>
      <c r="B47" s="2" t="s">
        <v>313</v>
      </c>
      <c r="C47" s="2" t="s">
        <v>314</v>
      </c>
      <c r="D47" s="2" t="s">
        <v>574</v>
      </c>
      <c r="E47" s="2" t="s">
        <v>1</v>
      </c>
      <c r="F47" s="2" t="s">
        <v>315</v>
      </c>
      <c r="G47" s="2" t="s">
        <v>141</v>
      </c>
      <c r="H47" s="2" t="s">
        <v>575</v>
      </c>
      <c r="I47" s="2" t="s">
        <v>142</v>
      </c>
      <c r="K47" s="2" t="s">
        <v>136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316</v>
      </c>
      <c r="T47" s="2" t="s">
        <v>1</v>
      </c>
      <c r="U47" s="2" t="s">
        <v>1</v>
      </c>
      <c r="V47" s="2" t="s">
        <v>464</v>
      </c>
      <c r="W47" s="2" t="s">
        <v>1</v>
      </c>
      <c r="X47" s="2" t="s">
        <v>136</v>
      </c>
      <c r="Z47" s="2" t="s">
        <v>136</v>
      </c>
      <c r="AA47" s="2" t="s">
        <v>1</v>
      </c>
      <c r="AB47" s="2" t="s">
        <v>1</v>
      </c>
      <c r="AC47" s="2" t="s">
        <v>1</v>
      </c>
    </row>
    <row r="48" spans="1:29" x14ac:dyDescent="0.4">
      <c r="A48" s="2" t="s">
        <v>563</v>
      </c>
      <c r="B48" s="2" t="s">
        <v>313</v>
      </c>
      <c r="C48" s="2" t="s">
        <v>314</v>
      </c>
      <c r="D48" s="2" t="s">
        <v>576</v>
      </c>
      <c r="E48" s="2" t="s">
        <v>1</v>
      </c>
      <c r="F48" s="2" t="s">
        <v>317</v>
      </c>
      <c r="G48" s="2" t="s">
        <v>133</v>
      </c>
      <c r="H48" s="2" t="s">
        <v>318</v>
      </c>
      <c r="I48" s="2" t="s">
        <v>135</v>
      </c>
      <c r="K48" s="2" t="s">
        <v>136</v>
      </c>
      <c r="L48" s="2" t="s">
        <v>1</v>
      </c>
      <c r="M48" s="2" t="s">
        <v>1</v>
      </c>
      <c r="N48" s="2" t="s">
        <v>311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319</v>
      </c>
      <c r="T48" s="2" t="s">
        <v>1</v>
      </c>
      <c r="U48" s="2" t="s">
        <v>1</v>
      </c>
      <c r="V48" s="2" t="s">
        <v>464</v>
      </c>
      <c r="W48" s="2" t="s">
        <v>1</v>
      </c>
      <c r="X48" s="2" t="s">
        <v>136</v>
      </c>
      <c r="Z48" s="2" t="s">
        <v>136</v>
      </c>
      <c r="AA48" s="2" t="s">
        <v>1</v>
      </c>
      <c r="AB48" s="2" t="s">
        <v>1</v>
      </c>
      <c r="AC48" s="2" t="s">
        <v>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B824-72FB-4808-90C8-CD5EB811E810}">
  <sheetPr codeName="Sheet4"/>
  <dimension ref="A1:C54"/>
  <sheetViews>
    <sheetView workbookViewId="0">
      <selection activeCell="A2" sqref="A2"/>
    </sheetView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592</v>
      </c>
    </row>
    <row r="3" spans="1:1" x14ac:dyDescent="0.4">
      <c r="A3" s="2" t="s">
        <v>40</v>
      </c>
    </row>
    <row r="11" spans="1:1" x14ac:dyDescent="0.4">
      <c r="A11" s="2" t="s">
        <v>385</v>
      </c>
    </row>
    <row r="12" spans="1:1" x14ac:dyDescent="0.4">
      <c r="A12" s="2" t="s">
        <v>40</v>
      </c>
    </row>
    <row r="13" spans="1:1" x14ac:dyDescent="0.4">
      <c r="A13" s="2" t="s">
        <v>462</v>
      </c>
    </row>
    <row r="14" spans="1:1" x14ac:dyDescent="0.4">
      <c r="A14" s="2" t="s">
        <v>228</v>
      </c>
    </row>
    <row r="15" spans="1:1" x14ac:dyDescent="0.4">
      <c r="A15" s="2" t="s">
        <v>462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461</v>
      </c>
    </row>
    <row r="20" spans="1:3" x14ac:dyDescent="0.4">
      <c r="A20" s="2" t="s">
        <v>1</v>
      </c>
    </row>
    <row r="31" spans="1:3" x14ac:dyDescent="0.4">
      <c r="A31" s="2" t="s">
        <v>379</v>
      </c>
      <c r="B31" s="2" t="s">
        <v>380</v>
      </c>
      <c r="C31" s="2" t="s">
        <v>2</v>
      </c>
    </row>
    <row r="32" spans="1:3" x14ac:dyDescent="0.4">
      <c r="A32" s="2" t="s">
        <v>290</v>
      </c>
      <c r="B32" s="2" t="s">
        <v>292</v>
      </c>
      <c r="C32" s="2"/>
    </row>
    <row r="33" spans="1:3" x14ac:dyDescent="0.4">
      <c r="A33" s="2" t="s">
        <v>472</v>
      </c>
      <c r="B33" s="2"/>
      <c r="C33" s="2"/>
    </row>
    <row r="34" spans="1:3" x14ac:dyDescent="0.4">
      <c r="A34" s="2" t="s">
        <v>449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642</v>
      </c>
    </row>
    <row r="51" spans="1:1" x14ac:dyDescent="0.4">
      <c r="A51" s="2" t="s">
        <v>646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71E6-FBB6-4C4B-B318-8F1758D7165B}">
  <sheetPr codeName="Sheet5"/>
  <dimension ref="A1:AA40"/>
  <sheetViews>
    <sheetView tabSelected="1" view="pageBreakPreview" zoomScale="85" zoomScaleNormal="70" zoomScaleSheetLayoutView="85" workbookViewId="0">
      <selection activeCell="I10" sqref="I10"/>
    </sheetView>
  </sheetViews>
  <sheetFormatPr defaultRowHeight="18.75" x14ac:dyDescent="0.4"/>
  <cols>
    <col min="1" max="1" width="9.375" style="23" customWidth="1"/>
    <col min="2" max="2" width="5.75" style="23" customWidth="1"/>
    <col min="3" max="4" width="3.125" style="23" customWidth="1"/>
    <col min="5" max="5" width="3.625" style="23" customWidth="1"/>
    <col min="6" max="9" width="4.625" style="23" customWidth="1"/>
    <col min="10" max="10" width="10.125" style="23" customWidth="1"/>
    <col min="11" max="11" width="6.625" style="23" customWidth="1"/>
    <col min="12" max="12" width="4.375" style="23" customWidth="1"/>
    <col min="13" max="13" width="4.625" style="23" customWidth="1"/>
    <col min="14" max="14" width="4.375" style="23" customWidth="1"/>
    <col min="15" max="15" width="2.5" style="23" customWidth="1"/>
    <col min="16" max="16" width="2.625" style="23" customWidth="1"/>
    <col min="17" max="17" width="5.625" style="23" customWidth="1"/>
    <col min="18" max="18" width="6.625" style="23" customWidth="1"/>
    <col min="19" max="27" width="9" style="23" hidden="1" customWidth="1"/>
    <col min="28" max="28" width="0.125" style="23" customWidth="1"/>
    <col min="29" max="29" width="1.625" style="23" customWidth="1"/>
    <col min="30" max="16384" width="9" style="23"/>
  </cols>
  <sheetData>
    <row r="1" spans="1:27" s="4" customFormat="1" ht="10.5" customHeight="1" x14ac:dyDescent="0.4">
      <c r="G1" s="30" t="s">
        <v>643</v>
      </c>
      <c r="H1" s="30"/>
      <c r="I1" s="30"/>
      <c r="J1" s="30"/>
      <c r="K1" s="30"/>
      <c r="L1" s="30"/>
    </row>
    <row r="2" spans="1:27" s="6" customFormat="1" ht="31.5" customHeight="1" x14ac:dyDescent="0.4">
      <c r="A2" s="29"/>
      <c r="B2" s="29"/>
      <c r="C2" s="29"/>
      <c r="D2" s="29"/>
      <c r="E2" s="29"/>
      <c r="F2" s="29"/>
      <c r="G2" s="31"/>
      <c r="H2" s="31"/>
      <c r="I2" s="31"/>
      <c r="J2" s="31"/>
      <c r="K2" s="31"/>
      <c r="L2" s="31"/>
      <c r="M2" s="29"/>
      <c r="N2" s="29"/>
      <c r="O2" s="29"/>
      <c r="P2" s="29"/>
      <c r="Q2" s="29"/>
      <c r="R2" s="29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ht="13.5" customHeight="1" x14ac:dyDescent="0.4">
      <c r="A3" s="7" t="s">
        <v>7</v>
      </c>
      <c r="B3" s="41" t="s">
        <v>475</v>
      </c>
      <c r="C3" s="41"/>
      <c r="D3" s="41"/>
      <c r="E3" s="41"/>
      <c r="F3" s="41"/>
      <c r="G3" s="41"/>
      <c r="H3" s="36" t="s">
        <v>26</v>
      </c>
      <c r="I3" s="37"/>
      <c r="J3" s="40" t="s">
        <v>484</v>
      </c>
      <c r="K3" s="40"/>
      <c r="L3" s="43" t="s">
        <v>30</v>
      </c>
      <c r="M3" s="45" t="s">
        <v>482</v>
      </c>
      <c r="N3" s="44" t="s">
        <v>31</v>
      </c>
      <c r="O3" s="63" t="s">
        <v>486</v>
      </c>
      <c r="P3" s="64"/>
      <c r="Q3" s="43" t="s">
        <v>32</v>
      </c>
      <c r="R3" s="53" t="s">
        <v>488</v>
      </c>
      <c r="S3" s="8"/>
      <c r="T3" s="8"/>
      <c r="U3" s="8"/>
      <c r="V3" s="8"/>
      <c r="W3" s="8"/>
      <c r="X3" s="8"/>
      <c r="Y3" s="8"/>
      <c r="Z3" s="8"/>
      <c r="AA3" s="8"/>
    </row>
    <row r="4" spans="1:27" s="4" customFormat="1" ht="25.5" customHeight="1" x14ac:dyDescent="0.4">
      <c r="A4" s="9" t="s">
        <v>9</v>
      </c>
      <c r="B4" s="42" t="s">
        <v>477</v>
      </c>
      <c r="C4" s="42"/>
      <c r="D4" s="42"/>
      <c r="E4" s="42"/>
      <c r="F4" s="42"/>
      <c r="G4" s="42"/>
      <c r="H4" s="38"/>
      <c r="I4" s="39"/>
      <c r="J4" s="40"/>
      <c r="K4" s="40"/>
      <c r="L4" s="43"/>
      <c r="M4" s="45"/>
      <c r="N4" s="44"/>
      <c r="O4" s="65"/>
      <c r="P4" s="66"/>
      <c r="Q4" s="43"/>
      <c r="R4" s="53"/>
      <c r="S4" s="8"/>
      <c r="T4" s="8"/>
      <c r="U4" s="8"/>
      <c r="V4" s="8"/>
      <c r="W4" s="8"/>
      <c r="X4" s="8"/>
      <c r="Y4" s="8"/>
      <c r="Z4" s="8"/>
      <c r="AA4" s="8"/>
    </row>
    <row r="5" spans="1:27" s="4" customFormat="1" ht="19.5" customHeight="1" x14ac:dyDescent="0.4">
      <c r="A5" s="9" t="s">
        <v>8</v>
      </c>
      <c r="B5" s="33" t="str">
        <f>REPLACE(S5, 4, 0, "-")</f>
        <v>##患-者情報.本人情報.郵便番号</v>
      </c>
      <c r="C5" s="34"/>
      <c r="D5" s="34"/>
      <c r="E5" s="35"/>
      <c r="F5" s="54" t="s">
        <v>479</v>
      </c>
      <c r="G5" s="55"/>
      <c r="H5" s="55"/>
      <c r="I5" s="55"/>
      <c r="J5" s="55"/>
      <c r="K5" s="55"/>
      <c r="L5" s="55"/>
      <c r="M5" s="56"/>
      <c r="N5" s="32" t="s">
        <v>33</v>
      </c>
      <c r="O5" s="32"/>
      <c r="P5" s="33" t="s">
        <v>490</v>
      </c>
      <c r="Q5" s="34"/>
      <c r="R5" s="35"/>
      <c r="S5" s="10" t="s">
        <v>480</v>
      </c>
      <c r="T5" s="8"/>
      <c r="U5" s="8"/>
      <c r="V5" s="8"/>
      <c r="W5" s="8"/>
      <c r="X5" s="8"/>
      <c r="Y5" s="8"/>
      <c r="Z5" s="8"/>
      <c r="AA5" s="8"/>
    </row>
    <row r="6" spans="1:27" s="4" customFormat="1" ht="19.5" customHeight="1" x14ac:dyDescent="0.4">
      <c r="A6" s="32" t="s">
        <v>10</v>
      </c>
      <c r="B6" s="32"/>
      <c r="C6" s="36" t="s">
        <v>25</v>
      </c>
      <c r="D6" s="48"/>
      <c r="E6" s="37"/>
      <c r="F6" s="54" t="str">
        <f>REPLACE(S6, 4, 0, "-")</f>
        <v>##患-者情報.連絡先.郵便番号</v>
      </c>
      <c r="G6" s="55"/>
      <c r="H6" s="55"/>
      <c r="I6" s="55"/>
      <c r="J6" s="55"/>
      <c r="K6" s="55"/>
      <c r="L6" s="55"/>
      <c r="M6" s="56"/>
      <c r="N6" s="43" t="s">
        <v>33</v>
      </c>
      <c r="O6" s="43"/>
      <c r="P6" s="57" t="s">
        <v>497</v>
      </c>
      <c r="Q6" s="58"/>
      <c r="R6" s="59"/>
      <c r="S6" s="10" t="s">
        <v>493</v>
      </c>
      <c r="T6" s="8"/>
      <c r="U6" s="8"/>
      <c r="V6" s="8"/>
      <c r="W6" s="8"/>
      <c r="X6" s="8"/>
      <c r="Y6" s="8"/>
      <c r="Z6" s="8"/>
      <c r="AA6" s="8"/>
    </row>
    <row r="7" spans="1:27" s="4" customFormat="1" ht="19.5" customHeight="1" x14ac:dyDescent="0.4">
      <c r="A7" s="46" t="s">
        <v>492</v>
      </c>
      <c r="B7" s="47"/>
      <c r="C7" s="38"/>
      <c r="D7" s="49"/>
      <c r="E7" s="39"/>
      <c r="F7" s="54" t="s">
        <v>495</v>
      </c>
      <c r="G7" s="55"/>
      <c r="H7" s="55"/>
      <c r="I7" s="55"/>
      <c r="J7" s="55"/>
      <c r="K7" s="55"/>
      <c r="L7" s="55"/>
      <c r="M7" s="56"/>
      <c r="N7" s="43"/>
      <c r="O7" s="43"/>
      <c r="P7" s="60"/>
      <c r="Q7" s="61"/>
      <c r="R7" s="62"/>
      <c r="S7" s="8"/>
      <c r="T7" s="8"/>
      <c r="U7" s="8"/>
      <c r="V7" s="8"/>
      <c r="W7" s="8"/>
      <c r="X7" s="8"/>
      <c r="Y7" s="8"/>
      <c r="Z7" s="8"/>
      <c r="AA7" s="8"/>
    </row>
    <row r="8" spans="1:27" s="4" customFormat="1" ht="19.5" customHeight="1" x14ac:dyDescent="0.4">
      <c r="A8" s="9" t="s">
        <v>11</v>
      </c>
      <c r="B8" s="50" t="s">
        <v>499</v>
      </c>
      <c r="C8" s="51"/>
      <c r="D8" s="51"/>
      <c r="E8" s="51"/>
      <c r="F8" s="51"/>
      <c r="G8" s="51"/>
      <c r="H8" s="51"/>
      <c r="I8" s="52"/>
      <c r="J8" s="32" t="s">
        <v>34</v>
      </c>
      <c r="K8" s="32"/>
      <c r="L8" s="32"/>
      <c r="M8" s="32"/>
      <c r="N8" s="32" t="s">
        <v>35</v>
      </c>
      <c r="O8" s="32"/>
      <c r="P8" s="32"/>
      <c r="Q8" s="32"/>
      <c r="R8" s="32"/>
      <c r="S8" s="8"/>
      <c r="T8" s="8"/>
      <c r="U8" s="8"/>
      <c r="V8" s="8"/>
      <c r="W8" s="8"/>
      <c r="X8" s="8"/>
      <c r="Y8" s="8"/>
      <c r="Z8" s="8"/>
      <c r="AA8" s="8"/>
    </row>
    <row r="9" spans="1:27" s="4" customFormat="1" ht="21.95" customHeight="1" x14ac:dyDescent="0.4">
      <c r="A9" s="9" t="s">
        <v>12</v>
      </c>
      <c r="B9" s="88" t="s">
        <v>86</v>
      </c>
      <c r="C9" s="89"/>
      <c r="D9" s="89"/>
      <c r="E9" s="89"/>
      <c r="F9" s="89"/>
      <c r="G9" s="11" t="s">
        <v>38</v>
      </c>
      <c r="H9" s="12"/>
      <c r="I9" s="13"/>
      <c r="J9" s="76" t="str">
        <f>S9&amp;" "&amp;T9</f>
        <v>##患者情報.感染症(+)(-).感染症 ##患者情報.感染症(+)(-).感染症結果</v>
      </c>
      <c r="K9" s="77"/>
      <c r="L9" s="77"/>
      <c r="M9" s="78"/>
      <c r="N9" s="70" t="s">
        <v>501</v>
      </c>
      <c r="O9" s="71"/>
      <c r="P9" s="71"/>
      <c r="Q9" s="71"/>
      <c r="R9" s="72"/>
      <c r="S9" s="10" t="s">
        <v>122</v>
      </c>
      <c r="T9" s="10" t="s">
        <v>593</v>
      </c>
      <c r="U9" s="8"/>
      <c r="V9" s="8"/>
      <c r="W9" s="8"/>
      <c r="X9" s="8"/>
      <c r="Y9" s="8"/>
      <c r="Z9" s="8"/>
      <c r="AA9" s="8"/>
    </row>
    <row r="10" spans="1:27" s="4" customFormat="1" ht="21.95" customHeight="1" x14ac:dyDescent="0.4">
      <c r="A10" s="32" t="s">
        <v>13</v>
      </c>
      <c r="B10" s="111" t="s">
        <v>503</v>
      </c>
      <c r="C10" s="113" t="s">
        <v>24</v>
      </c>
      <c r="D10" s="90" t="s">
        <v>37</v>
      </c>
      <c r="E10" s="90"/>
      <c r="F10" s="90"/>
      <c r="G10" s="118" t="s">
        <v>624</v>
      </c>
      <c r="H10" s="118"/>
      <c r="I10" s="14" t="s">
        <v>95</v>
      </c>
      <c r="J10" s="76" t="str">
        <f t="shared" ref="J10:J15" si="0">S10&amp;" "&amp;T10</f>
        <v xml:space="preserve"> </v>
      </c>
      <c r="K10" s="77"/>
      <c r="L10" s="77"/>
      <c r="M10" s="78"/>
      <c r="N10" s="73"/>
      <c r="O10" s="74"/>
      <c r="P10" s="74"/>
      <c r="Q10" s="74"/>
      <c r="R10" s="75"/>
      <c r="S10" s="15"/>
      <c r="T10" s="15"/>
      <c r="U10" s="8"/>
      <c r="V10" s="8"/>
      <c r="W10" s="8"/>
      <c r="X10" s="8"/>
      <c r="Y10" s="8"/>
      <c r="Z10" s="8"/>
      <c r="AA10" s="8"/>
    </row>
    <row r="11" spans="1:27" s="4" customFormat="1" ht="21.95" customHeight="1" x14ac:dyDescent="0.4">
      <c r="A11" s="32"/>
      <c r="B11" s="112"/>
      <c r="C11" s="113"/>
      <c r="D11" s="116" t="s">
        <v>626</v>
      </c>
      <c r="E11" s="117"/>
      <c r="F11" s="117"/>
      <c r="G11" s="117"/>
      <c r="H11" s="117"/>
      <c r="I11" s="14" t="s">
        <v>94</v>
      </c>
      <c r="J11" s="76" t="str">
        <f t="shared" si="0"/>
        <v xml:space="preserve"> </v>
      </c>
      <c r="K11" s="77"/>
      <c r="L11" s="77"/>
      <c r="M11" s="78"/>
      <c r="N11" s="73"/>
      <c r="O11" s="74"/>
      <c r="P11" s="74"/>
      <c r="Q11" s="74"/>
      <c r="R11" s="75"/>
      <c r="S11" s="15"/>
      <c r="T11" s="15"/>
      <c r="U11" s="8"/>
      <c r="V11" s="8"/>
      <c r="W11" s="8"/>
      <c r="X11" s="8"/>
      <c r="Y11" s="8"/>
      <c r="Z11" s="8"/>
      <c r="AA11" s="8"/>
    </row>
    <row r="12" spans="1:27" s="4" customFormat="1" ht="21.95" customHeight="1" x14ac:dyDescent="0.4">
      <c r="A12" s="9" t="s">
        <v>14</v>
      </c>
      <c r="B12" s="33" t="s">
        <v>431</v>
      </c>
      <c r="C12" s="34"/>
      <c r="D12" s="34"/>
      <c r="E12" s="34"/>
      <c r="F12" s="34"/>
      <c r="G12" s="34"/>
      <c r="H12" s="34"/>
      <c r="I12" s="16"/>
      <c r="J12" s="76" t="str">
        <f t="shared" si="0"/>
        <v xml:space="preserve"> </v>
      </c>
      <c r="K12" s="77"/>
      <c r="L12" s="77"/>
      <c r="M12" s="78"/>
      <c r="N12" s="73"/>
      <c r="O12" s="74"/>
      <c r="P12" s="74"/>
      <c r="Q12" s="74"/>
      <c r="R12" s="75"/>
      <c r="S12" s="15"/>
      <c r="T12" s="15"/>
      <c r="U12" s="8"/>
      <c r="V12" s="8"/>
      <c r="W12" s="8"/>
      <c r="X12" s="8"/>
      <c r="Y12" s="8"/>
      <c r="Z12" s="8"/>
      <c r="AA12" s="8"/>
    </row>
    <row r="13" spans="1:27" s="4" customFormat="1" ht="21.95" customHeight="1" x14ac:dyDescent="0.4">
      <c r="A13" s="9" t="s">
        <v>15</v>
      </c>
      <c r="B13" s="114" t="str" cm="1">
        <f t="array" ref="B13">_xlfn.TEXTJOIN("・", TRUE, IF(V13:Z13&lt;&gt;"", V13:Z13, ""))</f>
        <v>#・#・指・示・.</v>
      </c>
      <c r="C13" s="115"/>
      <c r="D13" s="115"/>
      <c r="E13" s="17" t="s">
        <v>93</v>
      </c>
      <c r="F13" s="18" t="s">
        <v>97</v>
      </c>
      <c r="G13" s="12" t="s">
        <v>92</v>
      </c>
      <c r="H13" s="19" t="s">
        <v>428</v>
      </c>
      <c r="I13" s="20" t="s">
        <v>91</v>
      </c>
      <c r="J13" s="76" t="str">
        <f t="shared" si="0"/>
        <v xml:space="preserve"> </v>
      </c>
      <c r="K13" s="77"/>
      <c r="L13" s="77"/>
      <c r="M13" s="78"/>
      <c r="N13" s="73"/>
      <c r="O13" s="74"/>
      <c r="P13" s="74"/>
      <c r="Q13" s="74"/>
      <c r="R13" s="75"/>
      <c r="S13" s="15"/>
      <c r="T13" s="15"/>
      <c r="U13" s="21" t="s">
        <v>98</v>
      </c>
      <c r="V13" s="15" t="str">
        <f>IF(LEN($U13) &gt;= 1, MID($U13, 1, 1), "")</f>
        <v>#</v>
      </c>
      <c r="W13" s="15" t="str">
        <f>IF(LEN($U13) &gt;= 2, MID($U13, 2, 1), "")</f>
        <v>#</v>
      </c>
      <c r="X13" s="15" t="str">
        <f>IF(LEN($U13) &gt;= 3, MID($U13, 3, 1), "")</f>
        <v>指</v>
      </c>
      <c r="Y13" s="15" t="str">
        <f>IF(LEN($U13) &gt;= 4, MID($U13, 4, 1), "")</f>
        <v>示</v>
      </c>
      <c r="Z13" s="15" t="str">
        <f>IF(LEN($U13) &gt;= 5, MID($U13, 5, 1), "")</f>
        <v>.</v>
      </c>
      <c r="AA13" s="8"/>
    </row>
    <row r="14" spans="1:27" s="4" customFormat="1" ht="21.95" customHeight="1" x14ac:dyDescent="0.4">
      <c r="A14" s="9" t="s">
        <v>16</v>
      </c>
      <c r="B14" s="46" t="s">
        <v>99</v>
      </c>
      <c r="C14" s="93"/>
      <c r="D14" s="93"/>
      <c r="E14" s="93"/>
      <c r="F14" s="93"/>
      <c r="G14" s="94"/>
      <c r="H14" s="94"/>
      <c r="I14" s="95"/>
      <c r="J14" s="76" t="str">
        <f t="shared" si="0"/>
        <v xml:space="preserve"> </v>
      </c>
      <c r="K14" s="77"/>
      <c r="L14" s="77"/>
      <c r="M14" s="78"/>
      <c r="N14" s="73"/>
      <c r="O14" s="74"/>
      <c r="P14" s="74"/>
      <c r="Q14" s="74"/>
      <c r="R14" s="75"/>
      <c r="S14" s="15"/>
      <c r="T14" s="15"/>
      <c r="U14" s="8"/>
      <c r="V14" s="8"/>
      <c r="W14" s="8"/>
      <c r="X14" s="8"/>
      <c r="Y14" s="8"/>
      <c r="Z14" s="8"/>
      <c r="AA14" s="8"/>
    </row>
    <row r="15" spans="1:27" s="4" customFormat="1" ht="21.95" customHeight="1" x14ac:dyDescent="0.4">
      <c r="A15" s="9" t="s">
        <v>17</v>
      </c>
      <c r="B15" s="88" t="s">
        <v>102</v>
      </c>
      <c r="C15" s="89"/>
      <c r="D15" s="89"/>
      <c r="E15" s="89"/>
      <c r="F15" s="89"/>
      <c r="G15" s="55" t="s">
        <v>106</v>
      </c>
      <c r="H15" s="55"/>
      <c r="I15" s="56"/>
      <c r="J15" s="76" t="str">
        <f t="shared" si="0"/>
        <v xml:space="preserve"> </v>
      </c>
      <c r="K15" s="77"/>
      <c r="L15" s="77"/>
      <c r="M15" s="78"/>
      <c r="N15" s="73"/>
      <c r="O15" s="74"/>
      <c r="P15" s="74"/>
      <c r="Q15" s="74"/>
      <c r="R15" s="75"/>
      <c r="S15" s="15"/>
      <c r="T15" s="15"/>
      <c r="U15" s="8"/>
      <c r="V15" s="8"/>
      <c r="W15" s="8"/>
      <c r="X15" s="8"/>
      <c r="Y15" s="8"/>
      <c r="Z15" s="8"/>
      <c r="AA15" s="8"/>
    </row>
    <row r="16" spans="1:27" s="4" customFormat="1" ht="21.95" customHeight="1" x14ac:dyDescent="0.4">
      <c r="A16" s="9" t="s">
        <v>18</v>
      </c>
      <c r="B16" s="88" t="s">
        <v>103</v>
      </c>
      <c r="C16" s="89"/>
      <c r="D16" s="89"/>
      <c r="E16" s="89"/>
      <c r="F16" s="89"/>
      <c r="G16" s="55" t="s">
        <v>105</v>
      </c>
      <c r="H16" s="55"/>
      <c r="I16" s="56"/>
      <c r="J16" s="9" t="s">
        <v>27</v>
      </c>
      <c r="K16" s="54" t="s">
        <v>125</v>
      </c>
      <c r="L16" s="55"/>
      <c r="M16" s="56"/>
      <c r="N16" s="79"/>
      <c r="O16" s="80"/>
      <c r="P16" s="80"/>
      <c r="Q16" s="80"/>
      <c r="R16" s="81"/>
      <c r="S16" s="15"/>
      <c r="T16" s="15"/>
      <c r="U16" s="8"/>
      <c r="V16" s="8"/>
      <c r="W16" s="8"/>
      <c r="X16" s="8"/>
      <c r="Y16" s="8"/>
      <c r="Z16" s="8"/>
      <c r="AA16" s="8"/>
    </row>
    <row r="17" spans="1:27" s="4" customFormat="1" ht="19.5" customHeight="1" x14ac:dyDescent="0.4">
      <c r="A17" s="9" t="s">
        <v>19</v>
      </c>
      <c r="B17" s="54" t="s">
        <v>107</v>
      </c>
      <c r="C17" s="55"/>
      <c r="D17" s="55"/>
      <c r="E17" s="55"/>
      <c r="F17" s="55"/>
      <c r="G17" s="55"/>
      <c r="H17" s="55"/>
      <c r="I17" s="56"/>
      <c r="J17" s="7" t="s">
        <v>28</v>
      </c>
      <c r="K17" s="67" t="s">
        <v>128</v>
      </c>
      <c r="L17" s="68"/>
      <c r="M17" s="69"/>
      <c r="N17" s="82" t="s">
        <v>36</v>
      </c>
      <c r="O17" s="83"/>
      <c r="P17" s="84"/>
      <c r="Q17" s="67" t="s">
        <v>130</v>
      </c>
      <c r="R17" s="69"/>
      <c r="S17" s="8"/>
      <c r="T17" s="8"/>
      <c r="U17" s="8"/>
      <c r="V17" s="8"/>
      <c r="W17" s="8"/>
      <c r="X17" s="8"/>
      <c r="Y17" s="8"/>
      <c r="Z17" s="8"/>
      <c r="AA17" s="8"/>
    </row>
    <row r="18" spans="1:27" s="4" customFormat="1" ht="19.5" customHeight="1" x14ac:dyDescent="0.4">
      <c r="A18" s="9" t="s">
        <v>20</v>
      </c>
      <c r="B18" s="109" t="s">
        <v>108</v>
      </c>
      <c r="C18" s="110"/>
      <c r="D18" s="110"/>
      <c r="E18" s="110"/>
      <c r="F18" s="110"/>
      <c r="G18" s="55" t="s">
        <v>39</v>
      </c>
      <c r="H18" s="55"/>
      <c r="I18" s="56"/>
      <c r="J18" s="9" t="s">
        <v>29</v>
      </c>
      <c r="K18" s="54" t="s">
        <v>126</v>
      </c>
      <c r="L18" s="55"/>
      <c r="M18" s="55"/>
      <c r="N18" s="55"/>
      <c r="O18" s="55"/>
      <c r="P18" s="55"/>
      <c r="Q18" s="55"/>
      <c r="R18" s="56"/>
      <c r="S18" s="8"/>
      <c r="T18" s="8"/>
      <c r="U18" s="8"/>
      <c r="V18" s="8"/>
      <c r="W18" s="8"/>
      <c r="X18" s="8"/>
      <c r="Y18" s="8"/>
      <c r="Z18" s="8"/>
      <c r="AA18" s="8"/>
    </row>
    <row r="19" spans="1:27" s="4" customFormat="1" ht="15.95" customHeight="1" x14ac:dyDescent="0.4">
      <c r="A19" s="107" t="s">
        <v>21</v>
      </c>
      <c r="B19" s="108"/>
      <c r="C19" s="12"/>
      <c r="D19" s="12"/>
      <c r="E19" s="12"/>
      <c r="F19" s="12"/>
      <c r="G19" s="12"/>
      <c r="H19" s="12"/>
      <c r="I19" s="13"/>
      <c r="J19" s="85" t="s">
        <v>402</v>
      </c>
      <c r="K19" s="85"/>
      <c r="L19" s="85"/>
      <c r="M19" s="85"/>
      <c r="N19" s="85"/>
      <c r="O19" s="85"/>
      <c r="P19" s="85"/>
      <c r="Q19" s="85"/>
      <c r="R19" s="85"/>
      <c r="S19" s="8"/>
      <c r="T19" s="8"/>
      <c r="U19" s="8"/>
      <c r="V19" s="8"/>
      <c r="W19" s="8"/>
      <c r="X19" s="8"/>
      <c r="Y19" s="8"/>
      <c r="Z19" s="8"/>
      <c r="AA19" s="8"/>
    </row>
    <row r="20" spans="1:27" s="4" customFormat="1" ht="15.95" customHeight="1" x14ac:dyDescent="0.4">
      <c r="A20" s="85" t="s">
        <v>22</v>
      </c>
      <c r="B20" s="85"/>
      <c r="C20" s="91" t="s">
        <v>374</v>
      </c>
      <c r="D20" s="119"/>
      <c r="E20" s="92"/>
      <c r="F20" s="91"/>
      <c r="G20" s="92"/>
      <c r="H20" s="91"/>
      <c r="I20" s="92"/>
      <c r="J20" s="85"/>
      <c r="K20" s="85"/>
      <c r="L20" s="85"/>
      <c r="M20" s="85"/>
      <c r="N20" s="85"/>
      <c r="O20" s="85"/>
      <c r="P20" s="85"/>
      <c r="Q20" s="85"/>
      <c r="R20" s="85"/>
      <c r="S20" s="8"/>
      <c r="T20" s="8"/>
      <c r="U20" s="8"/>
      <c r="V20" s="8"/>
      <c r="W20" s="8"/>
      <c r="X20" s="8"/>
      <c r="Y20" s="8"/>
      <c r="Z20" s="8"/>
      <c r="AA20" s="8"/>
    </row>
    <row r="21" spans="1:27" s="4" customFormat="1" ht="15.95" customHeight="1" x14ac:dyDescent="0.4">
      <c r="A21" s="33" t="s">
        <v>373</v>
      </c>
      <c r="B21" s="35"/>
      <c r="C21" s="120" t="s">
        <v>375</v>
      </c>
      <c r="D21" s="121"/>
      <c r="E21" s="122"/>
      <c r="F21" s="86"/>
      <c r="G21" s="87"/>
      <c r="H21" s="86"/>
      <c r="I21" s="87"/>
      <c r="J21" s="85"/>
      <c r="K21" s="85"/>
      <c r="L21" s="85"/>
      <c r="M21" s="85"/>
      <c r="N21" s="85"/>
      <c r="O21" s="85"/>
      <c r="P21" s="85"/>
      <c r="Q21" s="85"/>
      <c r="R21" s="85"/>
      <c r="S21" s="8"/>
      <c r="T21" s="8"/>
      <c r="U21" s="8"/>
      <c r="V21" s="8"/>
      <c r="W21" s="8"/>
      <c r="X21" s="8"/>
      <c r="Y21" s="8"/>
      <c r="Z21" s="8"/>
      <c r="AA21" s="8"/>
    </row>
    <row r="22" spans="1:27" s="4" customFormat="1" ht="15.95" customHeight="1" x14ac:dyDescent="0.4">
      <c r="A22" s="33"/>
      <c r="B22" s="35"/>
      <c r="C22" s="86"/>
      <c r="D22" s="96"/>
      <c r="E22" s="87"/>
      <c r="F22" s="86"/>
      <c r="G22" s="87"/>
      <c r="H22" s="86"/>
      <c r="I22" s="87"/>
      <c r="J22" s="85"/>
      <c r="K22" s="85"/>
      <c r="L22" s="85"/>
      <c r="M22" s="85"/>
      <c r="N22" s="85"/>
      <c r="O22" s="85"/>
      <c r="P22" s="85"/>
      <c r="Q22" s="85"/>
      <c r="R22" s="85"/>
      <c r="S22" s="8"/>
      <c r="T22" s="8"/>
      <c r="U22" s="8"/>
      <c r="V22" s="8"/>
      <c r="W22" s="8"/>
      <c r="X22" s="8"/>
      <c r="Y22" s="8"/>
      <c r="Z22" s="8"/>
      <c r="AA22" s="8"/>
    </row>
    <row r="23" spans="1:27" s="4" customFormat="1" ht="15.95" customHeight="1" x14ac:dyDescent="0.4">
      <c r="A23" s="33"/>
      <c r="B23" s="35"/>
      <c r="C23" s="86"/>
      <c r="D23" s="96"/>
      <c r="E23" s="87"/>
      <c r="F23" s="86"/>
      <c r="G23" s="87"/>
      <c r="H23" s="86"/>
      <c r="I23" s="87"/>
      <c r="J23" s="85"/>
      <c r="K23" s="85"/>
      <c r="L23" s="85"/>
      <c r="M23" s="85"/>
      <c r="N23" s="85"/>
      <c r="O23" s="85"/>
      <c r="P23" s="85"/>
      <c r="Q23" s="85"/>
      <c r="R23" s="85"/>
      <c r="S23" s="8"/>
      <c r="T23" s="8"/>
      <c r="U23" s="8"/>
      <c r="V23" s="8"/>
      <c r="W23" s="8"/>
      <c r="X23" s="8"/>
      <c r="Y23" s="8"/>
      <c r="Z23" s="8"/>
      <c r="AA23" s="8"/>
    </row>
    <row r="24" spans="1:27" s="4" customFormat="1" ht="15.95" customHeight="1" x14ac:dyDescent="0.4">
      <c r="A24" s="33"/>
      <c r="B24" s="35"/>
      <c r="C24" s="86"/>
      <c r="D24" s="96"/>
      <c r="E24" s="87"/>
      <c r="F24" s="86"/>
      <c r="G24" s="87"/>
      <c r="H24" s="86"/>
      <c r="I24" s="87"/>
      <c r="J24" s="85"/>
      <c r="K24" s="85"/>
      <c r="L24" s="85"/>
      <c r="M24" s="85"/>
      <c r="N24" s="85"/>
      <c r="O24" s="85"/>
      <c r="P24" s="85"/>
      <c r="Q24" s="85"/>
      <c r="R24" s="85"/>
      <c r="S24" s="8"/>
      <c r="T24" s="8"/>
      <c r="U24" s="8"/>
      <c r="V24" s="8"/>
      <c r="W24" s="8"/>
      <c r="X24" s="8"/>
      <c r="Y24" s="8"/>
      <c r="Z24" s="8"/>
      <c r="AA24" s="8"/>
    </row>
    <row r="25" spans="1:27" s="4" customFormat="1" ht="15.95" customHeight="1" x14ac:dyDescent="0.4">
      <c r="A25" s="33"/>
      <c r="B25" s="35"/>
      <c r="C25" s="86"/>
      <c r="D25" s="96"/>
      <c r="E25" s="87"/>
      <c r="F25" s="86"/>
      <c r="G25" s="87"/>
      <c r="H25" s="86"/>
      <c r="I25" s="87"/>
      <c r="J25" s="85"/>
      <c r="K25" s="85"/>
      <c r="L25" s="85"/>
      <c r="M25" s="85"/>
      <c r="N25" s="85"/>
      <c r="O25" s="85"/>
      <c r="P25" s="85"/>
      <c r="Q25" s="85"/>
      <c r="R25" s="85"/>
      <c r="S25" s="8"/>
      <c r="T25" s="8"/>
      <c r="U25" s="8"/>
      <c r="V25" s="8"/>
      <c r="W25" s="8"/>
      <c r="X25" s="8"/>
      <c r="Y25" s="8"/>
      <c r="Z25" s="8"/>
      <c r="AA25" s="8"/>
    </row>
    <row r="26" spans="1:27" s="4" customFormat="1" ht="15.95" customHeight="1" x14ac:dyDescent="0.4">
      <c r="A26" s="33"/>
      <c r="B26" s="35"/>
      <c r="C26" s="86"/>
      <c r="D26" s="96"/>
      <c r="E26" s="87"/>
      <c r="F26" s="86"/>
      <c r="G26" s="87"/>
      <c r="H26" s="86"/>
      <c r="I26" s="87"/>
      <c r="J26" s="85"/>
      <c r="K26" s="85"/>
      <c r="L26" s="85"/>
      <c r="M26" s="85"/>
      <c r="N26" s="85"/>
      <c r="O26" s="85"/>
      <c r="P26" s="85"/>
      <c r="Q26" s="85"/>
      <c r="R26" s="85"/>
      <c r="S26" s="8"/>
      <c r="T26" s="8"/>
      <c r="U26" s="8"/>
      <c r="V26" s="8"/>
      <c r="W26" s="8"/>
      <c r="X26" s="8"/>
      <c r="Y26" s="8"/>
      <c r="Z26" s="8"/>
      <c r="AA26" s="8"/>
    </row>
    <row r="27" spans="1:27" s="4" customFormat="1" ht="15.95" customHeight="1" x14ac:dyDescent="0.4">
      <c r="A27" s="33"/>
      <c r="B27" s="35"/>
      <c r="C27" s="86"/>
      <c r="D27" s="96"/>
      <c r="E27" s="87"/>
      <c r="F27" s="86"/>
      <c r="G27" s="87"/>
      <c r="H27" s="86"/>
      <c r="I27" s="87"/>
      <c r="J27" s="85"/>
      <c r="K27" s="85"/>
      <c r="L27" s="85"/>
      <c r="M27" s="85"/>
      <c r="N27" s="85"/>
      <c r="O27" s="85"/>
      <c r="P27" s="85"/>
      <c r="Q27" s="85"/>
      <c r="R27" s="85"/>
      <c r="S27" s="8"/>
      <c r="T27" s="8"/>
      <c r="U27" s="8"/>
      <c r="V27" s="8"/>
      <c r="W27" s="8"/>
      <c r="X27" s="8"/>
      <c r="Y27" s="8"/>
      <c r="Z27" s="8"/>
      <c r="AA27" s="8"/>
    </row>
    <row r="28" spans="1:27" ht="90" customHeight="1" x14ac:dyDescent="0.4">
      <c r="A28" s="97"/>
      <c r="B28" s="98"/>
      <c r="C28" s="98"/>
      <c r="D28" s="98"/>
      <c r="E28" s="98"/>
      <c r="F28" s="98"/>
      <c r="G28" s="98"/>
      <c r="H28" s="98"/>
      <c r="I28" s="99"/>
      <c r="J28" s="85"/>
      <c r="K28" s="85"/>
      <c r="L28" s="85"/>
      <c r="M28" s="85"/>
      <c r="N28" s="85"/>
      <c r="O28" s="85"/>
      <c r="P28" s="85"/>
      <c r="Q28" s="85"/>
      <c r="R28" s="85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2.75" customHeight="1" x14ac:dyDescent="0.4">
      <c r="A29" s="24" t="s">
        <v>23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6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11" customHeight="1" x14ac:dyDescent="0.4">
      <c r="A30" s="103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5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0.5" customHeight="1" x14ac:dyDescent="0.4"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9.5" customHeight="1" x14ac:dyDescent="0.4">
      <c r="A32" s="4"/>
      <c r="B32" s="4"/>
      <c r="C32" s="4"/>
      <c r="D32" s="4"/>
      <c r="E32" s="4"/>
      <c r="F32" s="4"/>
      <c r="G32" s="4"/>
      <c r="H32" s="4"/>
      <c r="I32" s="27" t="s">
        <v>114</v>
      </c>
      <c r="J32" s="100" t="s">
        <v>553</v>
      </c>
      <c r="K32" s="100"/>
      <c r="L32" s="4"/>
      <c r="M32" s="4"/>
      <c r="N32" s="4"/>
      <c r="O32" s="4"/>
      <c r="P32" s="4"/>
      <c r="Q32" s="4"/>
      <c r="R32" s="4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9.5" customHeight="1" x14ac:dyDescent="0.4">
      <c r="A33" s="4"/>
      <c r="B33" s="4"/>
      <c r="C33" s="4"/>
      <c r="D33" s="4"/>
      <c r="E33" s="4"/>
      <c r="F33" s="4"/>
      <c r="G33" s="4"/>
      <c r="H33" s="4"/>
      <c r="I33" s="102" t="s">
        <v>560</v>
      </c>
      <c r="J33" s="102"/>
      <c r="K33" s="102"/>
      <c r="L33" s="102"/>
      <c r="M33" s="102"/>
      <c r="N33" s="102"/>
      <c r="O33" s="102"/>
      <c r="P33" s="102"/>
      <c r="Q33" s="102"/>
      <c r="R33" s="10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9.5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101" t="s">
        <v>558</v>
      </c>
      <c r="K34" s="101"/>
      <c r="L34" s="101"/>
      <c r="M34" s="101"/>
      <c r="N34" s="101"/>
      <c r="O34" s="101"/>
      <c r="P34" s="101"/>
      <c r="Q34" s="101"/>
      <c r="R34" s="101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9.5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27" t="s">
        <v>111</v>
      </c>
      <c r="L35" s="100" t="s">
        <v>556</v>
      </c>
      <c r="M35" s="100"/>
      <c r="N35" s="100"/>
      <c r="O35" s="100"/>
      <c r="P35" s="100"/>
      <c r="Q35" s="100"/>
      <c r="R35" s="4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9.5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27" t="s">
        <v>112</v>
      </c>
      <c r="L36" s="100" t="s">
        <v>554</v>
      </c>
      <c r="M36" s="100"/>
      <c r="N36" s="100"/>
      <c r="O36" s="100"/>
      <c r="P36" s="100"/>
      <c r="Q36" s="100"/>
      <c r="R36" s="4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9.5" customHeight="1" x14ac:dyDescent="0.4">
      <c r="A37" s="28" t="s">
        <v>110</v>
      </c>
      <c r="B37" s="106" t="s">
        <v>562</v>
      </c>
      <c r="C37" s="106"/>
      <c r="D37" s="106"/>
      <c r="E37" s="106"/>
      <c r="F37" s="106"/>
      <c r="G37" s="4"/>
      <c r="H37" s="4"/>
      <c r="I37" s="4"/>
      <c r="J37" s="4"/>
      <c r="K37" s="27" t="s">
        <v>113</v>
      </c>
      <c r="L37" s="100" t="s">
        <v>564</v>
      </c>
      <c r="M37" s="100"/>
      <c r="N37" s="100"/>
      <c r="O37" s="100"/>
      <c r="P37" s="100"/>
      <c r="Q37" s="100"/>
      <c r="R37" s="4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9.5" customHeight="1" x14ac:dyDescent="0.4"/>
    <row r="39" spans="1:27" ht="19.5" customHeight="1" x14ac:dyDescent="0.4"/>
    <row r="40" spans="1:27" ht="19.5" customHeight="1" x14ac:dyDescent="0.4"/>
  </sheetData>
  <mergeCells count="105">
    <mergeCell ref="B37:F37"/>
    <mergeCell ref="H22:I22"/>
    <mergeCell ref="A25:B25"/>
    <mergeCell ref="A26:B26"/>
    <mergeCell ref="F22:G22"/>
    <mergeCell ref="A19:B19"/>
    <mergeCell ref="B9:F9"/>
    <mergeCell ref="F20:G20"/>
    <mergeCell ref="B12:H12"/>
    <mergeCell ref="B18:F18"/>
    <mergeCell ref="A22:B22"/>
    <mergeCell ref="B10:B11"/>
    <mergeCell ref="C10:C11"/>
    <mergeCell ref="A20:B20"/>
    <mergeCell ref="A21:B21"/>
    <mergeCell ref="B13:D13"/>
    <mergeCell ref="D11:H11"/>
    <mergeCell ref="G10:H10"/>
    <mergeCell ref="H21:I21"/>
    <mergeCell ref="F21:G21"/>
    <mergeCell ref="C20:E20"/>
    <mergeCell ref="C21:E21"/>
    <mergeCell ref="L35:Q35"/>
    <mergeCell ref="L36:Q36"/>
    <mergeCell ref="L37:Q37"/>
    <mergeCell ref="J32:K32"/>
    <mergeCell ref="J34:R34"/>
    <mergeCell ref="I33:R33"/>
    <mergeCell ref="A30:R30"/>
    <mergeCell ref="H23:I23"/>
    <mergeCell ref="H24:I24"/>
    <mergeCell ref="H25:I25"/>
    <mergeCell ref="F26:G26"/>
    <mergeCell ref="F27:G27"/>
    <mergeCell ref="H26:I26"/>
    <mergeCell ref="H27:I27"/>
    <mergeCell ref="A23:B23"/>
    <mergeCell ref="A24:B24"/>
    <mergeCell ref="A27:B27"/>
    <mergeCell ref="F23:G23"/>
    <mergeCell ref="F24:G24"/>
    <mergeCell ref="C27:E27"/>
    <mergeCell ref="C23:E23"/>
    <mergeCell ref="C24:E24"/>
    <mergeCell ref="C25:E25"/>
    <mergeCell ref="C26:E26"/>
    <mergeCell ref="J19:R28"/>
    <mergeCell ref="N13:R13"/>
    <mergeCell ref="N14:R14"/>
    <mergeCell ref="N15:R15"/>
    <mergeCell ref="J11:M11"/>
    <mergeCell ref="J12:M12"/>
    <mergeCell ref="J13:M13"/>
    <mergeCell ref="F25:G25"/>
    <mergeCell ref="J10:M10"/>
    <mergeCell ref="G15:I15"/>
    <mergeCell ref="G16:I16"/>
    <mergeCell ref="B16:F16"/>
    <mergeCell ref="D10:F10"/>
    <mergeCell ref="B15:F15"/>
    <mergeCell ref="B17:I17"/>
    <mergeCell ref="G18:I18"/>
    <mergeCell ref="H20:I20"/>
    <mergeCell ref="B14:I14"/>
    <mergeCell ref="C22:E22"/>
    <mergeCell ref="A28:I28"/>
    <mergeCell ref="Q3:Q4"/>
    <mergeCell ref="N5:O5"/>
    <mergeCell ref="N6:O7"/>
    <mergeCell ref="R3:R4"/>
    <mergeCell ref="K18:R18"/>
    <mergeCell ref="P5:R5"/>
    <mergeCell ref="P6:R7"/>
    <mergeCell ref="O3:P4"/>
    <mergeCell ref="K17:M17"/>
    <mergeCell ref="Q17:R17"/>
    <mergeCell ref="N9:R9"/>
    <mergeCell ref="N10:R10"/>
    <mergeCell ref="N11:R11"/>
    <mergeCell ref="N12:R12"/>
    <mergeCell ref="J14:M14"/>
    <mergeCell ref="J15:M15"/>
    <mergeCell ref="K16:M16"/>
    <mergeCell ref="N8:R8"/>
    <mergeCell ref="J9:M9"/>
    <mergeCell ref="N16:R16"/>
    <mergeCell ref="N17:P17"/>
    <mergeCell ref="F5:M5"/>
    <mergeCell ref="F6:M6"/>
    <mergeCell ref="F7:M7"/>
    <mergeCell ref="G1:L2"/>
    <mergeCell ref="A10:A11"/>
    <mergeCell ref="B5:E5"/>
    <mergeCell ref="H3:I4"/>
    <mergeCell ref="J3:K4"/>
    <mergeCell ref="B3:G3"/>
    <mergeCell ref="B4:G4"/>
    <mergeCell ref="L3:L4"/>
    <mergeCell ref="N3:N4"/>
    <mergeCell ref="A6:B6"/>
    <mergeCell ref="M3:M4"/>
    <mergeCell ref="A7:B7"/>
    <mergeCell ref="C6:E7"/>
    <mergeCell ref="B8:I8"/>
    <mergeCell ref="J8:M8"/>
  </mergeCells>
  <phoneticPr fontId="1"/>
  <pageMargins left="0.7" right="0.7" top="0.75" bottom="0.75" header="0.3" footer="0.3"/>
  <pageSetup paperSize="9" scale="6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2BCA5DD4-7091-441D-9444-9B4872AE3CE8}"/>
</file>

<file path=customXml/itemProps2.xml><?xml version="1.0" encoding="utf-8"?>
<ds:datastoreItem xmlns:ds="http://schemas.openxmlformats.org/officeDocument/2006/customXml" ds:itemID="{D2F68054-E86C-4418-871A-8519F930B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673EF8-9DE7-4327-9800-C89C41C5C9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堀内 英史</dc:creator>
  <cp:lastModifiedBy>内野 裕輝</cp:lastModifiedBy>
  <cp:lastPrinted>2025-10-16T04:46:36Z</cp:lastPrinted>
  <dcterms:created xsi:type="dcterms:W3CDTF">2023-09-25T06:52:50Z</dcterms:created>
  <dcterms:modified xsi:type="dcterms:W3CDTF">2026-01-13T23:40:41Z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