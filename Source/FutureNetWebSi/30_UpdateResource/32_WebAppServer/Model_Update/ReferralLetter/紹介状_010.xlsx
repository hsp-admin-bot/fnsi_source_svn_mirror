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FNWSiTools\LayoutDesigner\Work\"/>
    </mc:Choice>
  </mc:AlternateContent>
  <xr:revisionPtr revIDLastSave="0" documentId="8_{BD4ED80B-B3F9-4319-AD12-E465941B8709}" xr6:coauthVersionLast="47" xr6:coauthVersionMax="47" xr10:uidLastSave="{00000000-0000-0000-0000-000000000000}"/>
  <bookViews>
    <workbookView xWindow="4485" yWindow="1170" windowWidth="19845" windowHeight="16110" firstSheet="4" activeTab="4" xr2:uid="{2092D36A-7E45-4371-9531-EAED17D4FF25}"/>
  </bookViews>
  <sheets>
    <sheet name="更新履歴" sheetId="6" state="veryHidden" r:id="rId1"/>
    <sheet name="グループ" sheetId="5" state="veryHidden" r:id="rId2"/>
    <sheet name="パラメータ" sheetId="4" state="veryHidden" r:id="rId3"/>
    <sheet name="設定" sheetId="3" state="veryHidden" r:id="rId4"/>
    <sheet name="レイアウト" sheetId="2" r:id="rId5"/>
  </sheets>
  <definedNames>
    <definedName name="_xlnm.Print_Area" localSheetId="4">レイアウト!$A$1:$AE$44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2" l="1"/>
  <c r="I27" i="2"/>
  <c r="I25" i="2"/>
  <c r="E25" i="2"/>
  <c r="J10" i="2"/>
  <c r="E26" i="2"/>
  <c r="E27" i="2"/>
  <c r="G43" i="2"/>
  <c r="Z15" i="2"/>
  <c r="Y15" i="2"/>
  <c r="X15" i="2"/>
  <c r="W15" i="2"/>
  <c r="E15" i="2" s="1"/>
  <c r="J11" i="2"/>
</calcChain>
</file>

<file path=xl/sharedStrings.xml><?xml version="1.0" encoding="utf-8"?>
<sst xmlns="http://schemas.openxmlformats.org/spreadsheetml/2006/main" count="3671" uniqueCount="740">
  <si>
    <t>ReferralLetter</t>
  </si>
  <si>
    <t/>
  </si>
  <si>
    <t>0</t>
  </si>
  <si>
    <t>255100</t>
  </si>
  <si>
    <t>2025/06/20 12:17:57</t>
  </si>
  <si>
    <t>帳票設定</t>
  </si>
  <si>
    <t xml:space="preserve">有り_x000D_
</t>
  </si>
  <si>
    <t>1</t>
  </si>
  <si>
    <t>N</t>
  </si>
  <si>
    <t>DataPath</t>
  </si>
  <si>
    <t>DataCategory</t>
  </si>
  <si>
    <t>DataClass</t>
  </si>
  <si>
    <t>DataName</t>
  </si>
  <si>
    <t>SqlCode</t>
  </si>
  <si>
    <t>DataCode</t>
  </si>
  <si>
    <t>DataType</t>
  </si>
  <si>
    <t>PreviewData</t>
  </si>
  <si>
    <t>DisplayFormat</t>
  </si>
  <si>
    <t>ConvertList</t>
  </si>
  <si>
    <t>CanRepeat</t>
  </si>
  <si>
    <t>RepeatAddress</t>
  </si>
  <si>
    <t>IsShrink</t>
  </si>
  <si>
    <t>Length</t>
  </si>
  <si>
    <t>FilterData</t>
  </si>
  <si>
    <t>FilterType</t>
  </si>
  <si>
    <t>IsNewPage</t>
  </si>
  <si>
    <t>LabelItem</t>
  </si>
  <si>
    <t>CellAddress</t>
  </si>
  <si>
    <t>GroupName</t>
  </si>
  <si>
    <t>FilterState</t>
  </si>
  <si>
    <t>IsInTemplete</t>
  </si>
  <si>
    <t>ParticularInfo</t>
  </si>
  <si>
    <t>IsCalcResult</t>
  </si>
  <si>
    <t>FormatCondition</t>
  </si>
  <si>
    <t>IsImage</t>
  </si>
  <si>
    <t>RowCount</t>
  </si>
  <si>
    <t>GroupPath</t>
  </si>
  <si>
    <t>RepeatCount</t>
  </si>
  <si>
    <t>2025/06/20 13:23:06</t>
  </si>
  <si>
    <t>集計設定</t>
  </si>
  <si>
    <t xml:space="preserve">縦の合計: ⇒ 0_x000D_
横の合計: ⇒ 0_x000D_
</t>
  </si>
  <si>
    <t>この度は、当院患者の透析をお引き受けくださいまして誠にありがとうございます。</t>
    <rPh sb="2" eb="3">
      <t>タビ</t>
    </rPh>
    <rPh sb="5" eb="9">
      <t>トウインカンジャ</t>
    </rPh>
    <rPh sb="10" eb="12">
      <t>トウセキ</t>
    </rPh>
    <rPh sb="14" eb="15">
      <t>ヒ</t>
    </rPh>
    <rPh sb="16" eb="17">
      <t>ウ</t>
    </rPh>
    <rPh sb="25" eb="26">
      <t>マコト</t>
    </rPh>
    <phoneticPr fontId="1"/>
  </si>
  <si>
    <t>現在の透析条件・情報についてご紹介申し上げます。</t>
    <rPh sb="0" eb="2">
      <t>ゲンザイ</t>
    </rPh>
    <rPh sb="3" eb="7">
      <t>トウセキジョウケン</t>
    </rPh>
    <rPh sb="8" eb="10">
      <t>ジョウホウ</t>
    </rPh>
    <rPh sb="15" eb="18">
      <t>ショウカイモウ</t>
    </rPh>
    <rPh sb="19" eb="20">
      <t>ア</t>
    </rPh>
    <phoneticPr fontId="1"/>
  </si>
  <si>
    <t>氏名</t>
    <rPh sb="0" eb="2">
      <t>シメイ</t>
    </rPh>
    <phoneticPr fontId="1"/>
  </si>
  <si>
    <t>生年月日</t>
    <rPh sb="0" eb="4">
      <t>セイネンガッピ</t>
    </rPh>
    <phoneticPr fontId="1"/>
  </si>
  <si>
    <t>住所</t>
    <rPh sb="0" eb="2">
      <t>ジュウショ</t>
    </rPh>
    <phoneticPr fontId="1"/>
  </si>
  <si>
    <t>治療方法</t>
    <rPh sb="0" eb="4">
      <t>チリョウホウホウ</t>
    </rPh>
    <phoneticPr fontId="1"/>
  </si>
  <si>
    <t>透析日</t>
    <rPh sb="0" eb="3">
      <t>トウセキヒ</t>
    </rPh>
    <phoneticPr fontId="1"/>
  </si>
  <si>
    <t>透析時間</t>
    <rPh sb="0" eb="4">
      <t>トウセキジカン</t>
    </rPh>
    <phoneticPr fontId="1"/>
  </si>
  <si>
    <t>ダイアライザ</t>
    <phoneticPr fontId="1"/>
  </si>
  <si>
    <t>穿刺針A針</t>
    <rPh sb="0" eb="1">
      <t>ウガ</t>
    </rPh>
    <rPh sb="1" eb="2">
      <t>サ</t>
    </rPh>
    <rPh sb="2" eb="3">
      <t>バリ</t>
    </rPh>
    <rPh sb="4" eb="5">
      <t>ハリ</t>
    </rPh>
    <phoneticPr fontId="1"/>
  </si>
  <si>
    <t>穿刺針V針</t>
    <rPh sb="0" eb="3">
      <t>センシシン</t>
    </rPh>
    <rPh sb="4" eb="5">
      <t>ハリ</t>
    </rPh>
    <phoneticPr fontId="1"/>
  </si>
  <si>
    <t>DW</t>
    <phoneticPr fontId="1"/>
  </si>
  <si>
    <t>CTR</t>
    <phoneticPr fontId="1"/>
  </si>
  <si>
    <t>CTR測定時体重</t>
    <rPh sb="3" eb="6">
      <t>ソクテイジ</t>
    </rPh>
    <rPh sb="6" eb="8">
      <t>タイジュウ</t>
    </rPh>
    <phoneticPr fontId="1"/>
  </si>
  <si>
    <t>原疾患</t>
    <rPh sb="0" eb="3">
      <t>ゲンシッカン</t>
    </rPh>
    <phoneticPr fontId="1"/>
  </si>
  <si>
    <t>感染症</t>
    <rPh sb="0" eb="3">
      <t>カンセンショウ</t>
    </rPh>
    <phoneticPr fontId="1"/>
  </si>
  <si>
    <t>20626</t>
  </si>
  <si>
    <t>2025/06/20 13:50:04</t>
  </si>
  <si>
    <t>定期日常点検・交換部品記録簿設定</t>
  </si>
  <si>
    <t xml:space="preserve">帳票区分:1 ⇒ _x000D_
</t>
  </si>
  <si>
    <t>透析期間</t>
    <rPh sb="0" eb="4">
      <t>トウセキキカン</t>
    </rPh>
    <phoneticPr fontId="1"/>
  </si>
  <si>
    <t>透析導入日</t>
    <rPh sb="0" eb="2">
      <t>トウセキ</t>
    </rPh>
    <rPh sb="2" eb="4">
      <t>ドウニュウ</t>
    </rPh>
    <rPh sb="4" eb="5">
      <t>ヒ</t>
    </rPh>
    <phoneticPr fontId="1"/>
  </si>
  <si>
    <t>導入施設</t>
    <rPh sb="0" eb="4">
      <t>ドウニュウシセツ</t>
    </rPh>
    <phoneticPr fontId="1"/>
  </si>
  <si>
    <t>血流量</t>
    <rPh sb="0" eb="3">
      <t>ケツリュウリョウ</t>
    </rPh>
    <phoneticPr fontId="1"/>
  </si>
  <si>
    <t>抗凝固剤</t>
    <rPh sb="0" eb="1">
      <t>コウ</t>
    </rPh>
    <rPh sb="1" eb="4">
      <t>ギョウコザイ</t>
    </rPh>
    <phoneticPr fontId="1"/>
  </si>
  <si>
    <t>ワンショット</t>
    <phoneticPr fontId="1"/>
  </si>
  <si>
    <t>持続速度</t>
    <rPh sb="0" eb="4">
      <t>ジゾクソクド</t>
    </rPh>
    <phoneticPr fontId="1"/>
  </si>
  <si>
    <t>持続総量</t>
    <rPh sb="0" eb="4">
      <t>ジゾクソウリョウ</t>
    </rPh>
    <phoneticPr fontId="1"/>
  </si>
  <si>
    <t>VA</t>
    <phoneticPr fontId="1"/>
  </si>
  <si>
    <t>造設日</t>
    <rPh sb="0" eb="3">
      <t>ゾウセツヒ</t>
    </rPh>
    <phoneticPr fontId="1"/>
  </si>
  <si>
    <t>シャント位置</t>
    <rPh sb="4" eb="6">
      <t>イチ</t>
    </rPh>
    <phoneticPr fontId="1"/>
  </si>
  <si>
    <t>除水速度制限</t>
    <rPh sb="0" eb="6">
      <t>ジョスイソクドセイゲン</t>
    </rPh>
    <phoneticPr fontId="1"/>
  </si>
  <si>
    <t>除水量制限</t>
    <rPh sb="0" eb="3">
      <t>ジョスイリョウ</t>
    </rPh>
    <rPh sb="3" eb="5">
      <t>セイゲン</t>
    </rPh>
    <phoneticPr fontId="1"/>
  </si>
  <si>
    <t>投与薬剤</t>
    <rPh sb="0" eb="4">
      <t>トウヨヤクザイ</t>
    </rPh>
    <phoneticPr fontId="1"/>
  </si>
  <si>
    <t>医療材料</t>
    <rPh sb="0" eb="4">
      <t>イリョウザイリョウ</t>
    </rPh>
    <phoneticPr fontId="1"/>
  </si>
  <si>
    <t>内服薬、検査結果は、別紙参照願います。</t>
    <rPh sb="0" eb="3">
      <t>ナイフクヤク</t>
    </rPh>
    <rPh sb="4" eb="8">
      <t>ケンサケッカ</t>
    </rPh>
    <rPh sb="10" eb="12">
      <t>ベッシ</t>
    </rPh>
    <rPh sb="12" eb="15">
      <t>サンショウネガ</t>
    </rPh>
    <phoneticPr fontId="1"/>
  </si>
  <si>
    <t>作成日：</t>
    <rPh sb="0" eb="3">
      <t>サクセイビ</t>
    </rPh>
    <phoneticPr fontId="1"/>
  </si>
  <si>
    <t>TEL</t>
    <phoneticPr fontId="1"/>
  </si>
  <si>
    <t>FAX</t>
    <phoneticPr fontId="1"/>
  </si>
  <si>
    <t>2025/06/20 14:12:00</t>
  </si>
  <si>
    <t>##患者情報.本人情報.患者名</t>
  </si>
  <si>
    <t>##患者情報.本人情報.フリガナ</t>
  </si>
  <si>
    <t>##患者情報.本人情報.性別</t>
  </si>
  <si>
    <t>##患者情報.本人情報.年齢</t>
  </si>
  <si>
    <t>##患者情報.本人情報.生年月日</t>
  </si>
  <si>
    <t>##患者情報.本人情報.年齢</t>
    <phoneticPr fontId="1"/>
  </si>
  <si>
    <t>患者情報</t>
  </si>
  <si>
    <t>本人情報</t>
  </si>
  <si>
    <t>フリガナ</t>
  </si>
  <si>
    <t>pat_name_kana</t>
  </si>
  <si>
    <t>string</t>
  </si>
  <si>
    <t>ニッキソウ　タロウ</t>
  </si>
  <si>
    <t>G/標準</t>
  </si>
  <si>
    <t>False</t>
  </si>
  <si>
    <t>D8:K8</t>
  </si>
  <si>
    <t>患者名</t>
  </si>
  <si>
    <t>pat_name</t>
  </si>
  <si>
    <t>日機装　太郎</t>
  </si>
  <si>
    <t>D9:K9</t>
  </si>
  <si>
    <t>性別</t>
  </si>
  <si>
    <t>pat_sex</t>
  </si>
  <si>
    <t>男性</t>
  </si>
  <si>
    <t>L9:N9</t>
  </si>
  <si>
    <t>生年月日</t>
  </si>
  <si>
    <t>pat_birthday</t>
  </si>
  <si>
    <t>DateTime</t>
  </si>
  <si>
    <t>yyyy/mm/dd</t>
  </si>
  <si>
    <t>D10:K10</t>
  </si>
  <si>
    <t>年齢</t>
  </si>
  <si>
    <t>pat_age</t>
  </si>
  <si>
    <t>decimal</t>
  </si>
  <si>
    <t>70</t>
  </si>
  <si>
    <t>Z10</t>
  </si>
  <si>
    <t>2025/06/20 14:17:20</t>
  </si>
  <si>
    <t xml:space="preserve">新規追加_x000D_
改頁しない_x000D_
プレビューデータ:ニッキソウ　タロウ_x000D_
書式:G/標準_x000D_
縮小しない_x000D_
テンプレート内外:_x000D_
</t>
  </si>
  <si>
    <t xml:space="preserve">新規追加_x000D_
表示文字数:27_x000D_
改頁しない_x000D_
プレビューデータ:日機装　太郎_x000D_
書式:G/標準_x000D_
縮小しない_x000D_
テンプレート内外:_x000D_
</t>
  </si>
  <si>
    <t xml:space="preserve">新規追加_x000D_
表示文字数:11_x000D_
改頁しない_x000D_
プレビューデータ:男性_x000D_
書式:G/標準_x000D_
データ変換:&lt;convTable cls=""&gt;&lt;conv code="0" item="不明" disp="不明" /&gt;&lt;conv code="1" item="男性" disp="（ 男 ）" /&gt;&lt;conv code="2" item="女性" disp="（ 女 ）" /&gt;&lt;/convTable&gt;_x000D_
縮小しない_x000D_
テンプレート内外:_x000D_
</t>
  </si>
  <si>
    <t xml:space="preserve">新規追加_x000D_
改頁しない_x000D_
プレビューデータ:1945/01/01_x000D_
書式:yyyy/mm/dd_x000D_
縮小しない_x000D_
テンプレート内外:_x000D_
</t>
  </si>
  <si>
    <t xml:space="preserve">新規追加_x000D_
改頁しない_x000D_
プレビューデータ:70_x000D_
書式:G/標準_x000D_
縮小しない_x000D_
テンプレート内外:_x000D_
</t>
  </si>
  <si>
    <t>Z9</t>
  </si>
  <si>
    <t>2025/06/20 14:19:47</t>
  </si>
  <si>
    <t xml:space="preserve">新規追加_x000D_
改頁しない_x000D_
プレビューデータ:男性_x000D_
書式:G/標準_x000D_
データ変換:&lt;convTable cls=""&gt;&lt;conv code="0" item="不明" disp="不明" /&gt;&lt;conv code="1" item="男性" disp="男" /&gt;&lt;conv code="2" item="女性" disp="女" /&gt;&lt;/convTable&gt;_x000D_
縮小しない_x000D_
テンプレート内外:_x000D_
</t>
  </si>
  <si>
    <t>削除</t>
  </si>
  <si>
    <t>2025/06/20 14:19:48</t>
  </si>
  <si>
    <t>2025/06/20 14:21:33</t>
  </si>
  <si>
    <t>D11:K11</t>
  </si>
  <si>
    <t>Z11</t>
  </si>
  <si>
    <t>2025/06/20 14:22:17</t>
  </si>
  <si>
    <t xml:space="preserve">設定変更_x000D_
表示文字数:27 ⇒ _x000D_
プレビューデータ:日機装　太郎 ⇒ ニッキソウ　タロウ_x000D_
縮小しない_x000D_
</t>
  </si>
  <si>
    <t xml:space="preserve">設定変更_x000D_
表示文字数: ⇒ 27_x000D_
プレビューデータ:1945/01/01 ⇒ 日機装　太郎_x000D_
書式:yyyy/mm/dd ⇒ G/標準_x000D_
</t>
  </si>
  <si>
    <t xml:space="preserve">設定変更_x000D_
プレビューデータ:70 ⇒ 男性_x000D_
データ変換: ⇒ &lt;convTable cls="性別"&gt;&lt;conv code="0" item="不明" disp="不明" /&gt;&lt;conv code="1" item="男性" disp="男性" /&gt;&lt;conv code="2" item="女性" disp="女性" /&gt;&lt;/convTable&gt;_x000D_
</t>
  </si>
  <si>
    <t xml:space="preserve">新規追加_x000D_
改頁しない_x000D_
プレビューデータ:2025/06/20_x000D_
書式:yyyy/mm/dd_x000D_
縮小しない_x000D_
テンプレート内外:_x000D_
</t>
  </si>
  <si>
    <t>2025/06/20 14:22:18</t>
  </si>
  <si>
    <t>電話番号</t>
    <rPh sb="0" eb="4">
      <t>デンワバンゴウ</t>
    </rPh>
    <phoneticPr fontId="1"/>
  </si>
  <si>
    <t>血液型</t>
    <rPh sb="0" eb="3">
      <t>ケツエキガタ</t>
    </rPh>
    <phoneticPr fontId="1"/>
  </si>
  <si>
    <t>##患者情報.本人情報.電話番号1</t>
  </si>
  <si>
    <t>##患者情報.本人情報.血液型ABORH</t>
  </si>
  <si>
    <t>##患者情報.本人情報.住所</t>
  </si>
  <si>
    <t>##指示.透析条件.治療方法</t>
  </si>
  <si>
    <t>##指示.透析パターン.透析パターン曜日</t>
  </si>
  <si>
    <t>E9:L9</t>
  </si>
  <si>
    <t>E10:L10</t>
  </si>
  <si>
    <t>電話番号1</t>
  </si>
  <si>
    <t>pat_tel1</t>
  </si>
  <si>
    <t>03-1234-5678</t>
  </si>
  <si>
    <t>S10:Z10</t>
  </si>
  <si>
    <t>AA10</t>
  </si>
  <si>
    <t>E11:L11</t>
  </si>
  <si>
    <t>血液型ABORH</t>
  </si>
  <si>
    <t>pat_blood_type_abo_rh</t>
  </si>
  <si>
    <t>A型 Rh-</t>
  </si>
  <si>
    <t>S11:Z11</t>
  </si>
  <si>
    <t>AA11</t>
  </si>
  <si>
    <t>住所</t>
  </si>
  <si>
    <t>pat_address</t>
  </si>
  <si>
    <t>東京都渋谷区恵比寿3-43-2 日機装第１別館１F</t>
  </si>
  <si>
    <t>E12:Z12</t>
  </si>
  <si>
    <t>指示</t>
  </si>
  <si>
    <t>透析条件</t>
  </si>
  <si>
    <t>治療方法</t>
  </si>
  <si>
    <t>5</t>
  </si>
  <si>
    <t>treatment_name</t>
  </si>
  <si>
    <t>HDF</t>
  </si>
  <si>
    <t>E14:N14</t>
  </si>
  <si>
    <t>透析パターン</t>
  </si>
  <si>
    <t>透析パターン曜日</t>
  </si>
  <si>
    <t>202</t>
  </si>
  <si>
    <t>treat_week</t>
  </si>
  <si>
    <t>月</t>
  </si>
  <si>
    <t>AA15</t>
  </si>
  <si>
    <t>2025/06/20 14:34:01</t>
  </si>
  <si>
    <t xml:space="preserve">新規追加_x000D_
表示文字数:31_x000D_
改頁しない_x000D_
プレビューデータ:03-1234-5678_x000D_
書式:G/標準_x000D_
縮小しない_x000D_
テンプレート内外:_x000D_
</t>
  </si>
  <si>
    <t xml:space="preserve">新規追加_x000D_
改頁しない_x000D_
プレビューデータ:男性_x000D_
書式:G/標準_x000D_
データ変換:&lt;convTable cls="性別"&gt;&lt;conv code="0" item="不明" disp="不明" /&gt;&lt;conv code="1" item="男性" disp="男性" /&gt;&lt;conv code="2" item="女性" disp="女性" /&gt;&lt;/convTable&gt;_x000D_
縮小しない_x000D_
テンプレート内外:_x000D_
</t>
  </si>
  <si>
    <t xml:space="preserve">新規追加_x000D_
表示文字数:31_x000D_
改頁しない_x000D_
プレビューデータ:A型 Rh-_x000D_
書式:G/標準_x000D_
データ変換:&lt;convTable cls="血液型ABORH"&gt;&lt;conv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/&gt;&lt;/convTable&gt;_x000D_
縮小しない_x000D_
テンプレート内外:_x000D_
</t>
  </si>
  <si>
    <t xml:space="preserve">新規追加_x000D_
表示文字数:79_x000D_
改頁しない_x000D_
プレビューデータ:東京都渋谷区恵比寿3-43-2 日機装第１別館１F_x000D_
書式:G/標準_x000D_
縮小しない_x000D_
テンプレート内外:_x000D_
</t>
  </si>
  <si>
    <t xml:space="preserve">新規追加_x000D_
表示文字数:35_x000D_
改頁しない_x000D_
プレビューデータ:HDF_x000D_
書式:G/標準_x000D_
縮小しない_x000D_
テンプレート内外:_x000D_
</t>
  </si>
  <si>
    <t xml:space="preserve">新規追加_x000D_
改頁しない_x000D_
プレビューデータ:月_x000D_
書式:G/標準_x000D_
縮小しない_x000D_
テンプレート内外:_x000D_
</t>
  </si>
  <si>
    <t>2025/06/20 14:34:02</t>
  </si>
  <si>
    <t>2025/06/20 14:49:12</t>
  </si>
  <si>
    <t xml:space="preserve">設定変更_x000D_
データ変換:&lt;convTable cls=""&gt;&lt;conv code="0" item="不明" disp="不明" /&gt;&lt;conv code="1" item="男性" disp="男性" /&gt;&lt;conv code="2" item="女性" disp="女性" /&gt;&lt;/convTable&gt; ⇒ &lt;convTable cls="性別"&gt;&lt;conv code="0" item="不明" disp="不明" /&gt;&lt;conv code="1" item="男性" disp="男性" /&gt;&lt;conv code="2" item="女性" disp="女性" /&gt;&lt;/convTable&gt;_x000D_
</t>
  </si>
  <si>
    <t xml:space="preserve">設定変更_x000D_
データ変換:&lt;convTable cls=""&gt;&lt;conv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 ⇒ &lt;convTable cls="血液型ABORH"&gt;&lt;conv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/&gt;&lt;/convTable&gt;_x000D_
</t>
  </si>
  <si>
    <t>2025/06/20 14:51:44</t>
  </si>
  <si>
    <t>2025/06/20 14:51:45</t>
  </si>
  <si>
    <t>##=[##指示.透析条件.透析時間(分)]/60</t>
  </si>
  <si>
    <t>##=[##指示.透析条件.透析時間(分)]/60</t>
    <phoneticPr fontId="1"/>
  </si>
  <si>
    <t>##指示.透析条件.ダイアライザ</t>
  </si>
  <si>
    <t>##実績.透析条件.穿刺針A針名称</t>
  </si>
  <si>
    <t>##実績.透析条件.穿刺針V針名称</t>
  </si>
  <si>
    <t>##指示.透析条件.DW</t>
  </si>
  <si>
    <t>時間</t>
    <rPh sb="0" eb="2">
      <t>ジカン</t>
    </rPh>
    <phoneticPr fontId="1"/>
  </si>
  <si>
    <t>Kg</t>
    <phoneticPr fontId="1"/>
  </si>
  <si>
    <t>％</t>
    <phoneticPr fontId="1"/>
  </si>
  <si>
    <t>##患者情報.身体情報(降順).CTR</t>
  </si>
  <si>
    <t>##患者情報.身体情報(降順).CTR</t>
    <phoneticPr fontId="1"/>
  </si>
  <si>
    <t>##実績.体重情報.CTR測定日時</t>
  </si>
  <si>
    <t>##実績.体重情報.CTR測定時体重</t>
  </si>
  <si>
    <t>##患者情報.診療情報.透析歴</t>
  </si>
  <si>
    <t>##患者情報.診療情報.透析導入日</t>
  </si>
  <si>
    <t>##患者情報.診療情報.透析導入施設</t>
  </si>
  <si>
    <t>ml/min</t>
    <phoneticPr fontId="1"/>
  </si>
  <si>
    <t>##指示.透析条件.血流量</t>
  </si>
  <si>
    <t>##指示.透析条件.抗凝固剤</t>
  </si>
  <si>
    <t>##指示.透析条件.抗凝固剤ワンショット量</t>
  </si>
  <si>
    <t>##指示.透析条件.抗凝固剤単位</t>
  </si>
  <si>
    <t>##指示.透析条件.抗凝固剤持続速度単位</t>
  </si>
  <si>
    <t>##指示.透析条件.抗凝固剤持続速度</t>
  </si>
  <si>
    <t>##指示.透析条件.抗凝固剤持続総量</t>
  </si>
  <si>
    <t>##指示.透析条件.VA</t>
  </si>
  <si>
    <t>##指示.VA情報.造設日</t>
  </si>
  <si>
    <t>##指示.ベッド情報.シャント位置</t>
  </si>
  <si>
    <t>##指示.装置設定.除水速度制限</t>
  </si>
  <si>
    <t>##指示.透析条件.除水量制限</t>
  </si>
  <si>
    <t>診療情報</t>
  </si>
  <si>
    <t>透析歴</t>
  </si>
  <si>
    <t>19</t>
  </si>
  <si>
    <t>dialysis_vintage</t>
  </si>
  <si>
    <t>11年3ケ月</t>
  </si>
  <si>
    <t>R14:Z14</t>
  </si>
  <si>
    <t>透析導入日</t>
  </si>
  <si>
    <t>dialysis_start_date</t>
  </si>
  <si>
    <t>R15:Z15</t>
  </si>
  <si>
    <t>7</t>
  </si>
  <si>
    <t>E16:H16</t>
  </si>
  <si>
    <t>True</t>
  </si>
  <si>
    <t>透析導入施設</t>
  </si>
  <si>
    <t>facility_name</t>
  </si>
  <si>
    <t>日機装病院</t>
  </si>
  <si>
    <t>R16:Z16</t>
  </si>
  <si>
    <t>ダイアライザ</t>
  </si>
  <si>
    <t>dialyzer</t>
  </si>
  <si>
    <t>FDX-120GW</t>
  </si>
  <si>
    <t>E17:N17</t>
  </si>
  <si>
    <t>実績</t>
  </si>
  <si>
    <t>穿刺針A針名称</t>
  </si>
  <si>
    <t>puncture_needle_a_name</t>
  </si>
  <si>
    <t>E18:N18</t>
  </si>
  <si>
    <t>血流量</t>
  </si>
  <si>
    <t>blood_flow</t>
  </si>
  <si>
    <t>180</t>
  </si>
  <si>
    <t>R18:V18</t>
  </si>
  <si>
    <t>穿刺針V針名称</t>
  </si>
  <si>
    <t>puncture_needle_v_name</t>
  </si>
  <si>
    <t>穿刺針V針</t>
  </si>
  <si>
    <t>E19:N19</t>
  </si>
  <si>
    <t>抗凝固剤</t>
  </si>
  <si>
    <t>45</t>
  </si>
  <si>
    <t>anti_coagulant_name</t>
  </si>
  <si>
    <t>1234567</t>
  </si>
  <si>
    <t>R19:Z19</t>
  </si>
  <si>
    <t>DW</t>
  </si>
  <si>
    <t>dw</t>
  </si>
  <si>
    <t>55.00</t>
  </si>
  <si>
    <t>0.00</t>
  </si>
  <si>
    <t>E20:H20</t>
  </si>
  <si>
    <t>抗凝固剤ワンショット量</t>
  </si>
  <si>
    <t>anti_coagulant_one_shot_amount</t>
  </si>
  <si>
    <t>1000</t>
  </si>
  <si>
    <t>R20:V20</t>
  </si>
  <si>
    <t>抗凝固剤単位</t>
  </si>
  <si>
    <t>anti_coagulant_sustained_amount_unit</t>
  </si>
  <si>
    <t>U</t>
  </si>
  <si>
    <t>W20:Z20</t>
  </si>
  <si>
    <t>身体情報(降順)</t>
  </si>
  <si>
    <t>CTR</t>
  </si>
  <si>
    <t>39</t>
  </si>
  <si>
    <t>ctr</t>
  </si>
  <si>
    <t>35.05</t>
  </si>
  <si>
    <t>E21:H21</t>
  </si>
  <si>
    <t>患者情報.身体情報(降順)</t>
  </si>
  <si>
    <t>体重情報</t>
  </si>
  <si>
    <t>3</t>
  </si>
  <si>
    <t>K21:N21</t>
  </si>
  <si>
    <t>抗凝固剤持続速度</t>
  </si>
  <si>
    <t>anti_coagulant_sustained_speed</t>
  </si>
  <si>
    <t>500</t>
  </si>
  <si>
    <t>R21:V21</t>
  </si>
  <si>
    <t>抗凝固剤持続速度単位</t>
  </si>
  <si>
    <t>anti_coagulant_sustained_speed_unit</t>
  </si>
  <si>
    <t>U/h</t>
  </si>
  <si>
    <t>W21:Z21</t>
  </si>
  <si>
    <t>CTR測定時体重</t>
  </si>
  <si>
    <t>ctr_weight</t>
  </si>
  <si>
    <t>55.05</t>
  </si>
  <si>
    <t>E22:H22</t>
  </si>
  <si>
    <t>抗凝固剤持続総量</t>
  </si>
  <si>
    <t>anti_coagulant_sustained_amount</t>
  </si>
  <si>
    <t>2000</t>
  </si>
  <si>
    <t>R22:V22</t>
  </si>
  <si>
    <t>W22:Z22</t>
  </si>
  <si>
    <t>VA</t>
  </si>
  <si>
    <t>va_name</t>
  </si>
  <si>
    <t>左手前腕内シャント化静脈</t>
  </si>
  <si>
    <t>R23:Z23</t>
  </si>
  <si>
    <t>VA情報</t>
  </si>
  <si>
    <t>造設日</t>
  </si>
  <si>
    <t>208</t>
  </si>
  <si>
    <t>make_start_date</t>
  </si>
  <si>
    <t>R24:Z24</t>
  </si>
  <si>
    <t>ベッド情報</t>
  </si>
  <si>
    <t>シャント位置</t>
  </si>
  <si>
    <t>shunt_position</t>
  </si>
  <si>
    <t>左</t>
  </si>
  <si>
    <t>R25:Z25</t>
  </si>
  <si>
    <t>R26:V26</t>
  </si>
  <si>
    <t>除水量制限</t>
  </si>
  <si>
    <t>water_removal_amount_limit</t>
  </si>
  <si>
    <t>6.00</t>
  </si>
  <si>
    <t>R27:V27</t>
  </si>
  <si>
    <t>2025/06/20 15:09:37</t>
  </si>
  <si>
    <t xml:space="preserve">新規追加_x000D_
改頁しない_x000D_
プレビューデータ:11年3ケ月_x000D_
書式:G/標準_x000D_
縮小しない_x000D_
テンプレート内外:_x000D_
</t>
  </si>
  <si>
    <t xml:space="preserve">新規追加_x000D_
改頁しない_x000D_
プレビューデータ:2000/02/10_x000D_
書式:yyyy/mm/dd_x000D_
縮小しない_x000D_
テンプレート内外:_x000D_
</t>
  </si>
  <si>
    <t xml:space="preserve">新規追加_x000D_
改頁しない_x000D_
プレビューデータ:7_x000D_
書式:0_x000D_
縮小しない_x000D_
テンプレート内外:_x000D_
</t>
  </si>
  <si>
    <t xml:space="preserve">新規追加_x000D_
改頁しない_x000D_
プレビューデータ:日機装病院_x000D_
書式:G/標準_x000D_
縮小しない_x000D_
テンプレート内外:_x000D_
</t>
  </si>
  <si>
    <t xml:space="preserve">新規追加_x000D_
表示文字数:35_x000D_
改頁しない_x000D_
プレビューデータ:FDX-120GW_x000D_
書式:G/標準_x000D_
縮小しない_x000D_
テンプレート内外:_x000D_
</t>
  </si>
  <si>
    <t xml:space="preserve">新規追加_x000D_
表示文字数:35_x000D_
改頁しない_x000D_
プレビューデータ:穿刺針A_x000D_
書式:G/標準_x000D_
縮小しない_x000D_
テンプレート内外:_x000D_
</t>
  </si>
  <si>
    <t xml:space="preserve">新規追加_x000D_
改頁しない_x000D_
プレビューデータ:180_x000D_
書式:0_x000D_
縮小しない_x000D_
テンプレート内外:_x000D_
</t>
  </si>
  <si>
    <t xml:space="preserve">新規追加_x000D_
表示文字数:35_x000D_
改頁しない_x000D_
プレビューデータ:穿刺針V針_x000D_
書式:G/標準_x000D_
縮小しない_x000D_
テンプレート内外:_x000D_
</t>
  </si>
  <si>
    <t xml:space="preserve">新規追加_x000D_
改頁しない_x000D_
プレビューデータ:1234567_x000D_
書式:G/標準_x000D_
縮小しない_x000D_
テンプレート内外:_x000D_
</t>
  </si>
  <si>
    <t xml:space="preserve">新規追加_x000D_
改頁しない_x000D_
プレビューデータ:55.00_x000D_
書式:0.00_x000D_
縮小しない_x000D_
テンプレート内外:_x000D_
</t>
  </si>
  <si>
    <t xml:space="preserve">新規追加_x000D_
改頁しない_x000D_
プレビューデータ:1000_x000D_
書式:0_x000D_
縮小しない_x000D_
テンプレート内外:_x000D_
</t>
  </si>
  <si>
    <t xml:space="preserve">新規追加_x000D_
改頁しない_x000D_
プレビューデータ:U_x000D_
書式:G/標準_x000D_
縮小しない_x000D_
テンプレート内外:_x000D_
</t>
  </si>
  <si>
    <t xml:space="preserve">新規追加_x000D_
改頁しない_x000D_
繰返場所:E21:H21_x000D_
グループ名:患者情報.身体情報(降順)_x000D_
プレビューデータ:35.05_x000D_
書式:0.00_x000D_
縮小しない_x000D_
テンプレート内外:_x000D_
</t>
  </si>
  <si>
    <t xml:space="preserve">新規追加_x000D_
改頁しない_x000D_
プレビューデータ:2011/05/16_x000D_
書式:yyyy/mm/dd_x000D_
縮小しない_x000D_
テンプレート内外:_x000D_
</t>
  </si>
  <si>
    <t xml:space="preserve">新規追加_x000D_
改頁しない_x000D_
プレビューデータ:500_x000D_
書式:0_x000D_
縮小しない_x000D_
テンプレート内外:_x000D_
</t>
  </si>
  <si>
    <t xml:space="preserve">新規追加_x000D_
改頁しない_x000D_
プレビューデータ:U/h_x000D_
書式:G/標準_x000D_
縮小しない_x000D_
テンプレート内外:_x000D_
</t>
  </si>
  <si>
    <t xml:space="preserve">新規追加_x000D_
改頁しない_x000D_
プレビューデータ:55.05_x000D_
書式:0.00_x000D_
縮小しない_x000D_
テンプレート内外:_x000D_
</t>
  </si>
  <si>
    <t xml:space="preserve">新規追加_x000D_
改頁しない_x000D_
プレビューデータ:2000_x000D_
書式:0_x000D_
縮小しない_x000D_
テンプレート内外:_x000D_
</t>
  </si>
  <si>
    <t xml:space="preserve">新規追加_x000D_
改頁しない_x000D_
プレビューデータ:左手前腕内シャント化静脈_x000D_
書式:G/標準_x000D_
縮小しない_x000D_
テンプレート内外:_x000D_
</t>
  </si>
  <si>
    <t xml:space="preserve">新規追加_x000D_
改頁しない_x000D_
プレビューデータ:2011/05/20_x000D_
書式:yyyy/mm/dd_x000D_
縮小しない_x000D_
テンプレート内外:_x000D_
</t>
  </si>
  <si>
    <t xml:space="preserve">新規追加_x000D_
改頁しない_x000D_
プレビューデータ:左_x000D_
書式:G/標準_x000D_
データ変換:&lt;convTable cls="シャント位置"&gt;&lt;conv code="0" item="両方" disp="両方" /&gt;&lt;conv code="1" item="左" disp="左" /&gt;&lt;conv code="2" item="右" disp="右" /&gt;&lt;conv code="3" item="なし" disp="なし" /&gt;&lt;conv code="-" item="不明" disp="不明" /&gt;&lt;/convTable&gt;_x000D_
縮小しない_x000D_
テンプレート内外:_x000D_
</t>
  </si>
  <si>
    <t xml:space="preserve">新規追加_x000D_
改頁しない_x000D_
プレビューデータ:4.00_x000D_
書式:0_x000D_
縮小しない_x000D_
テンプレート内外:_x000D_
</t>
  </si>
  <si>
    <t xml:space="preserve">新規追加_x000D_
改頁しない_x000D_
プレビューデータ:6.00_x000D_
書式:0.00_x000D_
縮小しない_x000D_
テンプレート内外:_x000D_
</t>
  </si>
  <si>
    <t>患者情報.身体情報(降順).患者情報.身体情報(降順).E21:H21</t>
  </si>
  <si>
    <t>2025/06/20 15:09:38</t>
  </si>
  <si>
    <t>グループ</t>
  </si>
  <si>
    <t xml:space="preserve">改頁しない_x000D_
</t>
  </si>
  <si>
    <t>##指示.透析条件.穿刺針A針名称</t>
  </si>
  <si>
    <t>##指示.透析条件.穿刺針A針名称</t>
    <phoneticPr fontId="1"/>
  </si>
  <si>
    <t>##指示.透析条件.穿刺針V針名称</t>
  </si>
  <si>
    <t>##指示.透析条件.穿刺針V針名称</t>
    <phoneticPr fontId="1"/>
  </si>
  <si>
    <t>穿刺針A針</t>
  </si>
  <si>
    <t>2025/06/20 15:12:36</t>
  </si>
  <si>
    <t xml:space="preserve">設定変更_x000D_
プレビューデータ:穿刺針A ⇒ 穿刺針A針_x000D_
</t>
  </si>
  <si>
    <t xml:space="preserve">設定変更_x000D_
プレビューデータ:2011/05/16 ⇒ 2025/06/20_x000D_
</t>
  </si>
  <si>
    <t xml:space="preserve">設定変更_x000D_
データ変換:&lt;convTable cls=""&gt;&lt;conv code="0" item="両方" disp="両方" /&gt;&lt;conv code="1" item="左" disp="左" /&gt;&lt;conv code="2" item="右" disp="右" /&gt;&lt;conv code="3" item="なし" disp="なし" /&gt;&lt;conv code="-" item="不明" disp="不明" /&gt;&lt;/convTable&gt; ⇒ &lt;convTable cls="シャント位置"&gt;&lt;conv code="0" item="両方" disp="両方" /&gt;&lt;conv code="1" item="左" disp="左" /&gt;&lt;conv code="2" item="右" disp="右" /&gt;&lt;conv code="3" item="なし" disp="なし" /&gt;&lt;conv code="-" item="不明" disp="不明" /&gt;&lt;/convTable&gt;_x000D_
</t>
  </si>
  <si>
    <t>2025/06/20 15:12:37</t>
  </si>
  <si>
    <t>##患者情報.原疾患.病名</t>
  </si>
  <si>
    <t>##患者情報.感染症(+)(-).感染症</t>
  </si>
  <si>
    <t>##指示.投薬.薬剤名</t>
  </si>
  <si>
    <t>原疾患</t>
  </si>
  <si>
    <t>病名</t>
  </si>
  <si>
    <t>26</t>
  </si>
  <si>
    <t>disease_name</t>
  </si>
  <si>
    <t>慢性糸球体腎炎</t>
  </si>
  <si>
    <t>E24:N24</t>
  </si>
  <si>
    <t>感染症</t>
  </si>
  <si>
    <t>infection_name</t>
  </si>
  <si>
    <t>Hbc抗体</t>
  </si>
  <si>
    <t>E25:I25</t>
  </si>
  <si>
    <t>投薬</t>
  </si>
  <si>
    <t>薬剤名</t>
  </si>
  <si>
    <t>4</t>
  </si>
  <si>
    <t>medi_name</t>
  </si>
  <si>
    <t>テスト薬剤１</t>
  </si>
  <si>
    <t>&lt;SelectSetting&gt;&lt;Item tag="Medicine" checkState="Checked" /&gt;&lt;/SelectSetting&gt;</t>
  </si>
  <si>
    <t>Medicine</t>
  </si>
  <si>
    <t>B31:K31</t>
  </si>
  <si>
    <t>指示.投薬</t>
  </si>
  <si>
    <t>2025/06/20 15:18:02</t>
  </si>
  <si>
    <t xml:space="preserve">新規追加_x000D_
表示文字数:35_x000D_
改頁しない_x000D_
プレビューデータ:慢性糸球体腎炎_x000D_
書式:G/標準_x000D_
縮小しない_x000D_
テンプレート内外:_x000D_
</t>
  </si>
  <si>
    <t xml:space="preserve">新規追加_x000D_
表示文字数:17_x000D_
改頁しない_x000D_
繰返場所:E25:I25,E26:I26,E27:I27,J25:N25,J26:N26,J27:N27_x000D_
グループ名:患者情報.感染症(+)(-)_x000D_
プレビューデータ:Hbc抗体_x000D_
書式:G/標準_x000D_
縮小しない_x000D_
テンプレート内外:_x000D_
</t>
  </si>
  <si>
    <t xml:space="preserve">新規追加_x000D_
表示文字数:31_x000D_
改頁しない_x000D_
繰返場所:B31:K31,B32:K32,B33:K33,B34:K34,B35:K35,B36:K36,B37:K37,B38:K38,B39:K39,B40:K40_x000D_
グループ名:指示.投薬_x000D_
プレビューデータ:テスト薬剤１_x000D_
書式:G/標準_x000D_
抽出条件:&lt;SelectSetting&gt;&lt;Item tag="Medicine" checkState="Checked" /&gt;&lt;/SelectSetting&gt;_x000D_
縮小しない_x000D_
テンプレート内外:_x000D_
</t>
  </si>
  <si>
    <t>患者情報.感染症(+)(-).患者情報.感染症(+)(-).E25:I25</t>
  </si>
  <si>
    <t>指示.投薬.指示.投薬.B31:K31</t>
  </si>
  <si>
    <t>10</t>
  </si>
  <si>
    <t xml:space="preserve">改頁しない_x000D_
抽出条件:&lt;SelectSetting&gt;&lt;Item tag="Medicine" checkState="Checked" /&gt;&lt;/SelectSetting&gt;_x000D_
</t>
  </si>
  <si>
    <t>2025/06/20 15:18:03</t>
  </si>
  <si>
    <t>##指示.投薬.薬剤名</t>
    <phoneticPr fontId="1"/>
  </si>
  <si>
    <t>##指示.投薬.数量</t>
  </si>
  <si>
    <t>##指示.投薬.治療日</t>
  </si>
  <si>
    <t>L31</t>
  </si>
  <si>
    <t>2025/06/20 15:22:21</t>
  </si>
  <si>
    <t>テンプレート設定</t>
  </si>
  <si>
    <t xml:space="preserve">設定:無効 ⇒ 有効_x000D_
範囲:未設定 ⇒ L31_x000D_
横回数:1 ⇒ 4_x000D_
縦回数:1 ⇒ 10_x000D_
改頁しない_x000D_
</t>
  </si>
  <si>
    <t>外</t>
  </si>
  <si>
    <t>治療日</t>
  </si>
  <si>
    <t>treat_date</t>
  </si>
  <si>
    <t>L30</t>
  </si>
  <si>
    <t>数量</t>
  </si>
  <si>
    <t>medi_amount</t>
  </si>
  <si>
    <t>内</t>
  </si>
  <si>
    <t>2025/06/20 15:22:22</t>
  </si>
  <si>
    <t xml:space="preserve">設定変更_x000D_
テンプレート内外: ⇒ 外_x000D_
</t>
  </si>
  <si>
    <t xml:space="preserve">新規追加_x000D_
改頁しない_x000D_
繰返場所:L30,M30,N30,O30_x000D_
グループ名:指示.投薬_x000D_
プレビューデータ:(金)_x000D_
書式:(aaa)_x000D_
抽出条件:&lt;SelectSetting&gt;&lt;Item tag="Medicine" checkState="Checked" /&gt;&lt;/SelectSetting&gt;_x000D_
縮小しない_x000D_
テンプレート内外:外_x000D_
</t>
  </si>
  <si>
    <t xml:space="preserve">設定変更_x000D_
表示文字数:31 ⇒ _x000D_
縮小しない_x000D_
テンプレート内外: ⇒ 外_x000D_
</t>
  </si>
  <si>
    <t xml:space="preserve">新規追加_x000D_
改頁しない_x000D_
繰返場所:L31,L32,L33,L34,L35,L36,L37,L38,L39,L40,M31,M32,M33,M34,M35,M36,M37,M38,M39,M40,N31,N32,N33,N34,N35,N36,N37,N38,N39,N40,O31,O32,O33,O34,O35,O36,O37,O38,O39,O40_x000D_
グループ名:指示.投薬_x000D_
プレビューデータ:1_x000D_
書式:0_x000D_
抽出条件:&lt;SelectSetting&gt;&lt;Item tag="Medicine" checkState="Checked" /&gt;&lt;/SelectSetting&gt;_x000D_
縮小しない_x000D_
テンプレート内外:内_x000D_
</t>
  </si>
  <si>
    <t>患者情報.身体情報(降順).患者情報.身体情報(降順).外.E21:H21</t>
  </si>
  <si>
    <t>患者情報.感染症(+)(-).患者情報.感染症(+)(-).外.E25:I25</t>
  </si>
  <si>
    <t>指示.投薬.指示.投薬.外.L30</t>
  </si>
  <si>
    <t>指示.投薬.指示.投薬.内.L31</t>
  </si>
  <si>
    <t>2025/06/20 15:22:23</t>
  </si>
  <si>
    <t>曜日</t>
  </si>
  <si>
    <t>項目値</t>
  </si>
  <si>
    <t>2025/06/20 15:22:24</t>
  </si>
  <si>
    <t xml:space="preserve">横の集計単位: ⇒ treat_date_x000D_
縦の集計単位: ⇒ medi_name_x000D_
集計単位日付: ⇒ 曜日_x000D_
表示内容: ⇒ 項目値_x000D_
</t>
  </si>
  <si>
    <t>2025/06/20 15:23:52</t>
  </si>
  <si>
    <t xml:space="preserve">設定変更_x000D_
プレビューデータ:(金) ⇒ 2011/03/04_x000D_
書式:(aaa) ⇒ yyyy/mm/dd_x000D_
</t>
  </si>
  <si>
    <t>##指示.医材.医療材料名</t>
  </si>
  <si>
    <t>##印刷情報.共通情報.印刷日時</t>
  </si>
  <si>
    <t>##施設.施設情報.施設名</t>
  </si>
  <si>
    <t>〒</t>
    <phoneticPr fontId="1"/>
  </si>
  <si>
    <t>##施設.施設情報.郵便番号</t>
  </si>
  <si>
    <t>##施設.施設情報.住所</t>
  </si>
  <si>
    <t>##施設.施設情報.FAX1</t>
  </si>
  <si>
    <t>##施設.施設情報.電話番号1</t>
  </si>
  <si>
    <t>医材</t>
  </si>
  <si>
    <t>医療材料名</t>
  </si>
  <si>
    <t>74</t>
  </si>
  <si>
    <t>equip_name</t>
  </si>
  <si>
    <t>テスト穿刺針</t>
  </si>
  <si>
    <t>&lt;SelectSetting&gt;&lt;Item tag="Equipment" checkState="Checked" /&gt;&lt;/SelectSetting&gt;</t>
  </si>
  <si>
    <t>Equip</t>
  </si>
  <si>
    <t>Q30:Z30</t>
  </si>
  <si>
    <t>指示.医材</t>
  </si>
  <si>
    <t>印刷情報</t>
  </si>
  <si>
    <t>共通情報</t>
  </si>
  <si>
    <t>印刷日時</t>
  </si>
  <si>
    <t>prt_dt</t>
  </si>
  <si>
    <t>S42:Z42</t>
  </si>
  <si>
    <t>施設</t>
  </si>
  <si>
    <t>施設情報</t>
  </si>
  <si>
    <t>施設名</t>
  </si>
  <si>
    <t>300</t>
  </si>
  <si>
    <t>大塚医院</t>
  </si>
  <si>
    <t>B43:G43</t>
  </si>
  <si>
    <t>X43:Z43</t>
  </si>
  <si>
    <t>false</t>
  </si>
  <si>
    <t>郵便番号</t>
  </si>
  <si>
    <t>zipcd</t>
  </si>
  <si>
    <t>321－0966</t>
  </si>
  <si>
    <t>AB43</t>
  </si>
  <si>
    <t>address</t>
  </si>
  <si>
    <t>宇都宮市今泉５－３－５</t>
  </si>
  <si>
    <t>AC43</t>
  </si>
  <si>
    <t>X44:Z44</t>
  </si>
  <si>
    <t>2025/06/20 15:29:25</t>
  </si>
  <si>
    <t xml:space="preserve">新規追加_x000D_
表示文字数:35_x000D_
改頁しない_x000D_
繰返場所:Q30:Z30,Q31:Z31,Q32:Z32,Q33:Z33,Q34:Z34,Q35:Z35,Q36:Z36,Q37:Z37,Q38:Z38,Q39:Z39_x000D_
グループ名:指示.医材_x000D_
プレビューデータ:テスト穿刺針_x000D_
書式:G/標準_x000D_
抽出条件:&lt;SelectSetting&gt;&lt;Item tag="Equipment" checkState="Checked" /&gt;&lt;/SelectSetting&gt;_x000D_
縮小しない_x000D_
テンプレート内外:外_x000D_
</t>
  </si>
  <si>
    <t xml:space="preserve">新規追加_x000D_
改頁しない_x000D_
プレビューデータ:2011/06/03_x000D_
書式:yyyy/mm/dd_x000D_
縮小しない_x000D_
テンプレート内外:外_x000D_
</t>
  </si>
  <si>
    <t xml:space="preserve">新規追加_x000D_
改頁しない_x000D_
プレビューデータ:大塚医院_x000D_
書式:G/標準_x000D_
縮小しない_x000D_
テンプレート内外:外_x000D_
</t>
  </si>
  <si>
    <t xml:space="preserve">新規追加_x000D_
改頁しない_x000D_
プレビューデータ:028-621-7600_x000D_
書式:G/標準_x000D_
縮小しない_x000D_
テンプレート内外:外_x000D_
</t>
  </si>
  <si>
    <t xml:space="preserve">新規追加_x000D_
改頁しない_x000D_
プレビューデータ:321－0966_x000D_
書式:G/標準_x000D_
縮小しない_x000D_
テンプレート内外:外_x000D_
</t>
  </si>
  <si>
    <t xml:space="preserve">新規追加_x000D_
改頁しない_x000D_
プレビューデータ:宇都宮市今泉５－３－５_x000D_
書式:G/標準_x000D_
縮小しない_x000D_
テンプレート内外:外_x000D_
</t>
  </si>
  <si>
    <t xml:space="preserve">新規追加_x000D_
改頁しない_x000D_
プレビューデータ:_x000D_
書式:G/標準_x000D_
縮小しない_x000D_
テンプレート内外:外_x000D_
</t>
  </si>
  <si>
    <t>指示.医材.指示.医材.外.Q30:Z30</t>
  </si>
  <si>
    <t xml:space="preserve">改頁しない_x000D_
抽出条件:&lt;SelectSetting&gt;&lt;Item tag="Equipment" checkState="Checked" /&gt;&lt;/SelectSetting&gt;_x000D_
</t>
  </si>
  <si>
    <t>L43:V43</t>
  </si>
  <si>
    <t>2025/06/20 15:31:23</t>
  </si>
  <si>
    <t xml:space="preserve">設定変更_x000D_
表示文字数:35 ⇒ _x000D_
縮小しない_x000D_
</t>
  </si>
  <si>
    <t>##患者情報.入外・転入出.施設(転出先)</t>
  </si>
  <si>
    <t>御中</t>
    <rPh sb="0" eb="2">
      <t>オンチュウ</t>
    </rPh>
    <phoneticPr fontId="1"/>
  </si>
  <si>
    <t>B4:D4</t>
  </si>
  <si>
    <t>2025/06/20 15:46:13</t>
  </si>
  <si>
    <t xml:space="preserve">新規追加_x000D_
改頁しない_x000D_
繰返場所:B4:D4_x000D_
グループ名:患者情報.入外・転入出_x000D_
プレビューデータ:日機装第一クリニック_x000D_
書式:G/標準_x000D_
縮小しない_x000D_
テンプレート内外:外_x000D_
</t>
  </si>
  <si>
    <t>患者情報.入外・転入出.患者情報.入外・転入出.外.B4:D4</t>
  </si>
  <si>
    <t>2025/06/20 15:46:14</t>
  </si>
  <si>
    <t>2025/06/20 15:56:35</t>
  </si>
  <si>
    <t xml:space="preserve">設定変更_x000D_
データ変換:&lt;convTable cls=""&gt;&lt;conv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 ⇒ &lt;convTable cls=""&gt;&lt;conv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/&gt;&lt;/convTable&gt;_x000D_
</t>
  </si>
  <si>
    <t>2025/07/09 11:18:13</t>
  </si>
  <si>
    <t xml:space="preserve">設定変更_x000D_
書式:0 ⇒ 0.00_x000D_
</t>
  </si>
  <si>
    <t>##患者情報.感染症(+)(-)(不明).感染症</t>
  </si>
  <si>
    <t>##患者情報.感染症(+)(-).感染症結果</t>
  </si>
  <si>
    <t>感染症(+)(-)(不明)</t>
  </si>
  <si>
    <t>25</t>
  </si>
  <si>
    <t>AA25</t>
  </si>
  <si>
    <t>患者情報.感染症(+)(-)(不明)</t>
  </si>
  <si>
    <t>感染症結果</t>
  </si>
  <si>
    <t>infect</t>
  </si>
  <si>
    <t>AB25</t>
  </si>
  <si>
    <t>2025/07/09 11:24:47</t>
  </si>
  <si>
    <t xml:space="preserve">新規追加_x000D_
改頁しない_x000D_
繰返場所:AA25,AA26,AA27,AC25,AC26,AC27_x000D_
グループ名:患者情報.感染症(+)(-)(不明)_x000D_
プレビューデータ:Hbc抗体_x000D_
書式:G/標準_x000D_
縮小しない_x000D_
テンプレート内外:外_x000D_
</t>
  </si>
  <si>
    <t xml:space="preserve">新規追加_x000D_
改頁しない_x000D_
繰返場所:AB25,AB26,AB27_x000D_
グループ名:患者情報.感染症(+)(-)_x000D_
プレビューデータ:(-)_x000D_
書式:G/標準_x000D_
データ変換:&lt;convTable cls="感染症結果"&gt;&lt;conv code="0" item="不明" disp="不明" /&gt;&lt;conv code="1" item="(-)" disp="(-)" /&gt;&lt;conv code="2" item="(+)" disp="(+)" /&gt;&lt;/convTable&gt;_x000D_
縮小しない_x000D_
テンプレート内外:外_x000D_
</t>
  </si>
  <si>
    <t>患者情報.感染症(+)(-)(不明).患者情報.感染症(+)(-)(不明).外.AA25</t>
  </si>
  <si>
    <t>患者情報.感染症(+)(-).患者情報.感染症(+)(-).外.AB25</t>
  </si>
  <si>
    <t>2025/07/09 11:26:16</t>
  </si>
  <si>
    <t xml:space="preserve">設定変更_x000D_
データ変換:&lt;convTable cls=""&gt;&lt;conv code="0" item="不明" disp="不明" /&gt;&lt;conv code="1" item="(-)" disp="(-)" /&gt;&lt;conv code="2" item="(+)" disp="(+)" /&gt;&lt;/convTable&gt; ⇒ &lt;convTable cls="感染症結果"&gt;&lt;conv code="0" item="不明" disp="不明" /&gt;&lt;conv code="1" item="(-)" disp="(-)" /&gt;&lt;conv code="2" item="(+)" disp="(+)" /&gt;&lt;/convTable&gt;_x000D_
</t>
  </si>
  <si>
    <t>2025/07/09 11:27:01</t>
  </si>
  <si>
    <t>##患者情報.感染症(+)(-)(不明).感染症結果</t>
  </si>
  <si>
    <t>##患者情報.感染症(+)(-)(不明).感染症結果</t>
    <phoneticPr fontId="1"/>
  </si>
  <si>
    <t>(不明)</t>
  </si>
  <si>
    <t>2025/07/09 11:28:52</t>
  </si>
  <si>
    <t xml:space="preserve">設定変更_x000D_
グループ名:患者情報.感染症(+)(-) ⇒ 患者情報.感染症(+)(-)(不明)_x000D_
プレビューデータ:(-) ⇒ (不明)_x000D_
データ変換:&lt;convTable cls=""&gt;&lt;conv code="0" item="不明" disp="不明" /&gt;&lt;conv code="1" item="(-)" disp="(-)" /&gt;&lt;conv code="2" item="(+)" disp="(+)" /&gt;&lt;/convTable&gt; ⇒ &lt;convTable cls="感染症結果"&gt;&lt;conv code="0" item="不明" disp="不明" /&gt;&lt;conv code="1" item="(-)" disp="(-)" /&gt;&lt;conv code="2" item="(+)" disp="(+)" /&gt;&lt;/convTable&gt;_x000D_
</t>
  </si>
  <si>
    <t>2025/07/09 11:31:09</t>
  </si>
  <si>
    <t xml:space="preserve">設定変更_x000D_
書式:0.00 ⇒ 0_x000D_
</t>
  </si>
  <si>
    <t>2025/07/09 11:33:12</t>
  </si>
  <si>
    <t>2025/07/09 11:37:17</t>
  </si>
  <si>
    <t>2025/07/09 11:39:11</t>
  </si>
  <si>
    <t xml:space="preserve">設定変更_x000D_
データ変換:&lt;convTable cls=""&gt;&lt;conv code="0" item="不明" disp="不明" /&gt;&lt;conv code="1" item="男性" disp="男性" /&gt;&lt;conv code="2" item="女性" disp="女性" /&gt;&lt;/convTable&gt; ⇒ &lt;convTable cls=""&gt;&lt;conv code="0" item="不明" disp="不明" /&gt;&lt;conv code="1" item="男性" disp="男" /&gt;&lt;conv code="2" item="女性" disp="女" /&gt;&lt;/convTable&gt;_x000D_
</t>
  </si>
  <si>
    <t>2025/07/09 11:40:58</t>
  </si>
  <si>
    <t>2025/07/09 11:41:47</t>
  </si>
  <si>
    <t>2025/07/09 11:44:44</t>
  </si>
  <si>
    <t>2025/07/09 11:47:06</t>
  </si>
  <si>
    <t>2025/07/09 11:49:28</t>
  </si>
  <si>
    <t>2025/07/09 11:51:47</t>
  </si>
  <si>
    <t>2025/07/09 11:55:12</t>
  </si>
  <si>
    <t>2025/07/09 12:02:08</t>
  </si>
  <si>
    <t>2025/07/09 12:05:47</t>
  </si>
  <si>
    <t>##指示.透析条件.抗凝固剤総量</t>
  </si>
  <si>
    <t>R19</t>
  </si>
  <si>
    <t>Y19</t>
  </si>
  <si>
    <t>Z19</t>
  </si>
  <si>
    <t>2025/07/09 15:50:49</t>
  </si>
  <si>
    <t xml:space="preserve">新規追加_x000D_
改頁しない_x000D_
プレビューデータ:1234567_x000D_
書式:G/標準_x000D_
縮小しない_x000D_
テンプレート内外:外_x000D_
</t>
  </si>
  <si>
    <t xml:space="preserve">新規追加_x000D_
改頁しない_x000D_
プレビューデータ:3000_x000D_
書式:0_x000D_
縮小しない_x000D_
テンプレート内外:外_x000D_
</t>
  </si>
  <si>
    <t xml:space="preserve">新規追加_x000D_
改頁しない_x000D_
プレビューデータ:U_x000D_
書式:G/標準_x000D_
縮小しない_x000D_
テンプレート内外:外_x000D_
</t>
  </si>
  <si>
    <t>R19:X19</t>
  </si>
  <si>
    <t>2025/07/10 11:22:16</t>
  </si>
  <si>
    <t>CanBarCode</t>
  </si>
  <si>
    <t>BarCode</t>
  </si>
  <si>
    <t>2025/10/14 10:39:44</t>
  </si>
  <si>
    <t xml:space="preserve">出力値のない列は省略する設定: ⇒ 0_x000D_
表示内容種類: ⇒ 先頭_x000D_
</t>
  </si>
  <si>
    <t>J31</t>
  </si>
  <si>
    <t>2025/10/14 10:52:20</t>
  </si>
  <si>
    <t xml:space="preserve">範囲:L31 ⇒ J31_x000D_
</t>
  </si>
  <si>
    <t>E9:J9</t>
  </si>
  <si>
    <t>E10:J10</t>
  </si>
  <si>
    <t>Q10:V10</t>
  </si>
  <si>
    <t>W10</t>
  </si>
  <si>
    <t>2025/10/14</t>
  </si>
  <si>
    <t>E11:J11</t>
  </si>
  <si>
    <t>Q11:V11</t>
  </si>
  <si>
    <t>W11</t>
  </si>
  <si>
    <t>E12:V12</t>
  </si>
  <si>
    <t>E14:L14</t>
  </si>
  <si>
    <t>P14:V14</t>
  </si>
  <si>
    <t>P15:V15</t>
  </si>
  <si>
    <t>W15</t>
  </si>
  <si>
    <t>E16:G16</t>
  </si>
  <si>
    <t>P16:V16</t>
  </si>
  <si>
    <t>E17:L17</t>
  </si>
  <si>
    <t>E18:L18</t>
  </si>
  <si>
    <t>P18:T18</t>
  </si>
  <si>
    <t>E19:L19</t>
  </si>
  <si>
    <t>P19:V19</t>
  </si>
  <si>
    <t>E20:G20</t>
  </si>
  <si>
    <t>P20:T20</t>
  </si>
  <si>
    <t>U20:V20</t>
  </si>
  <si>
    <t>E21:G21</t>
  </si>
  <si>
    <t>P21:T21</t>
  </si>
  <si>
    <t>U21:V21</t>
  </si>
  <si>
    <t>E22:G22</t>
  </si>
  <si>
    <t>P22:T22</t>
  </si>
  <si>
    <t>U22:V22</t>
  </si>
  <si>
    <t>P23:V23</t>
  </si>
  <si>
    <t>E24:L24</t>
  </si>
  <si>
    <t>P24:V24</t>
  </si>
  <si>
    <t>P25:V25</t>
  </si>
  <si>
    <t>W25</t>
  </si>
  <si>
    <t>Infection</t>
  </si>
  <si>
    <t>X25</t>
  </si>
  <si>
    <t>P26:T26</t>
  </si>
  <si>
    <t>P27:T27</t>
  </si>
  <si>
    <t>J30</t>
  </si>
  <si>
    <t>O30:V30</t>
  </si>
  <si>
    <t>B31:I31</t>
  </si>
  <si>
    <t>Q42:V42</t>
  </si>
  <si>
    <t>B43:F43</t>
  </si>
  <si>
    <t>J43:T43</t>
  </si>
  <si>
    <t>X43</t>
  </si>
  <si>
    <t xml:space="preserve">新規追加_x000D_
改頁しない_x000D_
プレビューデータ:ニッキソウ　タロウ_x000D_
書式:G/標準_x000D_
縮小しない_x000D_
テンプレート内外:外_x000D_
</t>
  </si>
  <si>
    <t xml:space="preserve">新規追加_x000D_
表示文字数:21_x000D_
改頁しない_x000D_
プレビューデータ:日機装　太郎_x000D_
書式:G/標準_x000D_
縮小しない_x000D_
テンプレート内外:外_x000D_
</t>
  </si>
  <si>
    <t xml:space="preserve">新規追加_x000D_
表示文字数:25_x000D_
改頁しない_x000D_
プレビューデータ:03-1234-5678_x000D_
書式:G/標準_x000D_
縮小しない_x000D_
テンプレート内外:外_x000D_
</t>
  </si>
  <si>
    <t xml:space="preserve">新規追加_x000D_
改頁しない_x000D_
プレビューデータ:男性_x000D_
書式:G/標準_x000D_
データ変換:&lt;convTable cls="性別"&gt;&lt;conv code="0" item="不明" disp="不明" /&gt;&lt;conv code="1" item="男性" disp="男性" /&gt;&lt;conv code="2" item="女性" disp="女性" /&gt;&lt;/convTable&gt;_x000D_
縮小しない_x000D_
テンプレート内外:外_x000D_
</t>
  </si>
  <si>
    <t xml:space="preserve">新規追加_x000D_
改頁しない_x000D_
プレビューデータ:2025/10/14_x000D_
書式:yyyy/mm/dd_x000D_
縮小しない_x000D_
テンプレート内外:外_x000D_
</t>
  </si>
  <si>
    <t xml:space="preserve">新規追加_x000D_
表示文字数:25_x000D_
改頁しない_x000D_
プレビューデータ:A型 Rh-_x000D_
書式:G/標準_x000D_
データ変換:&lt;convTable cls="血液型ABORH"&gt;&lt;conv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/&gt;&lt;/convTable&gt;_x000D_
縮小しない_x000D_
テンプレート内外:外_x000D_
</t>
  </si>
  <si>
    <t xml:space="preserve">新規追加_x000D_
改頁しない_x000D_
プレビューデータ:70_x000D_
書式:G/標準_x000D_
縮小しない_x000D_
テンプレート内外:外_x000D_
</t>
  </si>
  <si>
    <t xml:space="preserve">新規追加_x000D_
表示文字数:69_x000D_
改頁しない_x000D_
プレビューデータ:東京都渋谷区恵比寿3-43-2 日機装第１別館１F_x000D_
書式:G/標準_x000D_
縮小しない_x000D_
テンプレート内外:外_x000D_
</t>
  </si>
  <si>
    <t xml:space="preserve">新規追加_x000D_
表示文字数:30_x000D_
改頁しない_x000D_
プレビューデータ:HDF_x000D_
書式:G/標準_x000D_
縮小しない_x000D_
テンプレート内外:外_x000D_
</t>
  </si>
  <si>
    <t xml:space="preserve">新規追加_x000D_
改頁しない_x000D_
プレビューデータ:11年3ケ月_x000D_
書式:G/標準_x000D_
縮小しない_x000D_
テンプレート内外:外_x000D_
</t>
  </si>
  <si>
    <t xml:space="preserve">新規追加_x000D_
改頁しない_x000D_
プレビューデータ:月_x000D_
書式:G/標準_x000D_
縮小しない_x000D_
テンプレート内外:外_x000D_
</t>
  </si>
  <si>
    <t xml:space="preserve">新規追加_x000D_
改頁しない_x000D_
プレビューデータ:7_x000D_
書式:0_x000D_
縮小しない_x000D_
テンプレート内外:外_x000D_
</t>
  </si>
  <si>
    <t xml:space="preserve">新規追加_x000D_
改頁しない_x000D_
プレビューデータ:日機装病院_x000D_
書式:G/標準_x000D_
縮小しない_x000D_
テンプレート内外:外_x000D_
</t>
  </si>
  <si>
    <t xml:space="preserve">新規追加_x000D_
表示文字数:30_x000D_
改頁しない_x000D_
プレビューデータ:FDX-120GW_x000D_
書式:G/標準_x000D_
縮小しない_x000D_
テンプレート内外:外_x000D_
</t>
  </si>
  <si>
    <t xml:space="preserve">新規追加_x000D_
表示文字数:30_x000D_
改頁しない_x000D_
プレビューデータ:穿刺針A針_x000D_
書式:G/標準_x000D_
縮小しない_x000D_
テンプレート内外:外_x000D_
</t>
  </si>
  <si>
    <t xml:space="preserve">新規追加_x000D_
改頁しない_x000D_
プレビューデータ:180_x000D_
書式:0_x000D_
縮小しない_x000D_
テンプレート内外:外_x000D_
</t>
  </si>
  <si>
    <t xml:space="preserve">新規追加_x000D_
表示文字数:30_x000D_
改頁しない_x000D_
プレビューデータ:穿刺針V針_x000D_
書式:G/標準_x000D_
縮小しない_x000D_
テンプレート内外:外_x000D_
</t>
  </si>
  <si>
    <t xml:space="preserve">新規追加_x000D_
改頁しない_x000D_
プレビューデータ:55.00_x000D_
書式:0.00_x000D_
縮小しない_x000D_
テンプレート内外:外_x000D_
</t>
  </si>
  <si>
    <t xml:space="preserve">新規追加_x000D_
改頁しない_x000D_
プレビューデータ:1000_x000D_
書式:0.00_x000D_
縮小しない_x000D_
テンプレート内外:外_x000D_
</t>
  </si>
  <si>
    <t xml:space="preserve">新規追加_x000D_
改頁しない_x000D_
繰返場所:E21:G21_x000D_
グループ名:患者情報.身体情報(降順)_x000D_
プレビューデータ:35.05_x000D_
書式:0.00_x000D_
縮小しない_x000D_
テンプレート内外:外_x000D_
</t>
  </si>
  <si>
    <t xml:space="preserve">新規追加_x000D_
改頁しない_x000D_
プレビューデータ:500_x000D_
書式:0_x000D_
縮小しない_x000D_
テンプレート内外:外_x000D_
</t>
  </si>
  <si>
    <t xml:space="preserve">新規追加_x000D_
改頁しない_x000D_
プレビューデータ:U/h_x000D_
書式:G/標準_x000D_
縮小しない_x000D_
テンプレート内外:外_x000D_
</t>
  </si>
  <si>
    <t xml:space="preserve">新規追加_x000D_
改頁しない_x000D_
プレビューデータ:55.05_x000D_
書式:0.00_x000D_
縮小しない_x000D_
テンプレート内外:外_x000D_
</t>
  </si>
  <si>
    <t xml:space="preserve">新規追加_x000D_
改頁しない_x000D_
プレビューデータ:2000_x000D_
書式:0.00_x000D_
縮小しない_x000D_
テンプレート内外:外_x000D_
</t>
  </si>
  <si>
    <t xml:space="preserve">新規追加_x000D_
改頁しない_x000D_
プレビューデータ:左手前腕内シャント化静脈_x000D_
書式:G/標準_x000D_
縮小しない_x000D_
テンプレート内外:外_x000D_
</t>
  </si>
  <si>
    <t xml:space="preserve">新規追加_x000D_
表示文字数:30_x000D_
改頁しない_x000D_
プレビューデータ:慢性糸球体腎炎_x000D_
書式:G/標準_x000D_
縮小しない_x000D_
テンプレート内外:外_x000D_
</t>
  </si>
  <si>
    <t xml:space="preserve">新規追加_x000D_
改頁しない_x000D_
プレビューデータ:左_x000D_
書式:G/標準_x000D_
データ変換:&lt;convTable cls="シャント位置"&gt;&lt;conv code="0" item="両方" disp="両方" /&gt;&lt;conv code="1" item="左" disp="左" /&gt;&lt;conv code="2" item="右" disp="右" /&gt;&lt;conv code="3" item="なし" disp="なし" /&gt;&lt;conv code="-" item="不明" disp="不明" /&gt;&lt;/convTable&gt;_x000D_
縮小しない_x000D_
テンプレート内外:外_x000D_
</t>
  </si>
  <si>
    <t xml:space="preserve">新規追加_x000D_
改頁しない_x000D_
繰返場所:W25_x000D_
グループ名:患者情報.感染症(+)(-)(不明)_x000D_
プレビューデータ:Hbc抗体_x000D_
書式:G/標準_x000D_
縮小しない_x000D_
テンプレート内外:外_x000D_
</t>
  </si>
  <si>
    <t xml:space="preserve">新規追加_x000D_
改頁しない_x000D_
繰返場所:X25_x000D_
グループ名:患者情報.感染症(+)(-)(不明)_x000D_
プレビューデータ:(不明)_x000D_
書式:G/標準_x000D_
データ変換:&lt;convTable cls="感染症結果"&gt;&lt;conv code="0" item="不明" disp="不明" /&gt;&lt;conv code="1" item="(-)" disp="(-)" /&gt;&lt;conv code="2" item="(+)" disp="(+)" /&gt;&lt;/convTable&gt;_x000D_
縮小しない_x000D_
テンプレート内外:外_x000D_
</t>
  </si>
  <si>
    <t xml:space="preserve">新規追加_x000D_
改頁しない_x000D_
プレビューデータ:_x000D_
書式:0_x000D_
縮小しない_x000D_
テンプレート内外:外_x000D_
</t>
  </si>
  <si>
    <t xml:space="preserve">新規追加_x000D_
改頁しない_x000D_
プレビューデータ:6.00_x000D_
書式:0.00_x000D_
縮小しない_x000D_
テンプレート内外:外_x000D_
</t>
  </si>
  <si>
    <t xml:space="preserve">新規追加_x000D_
改頁しない_x000D_
繰返場所:J30,K30,L30,M30_x000D_
グループ名:指示.投薬_x000D_
プレビューデータ:2025/10/14_x000D_
書式:yyyy/mm/dd_x000D_
抽出条件:&lt;SelectSetting&gt;&lt;Item tag="Medicine" checkState="Checked" /&gt;&lt;/SelectSetting&gt;_x000D_
縮小しない_x000D_
テンプレート内外:外_x000D_
</t>
  </si>
  <si>
    <t xml:space="preserve">新規追加_x000D_
改頁しない_x000D_
繰返場所:O30:V30_x000D_
グループ名:指示.医材_x000D_
プレビューデータ:テスト穿刺針_x000D_
書式:G/標準_x000D_
抽出条件:&lt;SelectSetting&gt;&lt;Item tag="Equipment" checkState="Checked" /&gt;&lt;/SelectSetting&gt;_x000D_
縮小しない_x000D_
テンプレート内外:外_x000D_
</t>
  </si>
  <si>
    <t xml:space="preserve">新規追加_x000D_
改頁しない_x000D_
繰返場所:B31:I31,B32:I32,B33:I33,B34:I34,B35:I35,B36:I36,B37:I37,B38:I38,B39:I39,B40:I40_x000D_
グループ名:指示.投薬_x000D_
プレビューデータ:テスト薬剤１_x000D_
書式:G/標準_x000D_
抽出条件:&lt;SelectSetting&gt;&lt;Item tag="Medicine" checkState="Checked" /&gt;&lt;/SelectSetting&gt;_x000D_
縮小しない_x000D_
テンプレート内外:外_x000D_
</t>
  </si>
  <si>
    <t xml:space="preserve">新規追加_x000D_
改頁しない_x000D_
繰返場所:J31,J32,J33,J34,J35,J36,J37,J38,J39,J40,K31,K32,K33,K34,K35,K36,K37,K38,K39,K40,L31,L32,L33,L34,L35,L36,L37,L38,L39,L40,M31,M32,M33,M34,M35,M36,M37,M38,M39,M40_x000D_
グループ名:指示.投薬_x000D_
プレビューデータ:1_x000D_
書式:0_x000D_
抽出条件:&lt;SelectSetting&gt;&lt;Item tag="Medicine" checkState="Checked" /&gt;&lt;/SelectSetting&gt;_x000D_
縮小しない_x000D_
テンプレート内外:内_x000D_
</t>
  </si>
  <si>
    <t>患者情報.身体情報(降順).患者情報.身体情報(降順).外.E21:G21</t>
  </si>
  <si>
    <t>患者情報.感染症(+)(-)(不明).患者情報.感染症(+)(-)(不明).外.W25</t>
  </si>
  <si>
    <t>&lt;SelectSetting&gt;&lt;Item tag="Infection" checkState="Checked" /&gt;&lt;/SelectSetting&gt;</t>
  </si>
  <si>
    <t>指示.投薬.指示.投薬.外.J30</t>
  </si>
  <si>
    <t>指示.医材.指示.医材.外.O30:V30</t>
  </si>
  <si>
    <t>指示.投薬.指示.投薬.内.J31</t>
  </si>
  <si>
    <t>40</t>
  </si>
  <si>
    <t>2025/10/14 10:52:21</t>
  </si>
  <si>
    <t xml:space="preserve">改頁しない_x000D_
抽出条件:&lt;SelectSetting&gt;&lt;Item tag="Infection" checkState="Checked" /&gt;&lt;/SelectSetting&gt;_x000D_
</t>
  </si>
  <si>
    <t>先頭</t>
    <phoneticPr fontId="1"/>
  </si>
  <si>
    <t>##患者情報.身体情報(降順).DW</t>
  </si>
  <si>
    <t>##患者情報.身体情報(降順).DW</t>
    <phoneticPr fontId="1"/>
  </si>
  <si>
    <t>透析条件紹介状</t>
    <rPh sb="0" eb="4">
      <t>トウセキジョウケン</t>
    </rPh>
    <rPh sb="4" eb="7">
      <t>ショウカイジョウ</t>
    </rPh>
    <phoneticPr fontId="1"/>
  </si>
  <si>
    <t>患者情報.身体情報(降順)DW</t>
  </si>
  <si>
    <t>CTR測定日時</t>
  </si>
  <si>
    <t>ctr_measure_date</t>
  </si>
  <si>
    <t>J21:L21</t>
  </si>
  <si>
    <t>##患者情報.感染症(+)(-)(不明).感染症 ##患者情報.感染症(+)(-)(不明).感染症結果</t>
  </si>
  <si>
    <t>E25:H25</t>
  </si>
  <si>
    <t>2025/10/14 11:11:05</t>
  </si>
  <si>
    <t xml:space="preserve">設定変更_x000D_
繰返場所: ⇒ E20:G20_x000D_
グループ名: ⇒ 患者情報.身体情報(降順)DW_x000D_
</t>
  </si>
  <si>
    <t>患者情報.身体情報(降順).患者情報.身体情報(降順)DW.外.E20:G20</t>
  </si>
  <si>
    <t>J43:R43</t>
  </si>
  <si>
    <t>phone_no1</t>
  </si>
  <si>
    <t>028-621-7600</t>
  </si>
  <si>
    <t>T43:V43</t>
  </si>
  <si>
    <t>FAX1</t>
  </si>
  <si>
    <t>fax_no1</t>
  </si>
  <si>
    <t>T44:V44</t>
  </si>
  <si>
    <t>2025/10/14 11:18:15</t>
  </si>
  <si>
    <t>I31</t>
  </si>
  <si>
    <t>2025/10/14 11:27:18</t>
  </si>
  <si>
    <t xml:space="preserve">範囲:J31 ⇒ I31_x000D_
</t>
  </si>
  <si>
    <t>E9:I9</t>
  </si>
  <si>
    <t>E10:I10</t>
  </si>
  <si>
    <t>P10:U10</t>
  </si>
  <si>
    <t>V10</t>
  </si>
  <si>
    <t>E11:I11</t>
  </si>
  <si>
    <t>P11:U11</t>
  </si>
  <si>
    <t>V11</t>
  </si>
  <si>
    <t>67</t>
  </si>
  <si>
    <t>E12:U12</t>
  </si>
  <si>
    <t>27</t>
  </si>
  <si>
    <t>E14:K14</t>
  </si>
  <si>
    <t>O14:U14</t>
  </si>
  <si>
    <t>O15:U15</t>
  </si>
  <si>
    <t>V15</t>
  </si>
  <si>
    <t>O16:U16</t>
  </si>
  <si>
    <t>E17:K17</t>
  </si>
  <si>
    <t>E18:K18</t>
  </si>
  <si>
    <t>O18:S18</t>
  </si>
  <si>
    <t>E19:K19</t>
  </si>
  <si>
    <t>O19:U19</t>
  </si>
  <si>
    <t>O20:S20</t>
  </si>
  <si>
    <t>T20:U20</t>
  </si>
  <si>
    <t>I21:K21</t>
  </si>
  <si>
    <t>O21:S21</t>
  </si>
  <si>
    <t>T21:U21</t>
  </si>
  <si>
    <t>O22:S22</t>
  </si>
  <si>
    <t>T22:U22</t>
  </si>
  <si>
    <t>O23:U23</t>
  </si>
  <si>
    <t>E24:K24</t>
  </si>
  <si>
    <t>O24:U24</t>
  </si>
  <si>
    <t>O25:U25</t>
  </si>
  <si>
    <t>V25</t>
  </si>
  <si>
    <t>O26:S26</t>
  </si>
  <si>
    <t>O27:S27</t>
  </si>
  <si>
    <t>I30,J30,K30,L30</t>
  </si>
  <si>
    <t>I30</t>
  </si>
  <si>
    <t>N30:U30</t>
  </si>
  <si>
    <t>B31:H31,B32:H32,B33:H33,B34:H34,B35:H35,B36:H36,B37:H37,B38:H38,B39:H39,B40:H40</t>
  </si>
  <si>
    <t>B31:H31</t>
  </si>
  <si>
    <t>I31,I32,I33,I34,I35,I36,I37,I38,I39,I40,J31,J32,J33,J34,J35,J36,J37,J38,J39,J40,K31,K32,K33,K34,K35,K36,K37,K38,K39,K40,L31,L32,L33,L34,L35,L36,L37,L38,L39,L40</t>
  </si>
  <si>
    <t>P42:U42</t>
  </si>
  <si>
    <t>31</t>
  </si>
  <si>
    <t>I43:Q43</t>
  </si>
  <si>
    <t>S43:U43</t>
  </si>
  <si>
    <t>W43</t>
  </si>
  <si>
    <t>S44:U44</t>
  </si>
  <si>
    <t>2025/10/14 11:27:20</t>
  </si>
  <si>
    <t xml:space="preserve">新規追加_x000D_
表示文字数:19_x000D_
改頁しない_x000D_
プレビューデータ:日機装　太郎_x000D_
書式:G/標準_x000D_
縮小しない_x000D_
テンプレート内外:外_x000D_
</t>
  </si>
  <si>
    <t xml:space="preserve">新規追加_x000D_
表示文字数:67_x000D_
改頁しない_x000D_
プレビューデータ:東京都渋谷区恵比寿3-43-2 日機装第１別館１F_x000D_
書式:G/標準_x000D_
縮小しない_x000D_
テンプレート内外:外_x000D_
</t>
  </si>
  <si>
    <t xml:space="preserve">新規追加_x000D_
表示文字数:27_x000D_
改頁しない_x000D_
プレビューデータ:HDF_x000D_
書式:G/標準_x000D_
縮小しない_x000D_
テンプレート内外:外_x000D_
</t>
  </si>
  <si>
    <t xml:space="preserve">新規追加_x000D_
表示文字数:27_x000D_
改頁しない_x000D_
プレビューデータ:FDX-120GW_x000D_
書式:G/標準_x000D_
縮小しない_x000D_
テンプレート内外:外_x000D_
</t>
  </si>
  <si>
    <t xml:space="preserve">新規追加_x000D_
表示文字数:27_x000D_
改頁しない_x000D_
プレビューデータ:穿刺針A針_x000D_
書式:G/標準_x000D_
縮小しない_x000D_
テンプレート内外:外_x000D_
</t>
  </si>
  <si>
    <t xml:space="preserve">新規追加_x000D_
表示文字数:27_x000D_
改頁しない_x000D_
プレビューデータ:穿刺針V針_x000D_
書式:G/標準_x000D_
縮小しない_x000D_
テンプレート内外:外_x000D_
</t>
  </si>
  <si>
    <t xml:space="preserve">新規追加_x000D_
表示文字数:27_x000D_
改頁しない_x000D_
プレビューデータ:慢性糸球体腎炎_x000D_
書式:G/標準_x000D_
縮小しない_x000D_
テンプレート内外:外_x000D_
</t>
  </si>
  <si>
    <t xml:space="preserve">新規追加_x000D_
改頁しない_x000D_
繰返場所:V25_x000D_
グループ名:患者情報.感染症(+)(-)(不明)_x000D_
プレビューデータ:Hbc抗体_x000D_
書式:G/標準_x000D_
縮小しない_x000D_
テンプレート内外:外_x000D_
</t>
  </si>
  <si>
    <t xml:space="preserve">設定変更_x000D_
プレビューデータ:Hbc抗体 ⇒ (不明)_x000D_
データ変換: ⇒ &lt;convTable cls="感染症結果"&gt;&lt;conv code="0" item="不明" disp="不明" /&gt;&lt;conv code="1" item="(-)" disp="(-)" /&gt;&lt;conv code="2" item="(+)" disp="(+)" /&gt;&lt;/convTable&gt;_x000D_
</t>
  </si>
  <si>
    <t xml:space="preserve">新規追加_x000D_
改頁しない_x000D_
繰返場所:I30,J30,K30,L30_x000D_
グループ名:指示.投薬_x000D_
プレビューデータ:2025/10/14_x000D_
書式:yyyy/mm/dd_x000D_
抽出条件:&lt;SelectSetting&gt;&lt;Item tag="Medicine" checkState="Checked" /&gt;&lt;/SelectSetting&gt;_x000D_
縮小しない_x000D_
テンプレート内外:外_x000D_
</t>
  </si>
  <si>
    <t xml:space="preserve">新規追加_x000D_
改頁しない_x000D_
繰返場所:N30:U30_x000D_
グループ名:指示.医材_x000D_
プレビューデータ:テスト穿刺針_x000D_
書式:G/標準_x000D_
抽出条件:&lt;SelectSetting&gt;&lt;Item tag="Equipment" checkState="Checked" /&gt;&lt;/SelectSetting&gt;_x000D_
縮小しない_x000D_
テンプレート内外:外_x000D_
</t>
  </si>
  <si>
    <t xml:space="preserve">新規追加_x000D_
改頁しない_x000D_
繰返場所:B31:H31,B32:H32,B33:H33,B34:H34,B35:H35,B36:H36,B37:H37,B38:H38,B39:H39,B40:H40_x000D_
グループ名:指示.投薬_x000D_
プレビューデータ:テスト薬剤１_x000D_
書式:G/標準_x000D_
抽出条件:&lt;SelectSetting&gt;&lt;Item tag="Medicine" checkState="Checked" /&gt;&lt;/SelectSetting&gt;_x000D_
縮小しない_x000D_
テンプレート内外:外_x000D_
</t>
  </si>
  <si>
    <t xml:space="preserve">新規追加_x000D_
改頁しない_x000D_
繰返場所:I31,I32,I33,I34,I35,I36,I37,I38,I39,I40,J31,J32,J33,J34,J35,J36,J37,J38,J39,J40,K31,K32,K33,K34,K35,K36,K37,K38,K39,K40,L31,L32,L33,L34,L35,L36,L37,L38,L39,L40_x000D_
グループ名:指示.投薬_x000D_
プレビューデータ:1_x000D_
書式:0_x000D_
抽出条件:&lt;SelectSetting&gt;&lt;Item tag="Medicine" checkState="Checked" /&gt;&lt;/SelectSetting&gt;_x000D_
縮小しない_x000D_
テンプレート内外:内_x000D_
</t>
  </si>
  <si>
    <t xml:space="preserve">新規追加_x000D_
表示文字数:31_x000D_
改頁しない_x000D_
プレビューデータ:宇都宮市今泉５－３－５_x000D_
書式:G/標準_x000D_
縮小しない_x000D_
テンプレート内外:外_x000D_
</t>
  </si>
  <si>
    <t>指示.投薬.指示.投薬.外.I30</t>
  </si>
  <si>
    <t>指示.医材.指示.医材.外.N30:U30</t>
  </si>
  <si>
    <t>指示.投薬.指示.投薬.内.I31</t>
  </si>
  <si>
    <t>2025/10/14 11:27:21</t>
  </si>
  <si>
    <t>2025/10/14 11:27:41</t>
  </si>
  <si>
    <t>O18:R18</t>
  </si>
  <si>
    <t>O20:R20</t>
  </si>
  <si>
    <t>S20:U20</t>
  </si>
  <si>
    <t>O21:R21</t>
  </si>
  <si>
    <t>S21:U21</t>
  </si>
  <si>
    <t>O22:R22</t>
  </si>
  <si>
    <t>S22:U22</t>
  </si>
  <si>
    <t>V25,V26,V27,X25,X26,X27</t>
  </si>
  <si>
    <t>W25,W26,W27,Y25,Y26,Y27</t>
  </si>
  <si>
    <t>2025/10/14 11:42:21</t>
  </si>
  <si>
    <t xml:space="preserve">設定変更_x000D_
繰返場所:V25 ⇒ V25,V26,V27,X25,X26,X27_x000D_
</t>
  </si>
  <si>
    <t xml:space="preserve">設定変更_x000D_
繰返場所:W25 ⇒ W25,W26,W27,Y25,Y26,Y27_x000D_
データ変換:&lt;convTable cls=""&gt;&lt;conv code="0" item="不明" disp="不明" /&gt;&lt;conv code="1" item="(-)" disp="(-)" /&gt;&lt;conv code="2" item="(+)" disp="(+)" /&gt;&lt;/convTable&gt; ⇒ &lt;convTable cls="感染症結果"&gt;&lt;conv code="0" item="不明" disp="不明" /&gt;&lt;conv code="1" item="(-)" disp="(-)" /&gt;&lt;conv code="2" item="(+)" disp="(+)" /&gt;&lt;/convTable&gt;_x000D_
</t>
  </si>
  <si>
    <t>6</t>
  </si>
  <si>
    <t>&lt;convTable cls=""&gt;&lt;conv code="0" item="不明" disp="不明" /&gt;&lt;conv code="1" item="男性" disp="男" /&gt;&lt;conv code="2" item="女性" disp="女" /&gt;&lt;/convTable&gt;</t>
  </si>
  <si>
    <t>&lt;convTable cls=""&gt;&lt;conv code="0" item="不明" disp="不明" /&gt;&lt;conv code="10" item="A型 RH不明" disp="A型 RH不明" /&gt;&lt;conv code="20" item="B型 RH不明" disp="B型 RH不明" /&gt;&lt;conv code="30" item="O型 RH不明" disp="O型 RH不明" /&gt;&lt;conv code="40" item="AB型 RH不明" disp="AB型 RH不明" /&gt;&lt;conv code="1" item="不明 Rh+" disp="不明 RH+" /&gt;&lt;conv code="11" item="A型 Rh+" disp="A型 RH+" /&gt;&lt;conv code="21" item="B型 Rh+" disp="B型 RH+" /&gt;&lt;conv code="31" item="O型 Rh+" disp="O型 RH+" /&gt;&lt;conv code="41" item="AB型 Rh+" disp="AB型 RH+" /&gt;&lt;conv code="2" item="不明 Rh-" disp="不明 RH-" /&gt;&lt;conv code="12" item="A型 Rh-" disp="A型 RH-+" /&gt;&lt;conv code="22" item="B型 Rh-" disp="B型 RH-" /&gt;&lt;conv code="32" item="O型 Rh-" disp="O型 RH-" /&gt;&lt;conv code="42" item="AB型 Rh-" disp="AB型 RH-" /&gt;&lt;/convTable&gt;</t>
  </si>
  <si>
    <t>2025/10/14 11:48:06</t>
  </si>
  <si>
    <t>2025/10/14 11:49:02</t>
  </si>
  <si>
    <t>2025/10/14 11:51:38</t>
  </si>
  <si>
    <t>2025/10/14 11:55:24</t>
  </si>
  <si>
    <t>2025/10/14 11:59:02</t>
  </si>
  <si>
    <t>2025/10/14 13:04:26</t>
  </si>
  <si>
    <t>&lt;convTable cls=""&gt;&lt;conv code="0" item="両方" disp="両方" /&gt;&lt;conv code="1" item="左" disp="左" /&gt;&lt;conv code="2" item="右" disp="右" /&gt;&lt;conv code="3" item="なし" disp="なし" /&gt;&lt;conv code="-" item="不明" disp="不明" /&gt;&lt;/convTable&gt;</t>
  </si>
  <si>
    <t>&lt;convTable cls=""&gt;&lt;conv code="0" item="不明" disp="不明" /&gt;&lt;conv code="1" item="(-)" disp="(-)" /&gt;&lt;conv code="2" item="(+)" disp="(+)" /&gt;&lt;/convTable&gt;</t>
  </si>
  <si>
    <t>2025/10/16 11:25:02</t>
  </si>
  <si>
    <t xml:space="preserve">新規追加_x000D_
改頁しない_x000D_
プレビューデータ:ニッキソウ　タロウ_x000D_
縮小しない_x000D_
テンプレート内外:外_x000D_
</t>
  </si>
  <si>
    <t>##患者情報.装置設定.除水速度操作範囲上限</t>
  </si>
  <si>
    <t>##患者情報.装置設定.除水速度操作範囲上限</t>
    <phoneticPr fontId="1"/>
  </si>
  <si>
    <t>装置設定</t>
  </si>
  <si>
    <t>除水速度操作範囲上限</t>
  </si>
  <si>
    <t>211</t>
  </si>
  <si>
    <t>ope_dev_a_0181</t>
  </si>
  <si>
    <t>4.00</t>
  </si>
  <si>
    <t>2025/10/21 10:09:59</t>
  </si>
  <si>
    <t xml:space="preserve">設定変更_x000D_
プレビューデータ: ⇒ 4.00_x000D_
書式:0 ⇒ 0.00_x000D_
</t>
  </si>
  <si>
    <t>2025/10/21 10:12:36</t>
  </si>
  <si>
    <t xml:space="preserve">設定変更_x000D_
書式: ⇒ G/標準_x000D_
</t>
  </si>
  <si>
    <t>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</si>
</sst>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
      <sz val="12"/>
      <color theme="1"/>
      <name val="游ゴシック"/>
      <family val="3"/>
      <charset val="128"/>
    </font>
    <font>
      <sz val="9"/>
      <color theme="1"/>
      <name val="游ゴシック"/>
      <family val="3"/>
      <charset val="128"/>
    </font>
    <font>
      <sz val="10"/>
      <color theme="1"/>
      <name val="游ゴシック"/>
      <family val="3"/>
      <charset val="128"/>
    </font>
    <font>
      <u/>
      <sz val="10"/>
      <color theme="1"/>
      <name val="游ゴシック"/>
      <family val="3"/>
      <charset val="128"/>
    </font>
    <font>
      <b/>
      <sz val="11"/>
      <color theme="1"/>
      <name val="游ゴシック"/>
      <family val="3"/>
      <charset val="128"/>
    </font>
    <font>
      <b/>
      <sz val="12"/>
      <color theme="1"/>
      <name val="游ゴシック"/>
      <family val="3"/>
      <charset val="128"/>
    </font>
    <font>
      <b/>
      <sz val="13"/>
      <color theme="1"/>
      <name val="游ゴシック"/>
      <family val="3"/>
      <charset val="128"/>
    </font>
    <font>
      <b/>
      <u/>
      <sz val="10"/>
      <color theme="1"/>
      <name val="游ゴシック"/>
      <family val="3"/>
      <charset val="128"/>
    </font>
    <font>
      <b/>
      <sz val="16"/>
      <color theme="1"/>
      <name val="游ゴシック"/>
      <family val="3"/>
      <charset val="128"/>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top/>
      <bottom style="thin">
        <color auto="1"/>
      </bottom>
      <diagonal/>
    </border>
  </borders>
  <cellStyleXfs count="1">
    <xf numFmtId="0" fontId="0" fillId="0" borderId="0">
      <alignment vertical="center"/>
    </xf>
  </cellStyleXfs>
  <cellXfs count="92">
    <xf numFmtId="0" fontId="0" fillId="0" borderId="0" xfId="0">
      <alignment vertical="center"/>
    </xf>
    <xf numFmtId="49" fontId="0" fillId="0" borderId="0" xfId="0" applyNumberFormat="1" applyAlignment="1">
      <alignment vertical="center" shrinkToFit="1"/>
    </xf>
    <xf numFmtId="49" fontId="0" fillId="0" borderId="0" xfId="0" applyNumberFormat="1">
      <alignment vertical="center"/>
    </xf>
    <xf numFmtId="49" fontId="0" fillId="0" borderId="0" xfId="0" applyNumberFormat="1" applyAlignment="1">
      <alignment vertical="center" wrapText="1" shrinkToFit="1"/>
    </xf>
    <xf numFmtId="0" fontId="2" fillId="0" borderId="0" xfId="0" applyFont="1">
      <alignment vertical="center"/>
    </xf>
    <xf numFmtId="0" fontId="2" fillId="0" borderId="8" xfId="0" applyFont="1" applyBorder="1">
      <alignment vertical="center"/>
    </xf>
    <xf numFmtId="0" fontId="2" fillId="3" borderId="0" xfId="0" applyFont="1" applyFill="1">
      <alignment vertical="center"/>
    </xf>
    <xf numFmtId="0" fontId="5" fillId="0" borderId="0" xfId="0" applyFont="1">
      <alignment vertical="center"/>
    </xf>
    <xf numFmtId="0" fontId="6" fillId="0" borderId="0" xfId="0" applyFont="1" applyAlignment="1">
      <alignment vertical="center" shrinkToFit="1"/>
    </xf>
    <xf numFmtId="0" fontId="5" fillId="3" borderId="0" xfId="0" applyNumberFormat="1" applyFont="1" applyFill="1" applyAlignment="1">
      <alignment vertical="center" shrinkToFit="1"/>
    </xf>
    <xf numFmtId="0" fontId="5" fillId="3" borderId="0" xfId="0" applyFont="1" applyFill="1">
      <alignment vertical="center"/>
    </xf>
    <xf numFmtId="1" fontId="5" fillId="3" borderId="0" xfId="0" applyNumberFormat="1" applyFont="1" applyFill="1">
      <alignment vertical="center"/>
    </xf>
    <xf numFmtId="0" fontId="5" fillId="0" borderId="0" xfId="0" applyFont="1" applyAlignment="1">
      <alignment vertical="center" shrinkToFit="1"/>
    </xf>
    <xf numFmtId="0" fontId="5" fillId="3" borderId="0" xfId="0" applyFont="1" applyFill="1" applyAlignment="1">
      <alignment vertical="center" shrinkToFit="1"/>
    </xf>
    <xf numFmtId="0" fontId="2" fillId="0" borderId="1" xfId="0" applyFont="1" applyBorder="1" applyAlignment="1">
      <alignment horizontal="center" vertical="center"/>
    </xf>
    <xf numFmtId="1" fontId="2" fillId="0" borderId="1" xfId="0" applyNumberFormat="1" applyFont="1" applyBorder="1" applyAlignment="1">
      <alignment vertical="center" shrinkToFit="1"/>
    </xf>
    <xf numFmtId="0" fontId="2" fillId="0" borderId="1" xfId="0" applyFont="1" applyBorder="1">
      <alignment vertical="center"/>
    </xf>
    <xf numFmtId="0" fontId="4" fillId="0" borderId="0" xfId="0" applyFont="1">
      <alignment vertical="center"/>
    </xf>
    <xf numFmtId="0" fontId="2" fillId="3" borderId="0" xfId="0" applyNumberFormat="1" applyFont="1" applyFill="1" applyAlignment="1">
      <alignment vertical="center" shrinkToFit="1"/>
    </xf>
    <xf numFmtId="0" fontId="2" fillId="3" borderId="0" xfId="0" applyNumberFormat="1" applyFont="1" applyFill="1">
      <alignment vertical="center"/>
    </xf>
    <xf numFmtId="2" fontId="5" fillId="0" borderId="4" xfId="0" applyNumberFormat="1" applyFont="1" applyBorder="1" applyAlignment="1">
      <alignment horizontal="left" vertical="center"/>
    </xf>
    <xf numFmtId="0" fontId="10" fillId="0" borderId="0" xfId="0" applyFont="1" applyAlignment="1">
      <alignment vertical="center" shrinkToFit="1"/>
    </xf>
    <xf numFmtId="0" fontId="3" fillId="0" borderId="8" xfId="0" applyFont="1" applyBorder="1" applyAlignment="1">
      <alignment vertical="center"/>
    </xf>
    <xf numFmtId="176" fontId="5" fillId="0" borderId="1" xfId="0" applyNumberFormat="1" applyFont="1" applyBorder="1" applyAlignment="1">
      <alignment horizontal="center" vertical="center" shrinkToFit="1"/>
    </xf>
    <xf numFmtId="0" fontId="8"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NumberFormat="1" applyFont="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left" vertical="center" shrinkToFit="1"/>
    </xf>
    <xf numFmtId="0" fontId="9" fillId="0" borderId="2" xfId="0" applyFont="1" applyBorder="1" applyAlignment="1">
      <alignment horizontal="left" vertical="center"/>
    </xf>
    <xf numFmtId="0" fontId="2" fillId="0" borderId="0" xfId="0" applyNumberFormat="1" applyFont="1" applyAlignment="1">
      <alignment horizontal="left" vertical="center"/>
    </xf>
    <xf numFmtId="0" fontId="2" fillId="0" borderId="0" xfId="0" applyNumberFormat="1" applyFont="1" applyAlignment="1">
      <alignment horizontal="left" vertical="center" shrinkToFit="1"/>
    </xf>
    <xf numFmtId="0" fontId="10" fillId="0" borderId="0" xfId="0" applyFont="1" applyAlignment="1">
      <alignment horizontal="left" vertical="center" shrinkToFit="1"/>
    </xf>
    <xf numFmtId="1" fontId="5" fillId="0" borderId="3" xfId="0" applyNumberFormat="1" applyFont="1" applyBorder="1" applyAlignment="1">
      <alignment horizontal="right" vertical="center" shrinkToFit="1"/>
    </xf>
    <xf numFmtId="1" fontId="5" fillId="0" borderId="4" xfId="0" applyNumberFormat="1" applyFont="1" applyBorder="1" applyAlignment="1">
      <alignment horizontal="right" vertical="center" shrinkToFit="1"/>
    </xf>
    <xf numFmtId="2" fontId="5" fillId="0" borderId="4" xfId="0" applyNumberFormat="1" applyFont="1" applyBorder="1" applyAlignment="1">
      <alignment horizontal="center" vertical="center" shrinkToFit="1"/>
    </xf>
    <xf numFmtId="2" fontId="5" fillId="0" borderId="5" xfId="0" applyNumberFormat="1" applyFont="1" applyBorder="1" applyAlignment="1">
      <alignment horizontal="center" vertical="center" shrinkToFit="1"/>
    </xf>
    <xf numFmtId="2" fontId="5" fillId="0" borderId="3" xfId="0" applyNumberFormat="1" applyFont="1" applyBorder="1" applyAlignment="1">
      <alignment horizontal="right" vertical="center" shrinkToFit="1"/>
    </xf>
    <xf numFmtId="2" fontId="5" fillId="0" borderId="4" xfId="0" applyNumberFormat="1" applyFont="1" applyBorder="1" applyAlignment="1">
      <alignment horizontal="right" vertical="center" shrinkToFit="1"/>
    </xf>
    <xf numFmtId="0" fontId="10" fillId="0" borderId="0" xfId="0" applyFont="1" applyAlignment="1">
      <alignment horizontal="left" vertical="center" indent="1" shrinkToFit="1"/>
    </xf>
    <xf numFmtId="0" fontId="5" fillId="0" borderId="3" xfId="0" applyNumberFormat="1" applyFont="1" applyBorder="1" applyAlignment="1">
      <alignment horizontal="left" vertical="center"/>
    </xf>
    <xf numFmtId="0" fontId="5" fillId="0" borderId="4" xfId="0" applyNumberFormat="1" applyFont="1" applyBorder="1" applyAlignment="1">
      <alignment horizontal="left" vertical="center"/>
    </xf>
    <xf numFmtId="0" fontId="5" fillId="0" borderId="5" xfId="0" applyNumberFormat="1" applyFont="1" applyBorder="1" applyAlignment="1">
      <alignment horizontal="left" vertical="center"/>
    </xf>
    <xf numFmtId="0" fontId="5" fillId="0" borderId="4" xfId="0" applyFont="1" applyBorder="1" applyAlignment="1">
      <alignment horizontal="left" vertical="center" shrinkToFit="1"/>
    </xf>
    <xf numFmtId="0" fontId="5" fillId="0" borderId="5" xfId="0" applyFont="1" applyBorder="1" applyAlignment="1">
      <alignment horizontal="left" vertical="center" shrinkToFit="1"/>
    </xf>
    <xf numFmtId="0" fontId="5" fillId="0" borderId="4" xfId="0" applyNumberFormat="1" applyFont="1" applyBorder="1" applyAlignment="1">
      <alignment horizontal="left" vertical="center" shrinkToFit="1"/>
    </xf>
    <xf numFmtId="0" fontId="5" fillId="0" borderId="5" xfId="0" applyNumberFormat="1" applyFont="1" applyBorder="1" applyAlignment="1">
      <alignment horizontal="left" vertical="center" shrinkToFit="1"/>
    </xf>
    <xf numFmtId="0" fontId="5" fillId="0" borderId="3" xfId="0" applyNumberFormat="1" applyFont="1" applyBorder="1" applyAlignment="1">
      <alignment horizontal="left" vertical="center" shrinkToFit="1"/>
    </xf>
    <xf numFmtId="1" fontId="5" fillId="0" borderId="4" xfId="0" applyNumberFormat="1" applyFont="1" applyBorder="1" applyAlignment="1">
      <alignment horizontal="center" vertical="center"/>
    </xf>
    <xf numFmtId="1" fontId="5" fillId="0" borderId="5" xfId="0" applyNumberFormat="1" applyFont="1" applyBorder="1" applyAlignment="1">
      <alignment horizontal="center" vertical="center"/>
    </xf>
    <xf numFmtId="2" fontId="5" fillId="0" borderId="4" xfId="0" applyNumberFormat="1" applyFont="1" applyBorder="1" applyAlignment="1">
      <alignment horizontal="center" vertical="center"/>
    </xf>
    <xf numFmtId="2" fontId="5" fillId="0" borderId="5" xfId="0" applyNumberFormat="1" applyFont="1" applyBorder="1" applyAlignment="1">
      <alignment horizontal="center" vertical="center"/>
    </xf>
    <xf numFmtId="176" fontId="5" fillId="0" borderId="3" xfId="0" applyNumberFormat="1" applyFont="1" applyBorder="1" applyAlignment="1">
      <alignment horizontal="left" vertical="center" shrinkToFit="1"/>
    </xf>
    <xf numFmtId="176" fontId="5" fillId="0" borderId="4" xfId="0" applyNumberFormat="1" applyFont="1" applyBorder="1" applyAlignment="1">
      <alignment horizontal="left" vertical="center" shrinkToFit="1"/>
    </xf>
    <xf numFmtId="176" fontId="5" fillId="0" borderId="5" xfId="0" applyNumberFormat="1" applyFont="1" applyBorder="1" applyAlignment="1">
      <alignment horizontal="left" vertical="center" shrinkToFit="1"/>
    </xf>
    <xf numFmtId="0" fontId="4" fillId="0" borderId="3" xfId="0" applyNumberFormat="1" applyFont="1" applyBorder="1" applyAlignment="1">
      <alignment horizontal="left" vertical="center" shrinkToFit="1"/>
    </xf>
    <xf numFmtId="0" fontId="4" fillId="0" borderId="4" xfId="0" applyNumberFormat="1" applyFont="1" applyBorder="1" applyAlignment="1">
      <alignment horizontal="left" vertical="center" shrinkToFit="1"/>
    </xf>
    <xf numFmtId="0" fontId="4" fillId="0" borderId="5" xfId="0" applyNumberFormat="1" applyFont="1" applyBorder="1" applyAlignment="1">
      <alignment horizontal="left" vertical="center" shrinkToFit="1"/>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6" fillId="0" borderId="0" xfId="0" applyFont="1" applyAlignment="1">
      <alignment horizontal="center" vertical="center" shrinkToFit="1"/>
    </xf>
    <xf numFmtId="0" fontId="5" fillId="0" borderId="0" xfId="0" applyFont="1" applyAlignment="1">
      <alignment horizontal="center" vertical="center" shrinkToFit="1"/>
    </xf>
    <xf numFmtId="0" fontId="2" fillId="0" borderId="0" xfId="0" applyFont="1" applyAlignment="1">
      <alignment horizontal="center" vertical="center"/>
    </xf>
    <xf numFmtId="0" fontId="10" fillId="0" borderId="7" xfId="0" applyFont="1" applyBorder="1" applyAlignment="1">
      <alignment horizontal="left" vertical="center" shrinkToFit="1"/>
    </xf>
    <xf numFmtId="0" fontId="11" fillId="0" borderId="0" xfId="0" applyFont="1" applyAlignment="1">
      <alignment horizontal="distributed" vertical="center" indent="3"/>
    </xf>
    <xf numFmtId="0" fontId="5" fillId="0" borderId="0" xfId="0" applyFont="1" applyAlignment="1">
      <alignment horizontal="center" vertical="center"/>
    </xf>
    <xf numFmtId="0" fontId="2" fillId="0" borderId="2" xfId="0" applyFont="1" applyBorder="1" applyAlignment="1">
      <alignment horizontal="center" vertical="center"/>
    </xf>
    <xf numFmtId="0" fontId="5" fillId="0" borderId="5" xfId="0" applyNumberFormat="1" applyFont="1" applyBorder="1" applyAlignment="1">
      <alignment horizontal="center" vertical="center"/>
    </xf>
    <xf numFmtId="0" fontId="5" fillId="0" borderId="1" xfId="0" applyNumberFormat="1" applyFont="1" applyBorder="1" applyAlignment="1">
      <alignment horizontal="center" vertical="center"/>
    </xf>
    <xf numFmtId="176" fontId="5" fillId="0" borderId="1" xfId="0" applyNumberFormat="1" applyFont="1" applyBorder="1" applyAlignment="1">
      <alignment horizontal="left" vertical="center"/>
    </xf>
    <xf numFmtId="176" fontId="5" fillId="0" borderId="3" xfId="0" applyNumberFormat="1" applyFont="1" applyBorder="1" applyAlignment="1">
      <alignment horizontal="left" vertical="center"/>
    </xf>
    <xf numFmtId="1" fontId="5" fillId="0" borderId="1" xfId="0" applyNumberFormat="1" applyFont="1" applyBorder="1" applyAlignment="1">
      <alignment horizontal="center" vertical="center"/>
    </xf>
    <xf numFmtId="0" fontId="10" fillId="0" borderId="1" xfId="0" applyFont="1" applyBorder="1" applyAlignment="1">
      <alignment horizontal="left" vertical="center"/>
    </xf>
    <xf numFmtId="0" fontId="2" fillId="0" borderId="3" xfId="0" applyNumberFormat="1" applyFont="1" applyBorder="1" applyAlignment="1">
      <alignment horizontal="left" vertical="center" shrinkToFit="1"/>
    </xf>
    <xf numFmtId="0" fontId="2" fillId="0" borderId="4" xfId="0" applyNumberFormat="1" applyFont="1" applyBorder="1" applyAlignment="1">
      <alignment horizontal="left" vertical="center" shrinkToFit="1"/>
    </xf>
    <xf numFmtId="0" fontId="2" fillId="0" borderId="5" xfId="0" applyNumberFormat="1" applyFont="1" applyBorder="1" applyAlignment="1">
      <alignment horizontal="left" vertical="center" shrinkToFit="1"/>
    </xf>
    <xf numFmtId="1" fontId="5" fillId="0" borderId="3" xfId="0" applyNumberFormat="1" applyFont="1" applyBorder="1" applyAlignment="1">
      <alignment horizontal="right" vertical="center"/>
    </xf>
    <xf numFmtId="1" fontId="5" fillId="0" borderId="4" xfId="0" applyNumberFormat="1" applyFont="1" applyBorder="1" applyAlignment="1">
      <alignment horizontal="right" vertical="center"/>
    </xf>
    <xf numFmtId="1" fontId="5" fillId="0" borderId="4" xfId="0" applyNumberFormat="1" applyFont="1" applyBorder="1" applyAlignment="1">
      <alignment horizontal="left" vertical="center"/>
    </xf>
    <xf numFmtId="0" fontId="2" fillId="0" borderId="8" xfId="0" applyNumberFormat="1" applyFont="1" applyBorder="1" applyAlignment="1">
      <alignment horizontal="center" vertical="center" shrinkToFit="1"/>
    </xf>
    <xf numFmtId="2" fontId="5" fillId="0" borderId="3" xfId="0" applyNumberFormat="1" applyFont="1" applyBorder="1" applyAlignment="1">
      <alignment horizontal="right" vertical="center"/>
    </xf>
    <xf numFmtId="2" fontId="5" fillId="0" borderId="4" xfId="0" applyNumberFormat="1" applyFont="1" applyBorder="1" applyAlignment="1">
      <alignment horizontal="right" vertical="center"/>
    </xf>
    <xf numFmtId="0" fontId="5" fillId="0" borderId="7" xfId="0" applyFont="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5" fillId="0" borderId="1" xfId="0" applyNumberFormat="1" applyFont="1" applyBorder="1" applyAlignment="1">
      <alignment horizontal="lef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7BD40-9F5B-42DB-A363-7FC40943E67D}">
  <dimension ref="A1:E437"/>
  <sheetViews>
    <sheetView workbookViewId="0"/>
  </sheetViews>
  <sheetFormatPr defaultRowHeight="18.75" x14ac:dyDescent="0.4"/>
  <cols>
    <col min="1" max="16384" width="9" style="1"/>
  </cols>
  <sheetData>
    <row r="1" spans="1:5" ht="37.5" x14ac:dyDescent="0.4">
      <c r="A1" s="1" t="s">
        <v>3</v>
      </c>
      <c r="B1" s="1" t="s">
        <v>4</v>
      </c>
      <c r="C1" s="1" t="s">
        <v>5</v>
      </c>
      <c r="D1" s="1" t="s">
        <v>1</v>
      </c>
      <c r="E1" s="3" t="s">
        <v>6</v>
      </c>
    </row>
    <row r="2" spans="1:5" ht="93.75" x14ac:dyDescent="0.4">
      <c r="A2" s="1" t="s">
        <v>3</v>
      </c>
      <c r="B2" s="1" t="s">
        <v>38</v>
      </c>
      <c r="C2" s="1" t="s">
        <v>39</v>
      </c>
      <c r="D2" s="1" t="s">
        <v>1</v>
      </c>
      <c r="E2" s="3" t="s">
        <v>40</v>
      </c>
    </row>
    <row r="3" spans="1:5" ht="56.25" x14ac:dyDescent="0.4">
      <c r="A3" s="1" t="s">
        <v>3</v>
      </c>
      <c r="B3" s="1" t="s">
        <v>58</v>
      </c>
      <c r="C3" s="1" t="s">
        <v>59</v>
      </c>
      <c r="D3" s="1" t="s">
        <v>1</v>
      </c>
      <c r="E3" s="3" t="s">
        <v>60</v>
      </c>
    </row>
    <row r="4" spans="1:5" ht="56.25" x14ac:dyDescent="0.4">
      <c r="A4" s="1" t="s">
        <v>3</v>
      </c>
      <c r="B4" s="1" t="s">
        <v>80</v>
      </c>
      <c r="C4" s="1" t="s">
        <v>59</v>
      </c>
      <c r="D4" s="1" t="s">
        <v>1</v>
      </c>
      <c r="E4" s="3" t="s">
        <v>60</v>
      </c>
    </row>
    <row r="5" spans="1:5" ht="318.75" x14ac:dyDescent="0.4">
      <c r="A5" s="1" t="s">
        <v>3</v>
      </c>
      <c r="B5" s="1" t="s">
        <v>114</v>
      </c>
      <c r="C5" s="1" t="s">
        <v>82</v>
      </c>
      <c r="D5" s="1" t="s">
        <v>95</v>
      </c>
      <c r="E5" s="3" t="s">
        <v>115</v>
      </c>
    </row>
    <row r="6" spans="1:5" ht="337.5" x14ac:dyDescent="0.4">
      <c r="A6" s="1" t="s">
        <v>3</v>
      </c>
      <c r="B6" s="1" t="s">
        <v>114</v>
      </c>
      <c r="C6" s="1" t="s">
        <v>81</v>
      </c>
      <c r="D6" s="1" t="s">
        <v>99</v>
      </c>
      <c r="E6" s="3" t="s">
        <v>116</v>
      </c>
    </row>
    <row r="7" spans="1:5" ht="409.5" x14ac:dyDescent="0.4">
      <c r="A7" s="1" t="s">
        <v>3</v>
      </c>
      <c r="B7" s="1" t="s">
        <v>114</v>
      </c>
      <c r="C7" s="1" t="s">
        <v>83</v>
      </c>
      <c r="D7" s="1" t="s">
        <v>103</v>
      </c>
      <c r="E7" s="3" t="s">
        <v>117</v>
      </c>
    </row>
    <row r="8" spans="1:5" ht="318.75" x14ac:dyDescent="0.4">
      <c r="A8" s="1" t="s">
        <v>3</v>
      </c>
      <c r="B8" s="1" t="s">
        <v>114</v>
      </c>
      <c r="C8" s="1" t="s">
        <v>85</v>
      </c>
      <c r="D8" s="1" t="s">
        <v>108</v>
      </c>
      <c r="E8" s="3" t="s">
        <v>118</v>
      </c>
    </row>
    <row r="9" spans="1:5" ht="262.5" x14ac:dyDescent="0.4">
      <c r="A9" s="1" t="s">
        <v>3</v>
      </c>
      <c r="B9" s="1" t="s">
        <v>114</v>
      </c>
      <c r="C9" s="1" t="s">
        <v>84</v>
      </c>
      <c r="D9" s="1" t="s">
        <v>113</v>
      </c>
      <c r="E9" s="3" t="s">
        <v>119</v>
      </c>
    </row>
    <row r="10" spans="1:5" ht="56.25" x14ac:dyDescent="0.4">
      <c r="A10" s="1" t="s">
        <v>3</v>
      </c>
      <c r="B10" s="1" t="s">
        <v>114</v>
      </c>
      <c r="C10" s="1" t="s">
        <v>59</v>
      </c>
      <c r="D10" s="1" t="s">
        <v>1</v>
      </c>
      <c r="E10" s="3" t="s">
        <v>60</v>
      </c>
    </row>
    <row r="11" spans="1:5" ht="409.5" x14ac:dyDescent="0.4">
      <c r="A11" s="1" t="s">
        <v>3</v>
      </c>
      <c r="B11" s="1" t="s">
        <v>121</v>
      </c>
      <c r="C11" s="1" t="s">
        <v>83</v>
      </c>
      <c r="D11" s="1" t="s">
        <v>120</v>
      </c>
      <c r="E11" s="3" t="s">
        <v>122</v>
      </c>
    </row>
    <row r="12" spans="1:5" x14ac:dyDescent="0.4">
      <c r="A12" s="1" t="s">
        <v>3</v>
      </c>
      <c r="B12" s="1" t="s">
        <v>121</v>
      </c>
      <c r="C12" s="1" t="s">
        <v>83</v>
      </c>
      <c r="D12" s="1" t="s">
        <v>103</v>
      </c>
      <c r="E12" s="1" t="s">
        <v>123</v>
      </c>
    </row>
    <row r="13" spans="1:5" ht="56.25" x14ac:dyDescent="0.4">
      <c r="A13" s="1" t="s">
        <v>3</v>
      </c>
      <c r="B13" s="1" t="s">
        <v>124</v>
      </c>
      <c r="C13" s="1" t="s">
        <v>59</v>
      </c>
      <c r="D13" s="1" t="s">
        <v>1</v>
      </c>
      <c r="E13" s="3" t="s">
        <v>60</v>
      </c>
    </row>
    <row r="14" spans="1:5" ht="56.25" x14ac:dyDescent="0.4">
      <c r="A14" s="1" t="s">
        <v>3</v>
      </c>
      <c r="B14" s="1" t="s">
        <v>125</v>
      </c>
      <c r="C14" s="1" t="s">
        <v>59</v>
      </c>
      <c r="D14" s="1" t="s">
        <v>1</v>
      </c>
      <c r="E14" s="3" t="s">
        <v>60</v>
      </c>
    </row>
    <row r="15" spans="1:5" ht="262.5" x14ac:dyDescent="0.4">
      <c r="A15" s="1" t="s">
        <v>3</v>
      </c>
      <c r="B15" s="1" t="s">
        <v>128</v>
      </c>
      <c r="C15" s="1" t="s">
        <v>82</v>
      </c>
      <c r="D15" s="1" t="s">
        <v>99</v>
      </c>
      <c r="E15" s="3" t="s">
        <v>129</v>
      </c>
    </row>
    <row r="16" spans="1:5" ht="281.25" x14ac:dyDescent="0.4">
      <c r="A16" s="1" t="s">
        <v>3</v>
      </c>
      <c r="B16" s="1" t="s">
        <v>128</v>
      </c>
      <c r="C16" s="1" t="s">
        <v>81</v>
      </c>
      <c r="D16" s="1" t="s">
        <v>108</v>
      </c>
      <c r="E16" s="3" t="s">
        <v>130</v>
      </c>
    </row>
    <row r="17" spans="1:5" ht="409.5" x14ac:dyDescent="0.4">
      <c r="A17" s="1" t="s">
        <v>3</v>
      </c>
      <c r="B17" s="1" t="s">
        <v>128</v>
      </c>
      <c r="C17" s="1" t="s">
        <v>83</v>
      </c>
      <c r="D17" s="1" t="s">
        <v>113</v>
      </c>
      <c r="E17" s="3" t="s">
        <v>131</v>
      </c>
    </row>
    <row r="18" spans="1:5" ht="318.75" x14ac:dyDescent="0.4">
      <c r="A18" s="1" t="s">
        <v>3</v>
      </c>
      <c r="B18" s="1" t="s">
        <v>128</v>
      </c>
      <c r="C18" s="1" t="s">
        <v>85</v>
      </c>
      <c r="D18" s="1" t="s">
        <v>126</v>
      </c>
      <c r="E18" s="3" t="s">
        <v>132</v>
      </c>
    </row>
    <row r="19" spans="1:5" ht="262.5" x14ac:dyDescent="0.4">
      <c r="A19" s="1" t="s">
        <v>3</v>
      </c>
      <c r="B19" s="1" t="s">
        <v>128</v>
      </c>
      <c r="C19" s="1" t="s">
        <v>84</v>
      </c>
      <c r="D19" s="1" t="s">
        <v>127</v>
      </c>
      <c r="E19" s="3" t="s">
        <v>119</v>
      </c>
    </row>
    <row r="20" spans="1:5" x14ac:dyDescent="0.4">
      <c r="A20" s="1" t="s">
        <v>3</v>
      </c>
      <c r="B20" s="1" t="s">
        <v>128</v>
      </c>
      <c r="C20" s="1" t="s">
        <v>82</v>
      </c>
      <c r="D20" s="1" t="s">
        <v>95</v>
      </c>
      <c r="E20" s="1" t="s">
        <v>123</v>
      </c>
    </row>
    <row r="21" spans="1:5" x14ac:dyDescent="0.4">
      <c r="A21" s="1" t="s">
        <v>3</v>
      </c>
      <c r="B21" s="1" t="s">
        <v>128</v>
      </c>
      <c r="C21" s="1" t="s">
        <v>83</v>
      </c>
      <c r="D21" s="1" t="s">
        <v>120</v>
      </c>
      <c r="E21" s="1" t="s">
        <v>123</v>
      </c>
    </row>
    <row r="22" spans="1:5" ht="56.25" x14ac:dyDescent="0.4">
      <c r="A22" s="1" t="s">
        <v>3</v>
      </c>
      <c r="B22" s="1" t="s">
        <v>133</v>
      </c>
      <c r="C22" s="1" t="s">
        <v>59</v>
      </c>
      <c r="D22" s="1" t="s">
        <v>1</v>
      </c>
      <c r="E22" s="3" t="s">
        <v>60</v>
      </c>
    </row>
    <row r="23" spans="1:5" ht="318.75" x14ac:dyDescent="0.4">
      <c r="A23" s="1" t="s">
        <v>3</v>
      </c>
      <c r="B23" s="1" t="s">
        <v>171</v>
      </c>
      <c r="C23" s="1" t="s">
        <v>82</v>
      </c>
      <c r="D23" s="1" t="s">
        <v>141</v>
      </c>
      <c r="E23" s="3" t="s">
        <v>115</v>
      </c>
    </row>
    <row r="24" spans="1:5" ht="337.5" x14ac:dyDescent="0.4">
      <c r="A24" s="1" t="s">
        <v>3</v>
      </c>
      <c r="B24" s="1" t="s">
        <v>171</v>
      </c>
      <c r="C24" s="1" t="s">
        <v>81</v>
      </c>
      <c r="D24" s="1" t="s">
        <v>142</v>
      </c>
      <c r="E24" s="3" t="s">
        <v>116</v>
      </c>
    </row>
    <row r="25" spans="1:5" ht="356.25" x14ac:dyDescent="0.4">
      <c r="A25" s="1" t="s">
        <v>3</v>
      </c>
      <c r="B25" s="1" t="s">
        <v>171</v>
      </c>
      <c r="C25" s="1" t="s">
        <v>136</v>
      </c>
      <c r="D25" s="1" t="s">
        <v>146</v>
      </c>
      <c r="E25" s="3" t="s">
        <v>172</v>
      </c>
    </row>
    <row r="26" spans="1:5" ht="409.5" x14ac:dyDescent="0.4">
      <c r="A26" s="1" t="s">
        <v>3</v>
      </c>
      <c r="B26" s="1" t="s">
        <v>171</v>
      </c>
      <c r="C26" s="1" t="s">
        <v>83</v>
      </c>
      <c r="D26" s="1" t="s">
        <v>147</v>
      </c>
      <c r="E26" s="3" t="s">
        <v>173</v>
      </c>
    </row>
    <row r="27" spans="1:5" ht="318.75" x14ac:dyDescent="0.4">
      <c r="A27" s="1" t="s">
        <v>3</v>
      </c>
      <c r="B27" s="1" t="s">
        <v>171</v>
      </c>
      <c r="C27" s="1" t="s">
        <v>85</v>
      </c>
      <c r="D27" s="1" t="s">
        <v>148</v>
      </c>
      <c r="E27" s="3" t="s">
        <v>132</v>
      </c>
    </row>
    <row r="28" spans="1:5" ht="409.5" x14ac:dyDescent="0.4">
      <c r="A28" s="1" t="s">
        <v>3</v>
      </c>
      <c r="B28" s="1" t="s">
        <v>171</v>
      </c>
      <c r="C28" s="1" t="s">
        <v>137</v>
      </c>
      <c r="D28" s="1" t="s">
        <v>152</v>
      </c>
      <c r="E28" s="3" t="s">
        <v>174</v>
      </c>
    </row>
    <row r="29" spans="1:5" ht="262.5" x14ac:dyDescent="0.4">
      <c r="A29" s="1" t="s">
        <v>3</v>
      </c>
      <c r="B29" s="1" t="s">
        <v>171</v>
      </c>
      <c r="C29" s="1" t="s">
        <v>84</v>
      </c>
      <c r="D29" s="1" t="s">
        <v>153</v>
      </c>
      <c r="E29" s="3" t="s">
        <v>119</v>
      </c>
    </row>
    <row r="30" spans="1:5" ht="393.75" x14ac:dyDescent="0.4">
      <c r="A30" s="1" t="s">
        <v>3</v>
      </c>
      <c r="B30" s="1" t="s">
        <v>171</v>
      </c>
      <c r="C30" s="1" t="s">
        <v>138</v>
      </c>
      <c r="D30" s="1" t="s">
        <v>157</v>
      </c>
      <c r="E30" s="3" t="s">
        <v>175</v>
      </c>
    </row>
    <row r="31" spans="1:5" ht="318.75" x14ac:dyDescent="0.4">
      <c r="A31" s="1" t="s">
        <v>3</v>
      </c>
      <c r="B31" s="1" t="s">
        <v>171</v>
      </c>
      <c r="C31" s="1" t="s">
        <v>139</v>
      </c>
      <c r="D31" s="1" t="s">
        <v>164</v>
      </c>
      <c r="E31" s="3" t="s">
        <v>176</v>
      </c>
    </row>
    <row r="32" spans="1:5" ht="262.5" x14ac:dyDescent="0.4">
      <c r="A32" s="1" t="s">
        <v>3</v>
      </c>
      <c r="B32" s="1" t="s">
        <v>171</v>
      </c>
      <c r="C32" s="1" t="s">
        <v>140</v>
      </c>
      <c r="D32" s="1" t="s">
        <v>170</v>
      </c>
      <c r="E32" s="3" t="s">
        <v>177</v>
      </c>
    </row>
    <row r="33" spans="1:5" x14ac:dyDescent="0.4">
      <c r="A33" s="1" t="s">
        <v>3</v>
      </c>
      <c r="B33" s="1" t="s">
        <v>171</v>
      </c>
      <c r="C33" s="1" t="s">
        <v>82</v>
      </c>
      <c r="D33" s="1" t="s">
        <v>99</v>
      </c>
      <c r="E33" s="1" t="s">
        <v>123</v>
      </c>
    </row>
    <row r="34" spans="1:5" x14ac:dyDescent="0.4">
      <c r="A34" s="1" t="s">
        <v>3</v>
      </c>
      <c r="B34" s="1" t="s">
        <v>171</v>
      </c>
      <c r="C34" s="1" t="s">
        <v>81</v>
      </c>
      <c r="D34" s="1" t="s">
        <v>108</v>
      </c>
      <c r="E34" s="1" t="s">
        <v>123</v>
      </c>
    </row>
    <row r="35" spans="1:5" x14ac:dyDescent="0.4">
      <c r="A35" s="1" t="s">
        <v>3</v>
      </c>
      <c r="B35" s="1" t="s">
        <v>171</v>
      </c>
      <c r="C35" s="1" t="s">
        <v>83</v>
      </c>
      <c r="D35" s="1" t="s">
        <v>113</v>
      </c>
      <c r="E35" s="1" t="s">
        <v>123</v>
      </c>
    </row>
    <row r="36" spans="1:5" x14ac:dyDescent="0.4">
      <c r="A36" s="1" t="s">
        <v>3</v>
      </c>
      <c r="B36" s="1" t="s">
        <v>171</v>
      </c>
      <c r="C36" s="1" t="s">
        <v>85</v>
      </c>
      <c r="D36" s="1" t="s">
        <v>126</v>
      </c>
      <c r="E36" s="1" t="s">
        <v>123</v>
      </c>
    </row>
    <row r="37" spans="1:5" x14ac:dyDescent="0.4">
      <c r="A37" s="1" t="s">
        <v>3</v>
      </c>
      <c r="B37" s="1" t="s">
        <v>171</v>
      </c>
      <c r="C37" s="1" t="s">
        <v>84</v>
      </c>
      <c r="D37" s="1" t="s">
        <v>127</v>
      </c>
      <c r="E37" s="1" t="s">
        <v>123</v>
      </c>
    </row>
    <row r="38" spans="1:5" ht="56.25" x14ac:dyDescent="0.4">
      <c r="A38" s="1" t="s">
        <v>3</v>
      </c>
      <c r="B38" s="1" t="s">
        <v>178</v>
      </c>
      <c r="C38" s="1" t="s">
        <v>59</v>
      </c>
      <c r="D38" s="1" t="s">
        <v>1</v>
      </c>
      <c r="E38" s="3" t="s">
        <v>60</v>
      </c>
    </row>
    <row r="39" spans="1:5" ht="409.5" x14ac:dyDescent="0.4">
      <c r="A39" s="1" t="s">
        <v>3</v>
      </c>
      <c r="B39" s="1" t="s">
        <v>179</v>
      </c>
      <c r="C39" s="1" t="s">
        <v>83</v>
      </c>
      <c r="D39" s="1" t="s">
        <v>147</v>
      </c>
      <c r="E39" s="3" t="s">
        <v>180</v>
      </c>
    </row>
    <row r="40" spans="1:5" ht="409.5" x14ac:dyDescent="0.4">
      <c r="A40" s="1" t="s">
        <v>3</v>
      </c>
      <c r="B40" s="1" t="s">
        <v>179</v>
      </c>
      <c r="C40" s="1" t="s">
        <v>137</v>
      </c>
      <c r="D40" s="1" t="s">
        <v>152</v>
      </c>
      <c r="E40" s="3" t="s">
        <v>181</v>
      </c>
    </row>
    <row r="41" spans="1:5" ht="56.25" x14ac:dyDescent="0.4">
      <c r="A41" s="1" t="s">
        <v>3</v>
      </c>
      <c r="B41" s="1" t="s">
        <v>179</v>
      </c>
      <c r="C41" s="1" t="s">
        <v>59</v>
      </c>
      <c r="D41" s="1" t="s">
        <v>1</v>
      </c>
      <c r="E41" s="3" t="s">
        <v>60</v>
      </c>
    </row>
    <row r="42" spans="1:5" ht="409.5" x14ac:dyDescent="0.4">
      <c r="A42" s="1" t="s">
        <v>3</v>
      </c>
      <c r="B42" s="1" t="s">
        <v>182</v>
      </c>
      <c r="C42" s="1" t="s">
        <v>83</v>
      </c>
      <c r="D42" s="1" t="s">
        <v>147</v>
      </c>
      <c r="E42" s="3" t="s">
        <v>180</v>
      </c>
    </row>
    <row r="43" spans="1:5" ht="409.5" x14ac:dyDescent="0.4">
      <c r="A43" s="1" t="s">
        <v>3</v>
      </c>
      <c r="B43" s="1" t="s">
        <v>182</v>
      </c>
      <c r="C43" s="1" t="s">
        <v>137</v>
      </c>
      <c r="D43" s="1" t="s">
        <v>152</v>
      </c>
      <c r="E43" s="3" t="s">
        <v>181</v>
      </c>
    </row>
    <row r="44" spans="1:5" ht="56.25" x14ac:dyDescent="0.4">
      <c r="A44" s="1" t="s">
        <v>3</v>
      </c>
      <c r="B44" s="1" t="s">
        <v>183</v>
      </c>
      <c r="C44" s="1" t="s">
        <v>59</v>
      </c>
      <c r="D44" s="1" t="s">
        <v>1</v>
      </c>
      <c r="E44" s="3" t="s">
        <v>60</v>
      </c>
    </row>
    <row r="45" spans="1:5" ht="409.5" x14ac:dyDescent="0.4">
      <c r="A45" s="1" t="s">
        <v>3</v>
      </c>
      <c r="B45" s="1" t="s">
        <v>309</v>
      </c>
      <c r="C45" s="1" t="s">
        <v>83</v>
      </c>
      <c r="D45" s="1" t="s">
        <v>147</v>
      </c>
      <c r="E45" s="3" t="s">
        <v>180</v>
      </c>
    </row>
    <row r="46" spans="1:5" ht="409.5" x14ac:dyDescent="0.4">
      <c r="A46" s="1" t="s">
        <v>3</v>
      </c>
      <c r="B46" s="1" t="s">
        <v>309</v>
      </c>
      <c r="C46" s="1" t="s">
        <v>137</v>
      </c>
      <c r="D46" s="1" t="s">
        <v>152</v>
      </c>
      <c r="E46" s="3" t="s">
        <v>181</v>
      </c>
    </row>
    <row r="47" spans="1:5" ht="281.25" x14ac:dyDescent="0.4">
      <c r="A47" s="1" t="s">
        <v>3</v>
      </c>
      <c r="B47" s="1" t="s">
        <v>309</v>
      </c>
      <c r="C47" s="1" t="s">
        <v>197</v>
      </c>
      <c r="D47" s="1" t="s">
        <v>218</v>
      </c>
      <c r="E47" s="3" t="s">
        <v>310</v>
      </c>
    </row>
    <row r="48" spans="1:5" ht="318.75" x14ac:dyDescent="0.4">
      <c r="A48" s="1" t="s">
        <v>3</v>
      </c>
      <c r="B48" s="1" t="s">
        <v>309</v>
      </c>
      <c r="C48" s="1" t="s">
        <v>198</v>
      </c>
      <c r="D48" s="1" t="s">
        <v>221</v>
      </c>
      <c r="E48" s="3" t="s">
        <v>311</v>
      </c>
    </row>
    <row r="49" spans="1:5" ht="243.75" x14ac:dyDescent="0.4">
      <c r="A49" s="1" t="s">
        <v>3</v>
      </c>
      <c r="B49" s="1" t="s">
        <v>309</v>
      </c>
      <c r="C49" s="1" t="s">
        <v>184</v>
      </c>
      <c r="D49" s="1" t="s">
        <v>223</v>
      </c>
      <c r="E49" s="3" t="s">
        <v>312</v>
      </c>
    </row>
    <row r="50" spans="1:5" ht="281.25" x14ac:dyDescent="0.4">
      <c r="A50" s="1" t="s">
        <v>3</v>
      </c>
      <c r="B50" s="1" t="s">
        <v>309</v>
      </c>
      <c r="C50" s="1" t="s">
        <v>199</v>
      </c>
      <c r="D50" s="1" t="s">
        <v>228</v>
      </c>
      <c r="E50" s="3" t="s">
        <v>313</v>
      </c>
    </row>
    <row r="51" spans="1:5" ht="337.5" x14ac:dyDescent="0.4">
      <c r="A51" s="1" t="s">
        <v>3</v>
      </c>
      <c r="B51" s="1" t="s">
        <v>309</v>
      </c>
      <c r="C51" s="1" t="s">
        <v>186</v>
      </c>
      <c r="D51" s="1" t="s">
        <v>232</v>
      </c>
      <c r="E51" s="3" t="s">
        <v>314</v>
      </c>
    </row>
    <row r="52" spans="1:5" ht="318.75" x14ac:dyDescent="0.4">
      <c r="A52" s="1" t="s">
        <v>3</v>
      </c>
      <c r="B52" s="1" t="s">
        <v>309</v>
      </c>
      <c r="C52" s="1" t="s">
        <v>187</v>
      </c>
      <c r="D52" s="1" t="s">
        <v>236</v>
      </c>
      <c r="E52" s="3" t="s">
        <v>315</v>
      </c>
    </row>
    <row r="53" spans="1:5" ht="262.5" x14ac:dyDescent="0.4">
      <c r="A53" s="1" t="s">
        <v>3</v>
      </c>
      <c r="B53" s="1" t="s">
        <v>309</v>
      </c>
      <c r="C53" s="1" t="s">
        <v>201</v>
      </c>
      <c r="D53" s="1" t="s">
        <v>240</v>
      </c>
      <c r="E53" s="3" t="s">
        <v>316</v>
      </c>
    </row>
    <row r="54" spans="1:5" ht="318.75" x14ac:dyDescent="0.4">
      <c r="A54" s="1" t="s">
        <v>3</v>
      </c>
      <c r="B54" s="1" t="s">
        <v>309</v>
      </c>
      <c r="C54" s="1" t="s">
        <v>188</v>
      </c>
      <c r="D54" s="1" t="s">
        <v>244</v>
      </c>
      <c r="E54" s="3" t="s">
        <v>317</v>
      </c>
    </row>
    <row r="55" spans="1:5" ht="300" x14ac:dyDescent="0.4">
      <c r="A55" s="1" t="s">
        <v>3</v>
      </c>
      <c r="B55" s="1" t="s">
        <v>309</v>
      </c>
      <c r="C55" s="1" t="s">
        <v>202</v>
      </c>
      <c r="D55" s="1" t="s">
        <v>249</v>
      </c>
      <c r="E55" s="3" t="s">
        <v>318</v>
      </c>
    </row>
    <row r="56" spans="1:5" ht="262.5" x14ac:dyDescent="0.4">
      <c r="A56" s="1" t="s">
        <v>3</v>
      </c>
      <c r="B56" s="1" t="s">
        <v>309</v>
      </c>
      <c r="C56" s="1" t="s">
        <v>189</v>
      </c>
      <c r="D56" s="1" t="s">
        <v>254</v>
      </c>
      <c r="E56" s="3" t="s">
        <v>319</v>
      </c>
    </row>
    <row r="57" spans="1:5" ht="262.5" x14ac:dyDescent="0.4">
      <c r="A57" s="1" t="s">
        <v>3</v>
      </c>
      <c r="B57" s="1" t="s">
        <v>309</v>
      </c>
      <c r="C57" s="1" t="s">
        <v>203</v>
      </c>
      <c r="D57" s="1" t="s">
        <v>258</v>
      </c>
      <c r="E57" s="3" t="s">
        <v>320</v>
      </c>
    </row>
    <row r="58" spans="1:5" ht="262.5" x14ac:dyDescent="0.4">
      <c r="A58" s="1" t="s">
        <v>3</v>
      </c>
      <c r="B58" s="1" t="s">
        <v>309</v>
      </c>
      <c r="C58" s="1" t="s">
        <v>204</v>
      </c>
      <c r="D58" s="1" t="s">
        <v>262</v>
      </c>
      <c r="E58" s="3" t="s">
        <v>321</v>
      </c>
    </row>
    <row r="59" spans="1:5" ht="393.75" x14ac:dyDescent="0.4">
      <c r="A59" s="1" t="s">
        <v>3</v>
      </c>
      <c r="B59" s="1" t="s">
        <v>309</v>
      </c>
      <c r="C59" s="1" t="s">
        <v>193</v>
      </c>
      <c r="D59" s="1" t="s">
        <v>268</v>
      </c>
      <c r="E59" s="3" t="s">
        <v>322</v>
      </c>
    </row>
    <row r="60" spans="1:5" ht="318.75" x14ac:dyDescent="0.4">
      <c r="A60" s="1" t="s">
        <v>3</v>
      </c>
      <c r="B60" s="1" t="s">
        <v>309</v>
      </c>
      <c r="C60" s="1" t="s">
        <v>195</v>
      </c>
      <c r="D60" s="1" t="s">
        <v>272</v>
      </c>
      <c r="E60" s="3" t="s">
        <v>323</v>
      </c>
    </row>
    <row r="61" spans="1:5" ht="262.5" x14ac:dyDescent="0.4">
      <c r="A61" s="1" t="s">
        <v>3</v>
      </c>
      <c r="B61" s="1" t="s">
        <v>309</v>
      </c>
      <c r="C61" s="1" t="s">
        <v>206</v>
      </c>
      <c r="D61" s="1" t="s">
        <v>276</v>
      </c>
      <c r="E61" s="3" t="s">
        <v>324</v>
      </c>
    </row>
    <row r="62" spans="1:5" ht="281.25" x14ac:dyDescent="0.4">
      <c r="A62" s="1" t="s">
        <v>3</v>
      </c>
      <c r="B62" s="1" t="s">
        <v>309</v>
      </c>
      <c r="C62" s="1" t="s">
        <v>205</v>
      </c>
      <c r="D62" s="1" t="s">
        <v>280</v>
      </c>
      <c r="E62" s="3" t="s">
        <v>325</v>
      </c>
    </row>
    <row r="63" spans="1:5" ht="262.5" x14ac:dyDescent="0.4">
      <c r="A63" s="1" t="s">
        <v>3</v>
      </c>
      <c r="B63" s="1" t="s">
        <v>309</v>
      </c>
      <c r="C63" s="1" t="s">
        <v>196</v>
      </c>
      <c r="D63" s="1" t="s">
        <v>284</v>
      </c>
      <c r="E63" s="3" t="s">
        <v>326</v>
      </c>
    </row>
    <row r="64" spans="1:5" ht="262.5" x14ac:dyDescent="0.4">
      <c r="A64" s="1" t="s">
        <v>3</v>
      </c>
      <c r="B64" s="1" t="s">
        <v>309</v>
      </c>
      <c r="C64" s="1" t="s">
        <v>207</v>
      </c>
      <c r="D64" s="1" t="s">
        <v>288</v>
      </c>
      <c r="E64" s="3" t="s">
        <v>327</v>
      </c>
    </row>
    <row r="65" spans="1:5" ht="262.5" x14ac:dyDescent="0.4">
      <c r="A65" s="1" t="s">
        <v>3</v>
      </c>
      <c r="B65" s="1" t="s">
        <v>309</v>
      </c>
      <c r="C65" s="1" t="s">
        <v>204</v>
      </c>
      <c r="D65" s="1" t="s">
        <v>289</v>
      </c>
      <c r="E65" s="3" t="s">
        <v>321</v>
      </c>
    </row>
    <row r="66" spans="1:5" ht="318.75" x14ac:dyDescent="0.4">
      <c r="A66" s="1" t="s">
        <v>3</v>
      </c>
      <c r="B66" s="1" t="s">
        <v>309</v>
      </c>
      <c r="C66" s="1" t="s">
        <v>208</v>
      </c>
      <c r="D66" s="1" t="s">
        <v>293</v>
      </c>
      <c r="E66" s="3" t="s">
        <v>328</v>
      </c>
    </row>
    <row r="67" spans="1:5" ht="318.75" x14ac:dyDescent="0.4">
      <c r="A67" s="1" t="s">
        <v>3</v>
      </c>
      <c r="B67" s="1" t="s">
        <v>309</v>
      </c>
      <c r="C67" s="1" t="s">
        <v>209</v>
      </c>
      <c r="D67" s="1" t="s">
        <v>298</v>
      </c>
      <c r="E67" s="3" t="s">
        <v>329</v>
      </c>
    </row>
    <row r="68" spans="1:5" ht="409.5" x14ac:dyDescent="0.4">
      <c r="A68" s="1" t="s">
        <v>3</v>
      </c>
      <c r="B68" s="1" t="s">
        <v>309</v>
      </c>
      <c r="C68" s="1" t="s">
        <v>210</v>
      </c>
      <c r="D68" s="1" t="s">
        <v>303</v>
      </c>
      <c r="E68" s="3" t="s">
        <v>330</v>
      </c>
    </row>
    <row r="69" spans="1:5" ht="262.5" x14ac:dyDescent="0.4">
      <c r="A69" s="1" t="s">
        <v>3</v>
      </c>
      <c r="B69" s="1" t="s">
        <v>309</v>
      </c>
      <c r="C69" s="1" t="s">
        <v>211</v>
      </c>
      <c r="D69" s="1" t="s">
        <v>304</v>
      </c>
      <c r="E69" s="3" t="s">
        <v>331</v>
      </c>
    </row>
    <row r="70" spans="1:5" ht="262.5" x14ac:dyDescent="0.4">
      <c r="A70" s="1" t="s">
        <v>3</v>
      </c>
      <c r="B70" s="1" t="s">
        <v>309</v>
      </c>
      <c r="C70" s="1" t="s">
        <v>212</v>
      </c>
      <c r="D70" s="1" t="s">
        <v>308</v>
      </c>
      <c r="E70" s="3" t="s">
        <v>332</v>
      </c>
    </row>
    <row r="71" spans="1:5" ht="56.25" x14ac:dyDescent="0.4">
      <c r="A71" s="1" t="s">
        <v>3</v>
      </c>
      <c r="B71" s="1" t="s">
        <v>334</v>
      </c>
      <c r="C71" s="1" t="s">
        <v>333</v>
      </c>
      <c r="D71" s="1" t="s">
        <v>335</v>
      </c>
      <c r="E71" s="3" t="s">
        <v>336</v>
      </c>
    </row>
    <row r="72" spans="1:5" ht="56.25" x14ac:dyDescent="0.4">
      <c r="A72" s="1" t="s">
        <v>3</v>
      </c>
      <c r="B72" s="1" t="s">
        <v>334</v>
      </c>
      <c r="C72" s="1" t="s">
        <v>59</v>
      </c>
      <c r="D72" s="1" t="s">
        <v>1</v>
      </c>
      <c r="E72" s="3" t="s">
        <v>60</v>
      </c>
    </row>
    <row r="73" spans="1:5" ht="409.5" x14ac:dyDescent="0.4">
      <c r="A73" s="1" t="s">
        <v>3</v>
      </c>
      <c r="B73" s="1" t="s">
        <v>342</v>
      </c>
      <c r="C73" s="1" t="s">
        <v>83</v>
      </c>
      <c r="D73" s="1" t="s">
        <v>147</v>
      </c>
      <c r="E73" s="3" t="s">
        <v>180</v>
      </c>
    </row>
    <row r="74" spans="1:5" ht="409.5" x14ac:dyDescent="0.4">
      <c r="A74" s="1" t="s">
        <v>3</v>
      </c>
      <c r="B74" s="1" t="s">
        <v>342</v>
      </c>
      <c r="C74" s="1" t="s">
        <v>137</v>
      </c>
      <c r="D74" s="1" t="s">
        <v>152</v>
      </c>
      <c r="E74" s="3" t="s">
        <v>181</v>
      </c>
    </row>
    <row r="75" spans="1:5" ht="150" x14ac:dyDescent="0.4">
      <c r="A75" s="1" t="s">
        <v>3</v>
      </c>
      <c r="B75" s="1" t="s">
        <v>342</v>
      </c>
      <c r="C75" s="1" t="s">
        <v>337</v>
      </c>
      <c r="D75" s="1" t="s">
        <v>236</v>
      </c>
      <c r="E75" s="3" t="s">
        <v>343</v>
      </c>
    </row>
    <row r="76" spans="1:5" ht="168.75" x14ac:dyDescent="0.4">
      <c r="A76" s="1" t="s">
        <v>3</v>
      </c>
      <c r="B76" s="1" t="s">
        <v>342</v>
      </c>
      <c r="C76" s="1" t="s">
        <v>195</v>
      </c>
      <c r="D76" s="1" t="s">
        <v>272</v>
      </c>
      <c r="E76" s="3" t="s">
        <v>344</v>
      </c>
    </row>
    <row r="77" spans="1:5" ht="409.5" x14ac:dyDescent="0.4">
      <c r="A77" s="1" t="s">
        <v>3</v>
      </c>
      <c r="B77" s="1" t="s">
        <v>342</v>
      </c>
      <c r="C77" s="1" t="s">
        <v>210</v>
      </c>
      <c r="D77" s="1" t="s">
        <v>303</v>
      </c>
      <c r="E77" s="3" t="s">
        <v>345</v>
      </c>
    </row>
    <row r="78" spans="1:5" ht="56.25" x14ac:dyDescent="0.4">
      <c r="A78" s="1" t="s">
        <v>3</v>
      </c>
      <c r="B78" s="1" t="s">
        <v>346</v>
      </c>
      <c r="C78" s="1" t="s">
        <v>59</v>
      </c>
      <c r="D78" s="1" t="s">
        <v>1</v>
      </c>
      <c r="E78" s="3" t="s">
        <v>60</v>
      </c>
    </row>
    <row r="79" spans="1:5" ht="409.5" x14ac:dyDescent="0.4">
      <c r="A79" s="1" t="s">
        <v>3</v>
      </c>
      <c r="B79" s="1" t="s">
        <v>369</v>
      </c>
      <c r="C79" s="1" t="s">
        <v>83</v>
      </c>
      <c r="D79" s="1" t="s">
        <v>147</v>
      </c>
      <c r="E79" s="3" t="s">
        <v>180</v>
      </c>
    </row>
    <row r="80" spans="1:5" ht="409.5" x14ac:dyDescent="0.4">
      <c r="A80" s="1" t="s">
        <v>3</v>
      </c>
      <c r="B80" s="1" t="s">
        <v>369</v>
      </c>
      <c r="C80" s="1" t="s">
        <v>137</v>
      </c>
      <c r="D80" s="1" t="s">
        <v>152</v>
      </c>
      <c r="E80" s="3" t="s">
        <v>181</v>
      </c>
    </row>
    <row r="81" spans="1:5" ht="337.5" x14ac:dyDescent="0.4">
      <c r="A81" s="1" t="s">
        <v>3</v>
      </c>
      <c r="B81" s="1" t="s">
        <v>369</v>
      </c>
      <c r="C81" s="1" t="s">
        <v>347</v>
      </c>
      <c r="D81" s="1" t="s">
        <v>355</v>
      </c>
      <c r="E81" s="3" t="s">
        <v>370</v>
      </c>
    </row>
    <row r="82" spans="1:5" ht="409.5" x14ac:dyDescent="0.4">
      <c r="A82" s="1" t="s">
        <v>3</v>
      </c>
      <c r="B82" s="1" t="s">
        <v>369</v>
      </c>
      <c r="C82" s="1" t="s">
        <v>348</v>
      </c>
      <c r="D82" s="1" t="s">
        <v>359</v>
      </c>
      <c r="E82" s="3" t="s">
        <v>371</v>
      </c>
    </row>
    <row r="83" spans="1:5" ht="409.5" x14ac:dyDescent="0.4">
      <c r="A83" s="1" t="s">
        <v>3</v>
      </c>
      <c r="B83" s="1" t="s">
        <v>369</v>
      </c>
      <c r="C83" s="1" t="s">
        <v>210</v>
      </c>
      <c r="D83" s="1" t="s">
        <v>303</v>
      </c>
      <c r="E83" s="3" t="s">
        <v>345</v>
      </c>
    </row>
    <row r="84" spans="1:5" ht="409.5" x14ac:dyDescent="0.4">
      <c r="A84" s="1" t="s">
        <v>3</v>
      </c>
      <c r="B84" s="1" t="s">
        <v>369</v>
      </c>
      <c r="C84" s="1" t="s">
        <v>349</v>
      </c>
      <c r="D84" s="1" t="s">
        <v>367</v>
      </c>
      <c r="E84" s="3" t="s">
        <v>372</v>
      </c>
    </row>
    <row r="85" spans="1:5" ht="56.25" x14ac:dyDescent="0.4">
      <c r="A85" s="1" t="s">
        <v>3</v>
      </c>
      <c r="B85" s="1" t="s">
        <v>369</v>
      </c>
      <c r="C85" s="1" t="s">
        <v>373</v>
      </c>
      <c r="D85" s="1" t="s">
        <v>335</v>
      </c>
      <c r="E85" s="3" t="s">
        <v>336</v>
      </c>
    </row>
    <row r="86" spans="1:5" ht="281.25" x14ac:dyDescent="0.4">
      <c r="A86" s="1" t="s">
        <v>3</v>
      </c>
      <c r="B86" s="1" t="s">
        <v>369</v>
      </c>
      <c r="C86" s="1" t="s">
        <v>374</v>
      </c>
      <c r="D86" s="1" t="s">
        <v>335</v>
      </c>
      <c r="E86" s="3" t="s">
        <v>376</v>
      </c>
    </row>
    <row r="87" spans="1:5" ht="56.25" x14ac:dyDescent="0.4">
      <c r="A87" s="1" t="s">
        <v>3</v>
      </c>
      <c r="B87" s="1" t="s">
        <v>377</v>
      </c>
      <c r="C87" s="1" t="s">
        <v>59</v>
      </c>
      <c r="D87" s="1" t="s">
        <v>1</v>
      </c>
      <c r="E87" s="3" t="s">
        <v>60</v>
      </c>
    </row>
    <row r="88" spans="1:5" ht="206.25" x14ac:dyDescent="0.4">
      <c r="A88" s="1" t="s">
        <v>3</v>
      </c>
      <c r="B88" s="1" t="s">
        <v>382</v>
      </c>
      <c r="C88" s="1" t="s">
        <v>383</v>
      </c>
      <c r="D88" s="1" t="s">
        <v>1</v>
      </c>
      <c r="E88" s="3" t="s">
        <v>384</v>
      </c>
    </row>
    <row r="89" spans="1:5" ht="93.75" x14ac:dyDescent="0.4">
      <c r="A89" s="1" t="s">
        <v>3</v>
      </c>
      <c r="B89" s="1" t="s">
        <v>392</v>
      </c>
      <c r="C89" s="1" t="s">
        <v>82</v>
      </c>
      <c r="D89" s="1" t="s">
        <v>141</v>
      </c>
      <c r="E89" s="3" t="s">
        <v>393</v>
      </c>
    </row>
    <row r="90" spans="1:5" ht="93.75" x14ac:dyDescent="0.4">
      <c r="A90" s="1" t="s">
        <v>3</v>
      </c>
      <c r="B90" s="1" t="s">
        <v>392</v>
      </c>
      <c r="C90" s="1" t="s">
        <v>81</v>
      </c>
      <c r="D90" s="1" t="s">
        <v>142</v>
      </c>
      <c r="E90" s="3" t="s">
        <v>393</v>
      </c>
    </row>
    <row r="91" spans="1:5" ht="93.75" x14ac:dyDescent="0.4">
      <c r="A91" s="1" t="s">
        <v>3</v>
      </c>
      <c r="B91" s="1" t="s">
        <v>392</v>
      </c>
      <c r="C91" s="1" t="s">
        <v>136</v>
      </c>
      <c r="D91" s="1" t="s">
        <v>146</v>
      </c>
      <c r="E91" s="3" t="s">
        <v>393</v>
      </c>
    </row>
    <row r="92" spans="1:5" ht="93.75" x14ac:dyDescent="0.4">
      <c r="A92" s="1" t="s">
        <v>3</v>
      </c>
      <c r="B92" s="1" t="s">
        <v>392</v>
      </c>
      <c r="C92" s="1" t="s">
        <v>83</v>
      </c>
      <c r="D92" s="1" t="s">
        <v>147</v>
      </c>
      <c r="E92" s="3" t="s">
        <v>393</v>
      </c>
    </row>
    <row r="93" spans="1:5" ht="93.75" x14ac:dyDescent="0.4">
      <c r="A93" s="1" t="s">
        <v>3</v>
      </c>
      <c r="B93" s="1" t="s">
        <v>392</v>
      </c>
      <c r="C93" s="1" t="s">
        <v>85</v>
      </c>
      <c r="D93" s="1" t="s">
        <v>148</v>
      </c>
      <c r="E93" s="3" t="s">
        <v>393</v>
      </c>
    </row>
    <row r="94" spans="1:5" ht="93.75" x14ac:dyDescent="0.4">
      <c r="A94" s="1" t="s">
        <v>3</v>
      </c>
      <c r="B94" s="1" t="s">
        <v>392</v>
      </c>
      <c r="C94" s="1" t="s">
        <v>137</v>
      </c>
      <c r="D94" s="1" t="s">
        <v>152</v>
      </c>
      <c r="E94" s="3" t="s">
        <v>393</v>
      </c>
    </row>
    <row r="95" spans="1:5" ht="93.75" x14ac:dyDescent="0.4">
      <c r="A95" s="1" t="s">
        <v>3</v>
      </c>
      <c r="B95" s="1" t="s">
        <v>392</v>
      </c>
      <c r="C95" s="1" t="s">
        <v>84</v>
      </c>
      <c r="D95" s="1" t="s">
        <v>153</v>
      </c>
      <c r="E95" s="3" t="s">
        <v>393</v>
      </c>
    </row>
    <row r="96" spans="1:5" ht="93.75" x14ac:dyDescent="0.4">
      <c r="A96" s="1" t="s">
        <v>3</v>
      </c>
      <c r="B96" s="1" t="s">
        <v>392</v>
      </c>
      <c r="C96" s="1" t="s">
        <v>138</v>
      </c>
      <c r="D96" s="1" t="s">
        <v>157</v>
      </c>
      <c r="E96" s="3" t="s">
        <v>393</v>
      </c>
    </row>
    <row r="97" spans="1:5" ht="93.75" x14ac:dyDescent="0.4">
      <c r="A97" s="1" t="s">
        <v>3</v>
      </c>
      <c r="B97" s="1" t="s">
        <v>392</v>
      </c>
      <c r="C97" s="1" t="s">
        <v>139</v>
      </c>
      <c r="D97" s="1" t="s">
        <v>164</v>
      </c>
      <c r="E97" s="3" t="s">
        <v>393</v>
      </c>
    </row>
    <row r="98" spans="1:5" ht="93.75" x14ac:dyDescent="0.4">
      <c r="A98" s="1" t="s">
        <v>3</v>
      </c>
      <c r="B98" s="1" t="s">
        <v>392</v>
      </c>
      <c r="C98" s="1" t="s">
        <v>197</v>
      </c>
      <c r="D98" s="1" t="s">
        <v>218</v>
      </c>
      <c r="E98" s="3" t="s">
        <v>393</v>
      </c>
    </row>
    <row r="99" spans="1:5" ht="93.75" x14ac:dyDescent="0.4">
      <c r="A99" s="1" t="s">
        <v>3</v>
      </c>
      <c r="B99" s="1" t="s">
        <v>392</v>
      </c>
      <c r="C99" s="1" t="s">
        <v>198</v>
      </c>
      <c r="D99" s="1" t="s">
        <v>221</v>
      </c>
      <c r="E99" s="3" t="s">
        <v>393</v>
      </c>
    </row>
    <row r="100" spans="1:5" ht="93.75" x14ac:dyDescent="0.4">
      <c r="A100" s="1" t="s">
        <v>3</v>
      </c>
      <c r="B100" s="1" t="s">
        <v>392</v>
      </c>
      <c r="C100" s="1" t="s">
        <v>140</v>
      </c>
      <c r="D100" s="1" t="s">
        <v>170</v>
      </c>
      <c r="E100" s="3" t="s">
        <v>393</v>
      </c>
    </row>
    <row r="101" spans="1:5" ht="93.75" x14ac:dyDescent="0.4">
      <c r="A101" s="1" t="s">
        <v>3</v>
      </c>
      <c r="B101" s="1" t="s">
        <v>392</v>
      </c>
      <c r="C101" s="1" t="s">
        <v>184</v>
      </c>
      <c r="D101" s="1" t="s">
        <v>223</v>
      </c>
      <c r="E101" s="3" t="s">
        <v>393</v>
      </c>
    </row>
    <row r="102" spans="1:5" ht="93.75" x14ac:dyDescent="0.4">
      <c r="A102" s="1" t="s">
        <v>3</v>
      </c>
      <c r="B102" s="1" t="s">
        <v>392</v>
      </c>
      <c r="C102" s="1" t="s">
        <v>199</v>
      </c>
      <c r="D102" s="1" t="s">
        <v>228</v>
      </c>
      <c r="E102" s="3" t="s">
        <v>393</v>
      </c>
    </row>
    <row r="103" spans="1:5" ht="93.75" x14ac:dyDescent="0.4">
      <c r="A103" s="1" t="s">
        <v>3</v>
      </c>
      <c r="B103" s="1" t="s">
        <v>392</v>
      </c>
      <c r="C103" s="1" t="s">
        <v>186</v>
      </c>
      <c r="D103" s="1" t="s">
        <v>232</v>
      </c>
      <c r="E103" s="3" t="s">
        <v>393</v>
      </c>
    </row>
    <row r="104" spans="1:5" ht="93.75" x14ac:dyDescent="0.4">
      <c r="A104" s="1" t="s">
        <v>3</v>
      </c>
      <c r="B104" s="1" t="s">
        <v>392</v>
      </c>
      <c r="C104" s="1" t="s">
        <v>337</v>
      </c>
      <c r="D104" s="1" t="s">
        <v>236</v>
      </c>
      <c r="E104" s="3" t="s">
        <v>393</v>
      </c>
    </row>
    <row r="105" spans="1:5" ht="93.75" x14ac:dyDescent="0.4">
      <c r="A105" s="1" t="s">
        <v>3</v>
      </c>
      <c r="B105" s="1" t="s">
        <v>392</v>
      </c>
      <c r="C105" s="1" t="s">
        <v>201</v>
      </c>
      <c r="D105" s="1" t="s">
        <v>240</v>
      </c>
      <c r="E105" s="3" t="s">
        <v>393</v>
      </c>
    </row>
    <row r="106" spans="1:5" ht="93.75" x14ac:dyDescent="0.4">
      <c r="A106" s="1" t="s">
        <v>3</v>
      </c>
      <c r="B106" s="1" t="s">
        <v>392</v>
      </c>
      <c r="C106" s="1" t="s">
        <v>339</v>
      </c>
      <c r="D106" s="1" t="s">
        <v>244</v>
      </c>
      <c r="E106" s="3" t="s">
        <v>393</v>
      </c>
    </row>
    <row r="107" spans="1:5" ht="93.75" x14ac:dyDescent="0.4">
      <c r="A107" s="1" t="s">
        <v>3</v>
      </c>
      <c r="B107" s="1" t="s">
        <v>392</v>
      </c>
      <c r="C107" s="1" t="s">
        <v>202</v>
      </c>
      <c r="D107" s="1" t="s">
        <v>249</v>
      </c>
      <c r="E107" s="3" t="s">
        <v>393</v>
      </c>
    </row>
    <row r="108" spans="1:5" ht="93.75" x14ac:dyDescent="0.4">
      <c r="A108" s="1" t="s">
        <v>3</v>
      </c>
      <c r="B108" s="1" t="s">
        <v>392</v>
      </c>
      <c r="C108" s="1" t="s">
        <v>189</v>
      </c>
      <c r="D108" s="1" t="s">
        <v>254</v>
      </c>
      <c r="E108" s="3" t="s">
        <v>393</v>
      </c>
    </row>
    <row r="109" spans="1:5" ht="93.75" x14ac:dyDescent="0.4">
      <c r="A109" s="1" t="s">
        <v>3</v>
      </c>
      <c r="B109" s="1" t="s">
        <v>392</v>
      </c>
      <c r="C109" s="1" t="s">
        <v>203</v>
      </c>
      <c r="D109" s="1" t="s">
        <v>258</v>
      </c>
      <c r="E109" s="3" t="s">
        <v>393</v>
      </c>
    </row>
    <row r="110" spans="1:5" ht="93.75" x14ac:dyDescent="0.4">
      <c r="A110" s="1" t="s">
        <v>3</v>
      </c>
      <c r="B110" s="1" t="s">
        <v>392</v>
      </c>
      <c r="C110" s="1" t="s">
        <v>204</v>
      </c>
      <c r="D110" s="1" t="s">
        <v>262</v>
      </c>
      <c r="E110" s="3" t="s">
        <v>393</v>
      </c>
    </row>
    <row r="111" spans="1:5" ht="93.75" x14ac:dyDescent="0.4">
      <c r="A111" s="1" t="s">
        <v>3</v>
      </c>
      <c r="B111" s="1" t="s">
        <v>392</v>
      </c>
      <c r="C111" s="1" t="s">
        <v>193</v>
      </c>
      <c r="D111" s="1" t="s">
        <v>268</v>
      </c>
      <c r="E111" s="3" t="s">
        <v>393</v>
      </c>
    </row>
    <row r="112" spans="1:5" ht="93.75" x14ac:dyDescent="0.4">
      <c r="A112" s="1" t="s">
        <v>3</v>
      </c>
      <c r="B112" s="1" t="s">
        <v>392</v>
      </c>
      <c r="C112" s="1" t="s">
        <v>195</v>
      </c>
      <c r="D112" s="1" t="s">
        <v>272</v>
      </c>
      <c r="E112" s="3" t="s">
        <v>393</v>
      </c>
    </row>
    <row r="113" spans="1:5" ht="93.75" x14ac:dyDescent="0.4">
      <c r="A113" s="1" t="s">
        <v>3</v>
      </c>
      <c r="B113" s="1" t="s">
        <v>392</v>
      </c>
      <c r="C113" s="1" t="s">
        <v>206</v>
      </c>
      <c r="D113" s="1" t="s">
        <v>276</v>
      </c>
      <c r="E113" s="3" t="s">
        <v>393</v>
      </c>
    </row>
    <row r="114" spans="1:5" ht="93.75" x14ac:dyDescent="0.4">
      <c r="A114" s="1" t="s">
        <v>3</v>
      </c>
      <c r="B114" s="1" t="s">
        <v>392</v>
      </c>
      <c r="C114" s="1" t="s">
        <v>205</v>
      </c>
      <c r="D114" s="1" t="s">
        <v>280</v>
      </c>
      <c r="E114" s="3" t="s">
        <v>393</v>
      </c>
    </row>
    <row r="115" spans="1:5" ht="93.75" x14ac:dyDescent="0.4">
      <c r="A115" s="1" t="s">
        <v>3</v>
      </c>
      <c r="B115" s="1" t="s">
        <v>392</v>
      </c>
      <c r="C115" s="1" t="s">
        <v>196</v>
      </c>
      <c r="D115" s="1" t="s">
        <v>284</v>
      </c>
      <c r="E115" s="3" t="s">
        <v>393</v>
      </c>
    </row>
    <row r="116" spans="1:5" ht="93.75" x14ac:dyDescent="0.4">
      <c r="A116" s="1" t="s">
        <v>3</v>
      </c>
      <c r="B116" s="1" t="s">
        <v>392</v>
      </c>
      <c r="C116" s="1" t="s">
        <v>207</v>
      </c>
      <c r="D116" s="1" t="s">
        <v>288</v>
      </c>
      <c r="E116" s="3" t="s">
        <v>393</v>
      </c>
    </row>
    <row r="117" spans="1:5" ht="93.75" x14ac:dyDescent="0.4">
      <c r="A117" s="1" t="s">
        <v>3</v>
      </c>
      <c r="B117" s="1" t="s">
        <v>392</v>
      </c>
      <c r="C117" s="1" t="s">
        <v>204</v>
      </c>
      <c r="D117" s="1" t="s">
        <v>289</v>
      </c>
      <c r="E117" s="3" t="s">
        <v>393</v>
      </c>
    </row>
    <row r="118" spans="1:5" ht="93.75" x14ac:dyDescent="0.4">
      <c r="A118" s="1" t="s">
        <v>3</v>
      </c>
      <c r="B118" s="1" t="s">
        <v>392</v>
      </c>
      <c r="C118" s="1" t="s">
        <v>208</v>
      </c>
      <c r="D118" s="1" t="s">
        <v>293</v>
      </c>
      <c r="E118" s="3" t="s">
        <v>393</v>
      </c>
    </row>
    <row r="119" spans="1:5" ht="93.75" x14ac:dyDescent="0.4">
      <c r="A119" s="1" t="s">
        <v>3</v>
      </c>
      <c r="B119" s="1" t="s">
        <v>392</v>
      </c>
      <c r="C119" s="1" t="s">
        <v>347</v>
      </c>
      <c r="D119" s="1" t="s">
        <v>355</v>
      </c>
      <c r="E119" s="3" t="s">
        <v>393</v>
      </c>
    </row>
    <row r="120" spans="1:5" ht="93.75" x14ac:dyDescent="0.4">
      <c r="A120" s="1" t="s">
        <v>3</v>
      </c>
      <c r="B120" s="1" t="s">
        <v>392</v>
      </c>
      <c r="C120" s="1" t="s">
        <v>209</v>
      </c>
      <c r="D120" s="1" t="s">
        <v>298</v>
      </c>
      <c r="E120" s="3" t="s">
        <v>393</v>
      </c>
    </row>
    <row r="121" spans="1:5" ht="93.75" x14ac:dyDescent="0.4">
      <c r="A121" s="1" t="s">
        <v>3</v>
      </c>
      <c r="B121" s="1" t="s">
        <v>392</v>
      </c>
      <c r="C121" s="1" t="s">
        <v>348</v>
      </c>
      <c r="D121" s="1" t="s">
        <v>359</v>
      </c>
      <c r="E121" s="3" t="s">
        <v>393</v>
      </c>
    </row>
    <row r="122" spans="1:5" ht="93.75" x14ac:dyDescent="0.4">
      <c r="A122" s="1" t="s">
        <v>3</v>
      </c>
      <c r="B122" s="1" t="s">
        <v>392</v>
      </c>
      <c r="C122" s="1" t="s">
        <v>210</v>
      </c>
      <c r="D122" s="1" t="s">
        <v>303</v>
      </c>
      <c r="E122" s="3" t="s">
        <v>393</v>
      </c>
    </row>
    <row r="123" spans="1:5" ht="93.75" x14ac:dyDescent="0.4">
      <c r="A123" s="1" t="s">
        <v>3</v>
      </c>
      <c r="B123" s="1" t="s">
        <v>392</v>
      </c>
      <c r="C123" s="1" t="s">
        <v>211</v>
      </c>
      <c r="D123" s="1" t="s">
        <v>304</v>
      </c>
      <c r="E123" s="3" t="s">
        <v>393</v>
      </c>
    </row>
    <row r="124" spans="1:5" ht="93.75" x14ac:dyDescent="0.4">
      <c r="A124" s="1" t="s">
        <v>3</v>
      </c>
      <c r="B124" s="1" t="s">
        <v>392</v>
      </c>
      <c r="C124" s="1" t="s">
        <v>212</v>
      </c>
      <c r="D124" s="1" t="s">
        <v>308</v>
      </c>
      <c r="E124" s="3" t="s">
        <v>393</v>
      </c>
    </row>
    <row r="125" spans="1:5" ht="409.5" x14ac:dyDescent="0.4">
      <c r="A125" s="1" t="s">
        <v>3</v>
      </c>
      <c r="B125" s="1" t="s">
        <v>392</v>
      </c>
      <c r="C125" s="1" t="s">
        <v>380</v>
      </c>
      <c r="D125" s="1" t="s">
        <v>388</v>
      </c>
      <c r="E125" s="3" t="s">
        <v>394</v>
      </c>
    </row>
    <row r="126" spans="1:5" ht="168.75" x14ac:dyDescent="0.4">
      <c r="A126" s="1" t="s">
        <v>3</v>
      </c>
      <c r="B126" s="1" t="s">
        <v>392</v>
      </c>
      <c r="C126" s="1" t="s">
        <v>349</v>
      </c>
      <c r="D126" s="1" t="s">
        <v>367</v>
      </c>
      <c r="E126" s="3" t="s">
        <v>395</v>
      </c>
    </row>
    <row r="127" spans="1:5" ht="409.5" x14ac:dyDescent="0.4">
      <c r="A127" s="1" t="s">
        <v>3</v>
      </c>
      <c r="B127" s="1" t="s">
        <v>392</v>
      </c>
      <c r="C127" s="1" t="s">
        <v>379</v>
      </c>
      <c r="D127" s="1" t="s">
        <v>381</v>
      </c>
      <c r="E127" s="3" t="s">
        <v>396</v>
      </c>
    </row>
    <row r="128" spans="1:5" ht="56.25" x14ac:dyDescent="0.4">
      <c r="A128" s="1" t="s">
        <v>3</v>
      </c>
      <c r="B128" s="1" t="s">
        <v>401</v>
      </c>
      <c r="C128" s="1" t="s">
        <v>397</v>
      </c>
      <c r="D128" s="1" t="s">
        <v>335</v>
      </c>
      <c r="E128" s="3" t="s">
        <v>336</v>
      </c>
    </row>
    <row r="129" spans="1:5" ht="56.25" x14ac:dyDescent="0.4">
      <c r="A129" s="1" t="s">
        <v>3</v>
      </c>
      <c r="B129" s="1" t="s">
        <v>401</v>
      </c>
      <c r="C129" s="1" t="s">
        <v>398</v>
      </c>
      <c r="D129" s="1" t="s">
        <v>335</v>
      </c>
      <c r="E129" s="3" t="s">
        <v>336</v>
      </c>
    </row>
    <row r="130" spans="1:5" ht="281.25" x14ac:dyDescent="0.4">
      <c r="A130" s="1" t="s">
        <v>3</v>
      </c>
      <c r="B130" s="1" t="s">
        <v>401</v>
      </c>
      <c r="C130" s="1" t="s">
        <v>399</v>
      </c>
      <c r="D130" s="1" t="s">
        <v>335</v>
      </c>
      <c r="E130" s="3" t="s">
        <v>376</v>
      </c>
    </row>
    <row r="131" spans="1:5" ht="281.25" x14ac:dyDescent="0.4">
      <c r="A131" s="1" t="s">
        <v>3</v>
      </c>
      <c r="B131" s="1" t="s">
        <v>401</v>
      </c>
      <c r="C131" s="1" t="s">
        <v>400</v>
      </c>
      <c r="D131" s="1" t="s">
        <v>335</v>
      </c>
      <c r="E131" s="3" t="s">
        <v>376</v>
      </c>
    </row>
    <row r="132" spans="1:5" x14ac:dyDescent="0.4">
      <c r="A132" s="1" t="s">
        <v>3</v>
      </c>
      <c r="B132" s="1" t="s">
        <v>401</v>
      </c>
      <c r="C132" s="1" t="s">
        <v>333</v>
      </c>
      <c r="D132" s="1" t="s">
        <v>335</v>
      </c>
      <c r="E132" s="1" t="s">
        <v>123</v>
      </c>
    </row>
    <row r="133" spans="1:5" x14ac:dyDescent="0.4">
      <c r="A133" s="1" t="s">
        <v>3</v>
      </c>
      <c r="B133" s="1" t="s">
        <v>401</v>
      </c>
      <c r="C133" s="1" t="s">
        <v>373</v>
      </c>
      <c r="D133" s="1" t="s">
        <v>335</v>
      </c>
      <c r="E133" s="1" t="s">
        <v>123</v>
      </c>
    </row>
    <row r="134" spans="1:5" x14ac:dyDescent="0.4">
      <c r="A134" s="1" t="s">
        <v>3</v>
      </c>
      <c r="B134" s="1" t="s">
        <v>401</v>
      </c>
      <c r="C134" s="1" t="s">
        <v>374</v>
      </c>
      <c r="D134" s="1" t="s">
        <v>335</v>
      </c>
      <c r="E134" s="1" t="s">
        <v>123</v>
      </c>
    </row>
    <row r="135" spans="1:5" ht="37.5" x14ac:dyDescent="0.4">
      <c r="A135" s="1" t="s">
        <v>3</v>
      </c>
      <c r="B135" s="1" t="s">
        <v>401</v>
      </c>
      <c r="C135" s="1" t="s">
        <v>5</v>
      </c>
      <c r="D135" s="1" t="s">
        <v>1</v>
      </c>
      <c r="E135" s="3" t="s">
        <v>6</v>
      </c>
    </row>
    <row r="136" spans="1:5" ht="262.5" x14ac:dyDescent="0.4">
      <c r="A136" s="1" t="s">
        <v>3</v>
      </c>
      <c r="B136" s="1" t="s">
        <v>404</v>
      </c>
      <c r="C136" s="1" t="s">
        <v>39</v>
      </c>
      <c r="D136" s="1" t="s">
        <v>1</v>
      </c>
      <c r="E136" s="3" t="s">
        <v>405</v>
      </c>
    </row>
    <row r="137" spans="1:5" ht="243.75" x14ac:dyDescent="0.4">
      <c r="A137" s="1" t="s">
        <v>3</v>
      </c>
      <c r="B137" s="1" t="s">
        <v>406</v>
      </c>
      <c r="C137" s="1" t="s">
        <v>380</v>
      </c>
      <c r="D137" s="1" t="s">
        <v>388</v>
      </c>
      <c r="E137" s="3" t="s">
        <v>407</v>
      </c>
    </row>
    <row r="138" spans="1:5" ht="409.5" x14ac:dyDescent="0.4">
      <c r="A138" s="1" t="s">
        <v>3</v>
      </c>
      <c r="B138" s="1" t="s">
        <v>446</v>
      </c>
      <c r="C138" s="1" t="s">
        <v>408</v>
      </c>
      <c r="D138" s="1" t="s">
        <v>423</v>
      </c>
      <c r="E138" s="3" t="s">
        <v>447</v>
      </c>
    </row>
    <row r="139" spans="1:5" ht="318.75" x14ac:dyDescent="0.4">
      <c r="A139" s="1" t="s">
        <v>3</v>
      </c>
      <c r="B139" s="1" t="s">
        <v>446</v>
      </c>
      <c r="C139" s="1" t="s">
        <v>409</v>
      </c>
      <c r="D139" s="1" t="s">
        <v>429</v>
      </c>
      <c r="E139" s="3" t="s">
        <v>448</v>
      </c>
    </row>
    <row r="140" spans="1:5" ht="281.25" x14ac:dyDescent="0.4">
      <c r="A140" s="1" t="s">
        <v>3</v>
      </c>
      <c r="B140" s="1" t="s">
        <v>446</v>
      </c>
      <c r="C140" s="1" t="s">
        <v>410</v>
      </c>
      <c r="D140" s="1" t="s">
        <v>435</v>
      </c>
      <c r="E140" s="3" t="s">
        <v>449</v>
      </c>
    </row>
    <row r="141" spans="1:5" ht="300" x14ac:dyDescent="0.4">
      <c r="A141" s="1" t="s">
        <v>3</v>
      </c>
      <c r="B141" s="1" t="s">
        <v>446</v>
      </c>
      <c r="C141" s="1" t="s">
        <v>415</v>
      </c>
      <c r="D141" s="1" t="s">
        <v>436</v>
      </c>
      <c r="E141" s="3" t="s">
        <v>450</v>
      </c>
    </row>
    <row r="142" spans="1:5" ht="300" x14ac:dyDescent="0.4">
      <c r="A142" s="1" t="s">
        <v>3</v>
      </c>
      <c r="B142" s="1" t="s">
        <v>446</v>
      </c>
      <c r="C142" s="1" t="s">
        <v>412</v>
      </c>
      <c r="D142" s="1" t="s">
        <v>441</v>
      </c>
      <c r="E142" s="3" t="s">
        <v>451</v>
      </c>
    </row>
    <row r="143" spans="1:5" ht="318.75" x14ac:dyDescent="0.4">
      <c r="A143" s="1" t="s">
        <v>3</v>
      </c>
      <c r="B143" s="1" t="s">
        <v>446</v>
      </c>
      <c r="C143" s="1" t="s">
        <v>413</v>
      </c>
      <c r="D143" s="1" t="s">
        <v>444</v>
      </c>
      <c r="E143" s="3" t="s">
        <v>452</v>
      </c>
    </row>
    <row r="144" spans="1:5" ht="262.5" x14ac:dyDescent="0.4">
      <c r="A144" s="1" t="s">
        <v>3</v>
      </c>
      <c r="B144" s="1" t="s">
        <v>446</v>
      </c>
      <c r="C144" s="1" t="s">
        <v>414</v>
      </c>
      <c r="D144" s="1" t="s">
        <v>445</v>
      </c>
      <c r="E144" s="3" t="s">
        <v>453</v>
      </c>
    </row>
    <row r="145" spans="1:5" ht="281.25" x14ac:dyDescent="0.4">
      <c r="A145" s="1" t="s">
        <v>3</v>
      </c>
      <c r="B145" s="1" t="s">
        <v>446</v>
      </c>
      <c r="C145" s="1" t="s">
        <v>454</v>
      </c>
      <c r="D145" s="1" t="s">
        <v>335</v>
      </c>
      <c r="E145" s="3" t="s">
        <v>455</v>
      </c>
    </row>
    <row r="146" spans="1:5" ht="112.5" x14ac:dyDescent="0.4">
      <c r="A146" s="1" t="s">
        <v>3</v>
      </c>
      <c r="B146" s="1" t="s">
        <v>457</v>
      </c>
      <c r="C146" s="1" t="s">
        <v>408</v>
      </c>
      <c r="D146" s="1" t="s">
        <v>423</v>
      </c>
      <c r="E146" s="3" t="s">
        <v>458</v>
      </c>
    </row>
    <row r="147" spans="1:5" ht="318.75" x14ac:dyDescent="0.4">
      <c r="A147" s="1" t="s">
        <v>3</v>
      </c>
      <c r="B147" s="1" t="s">
        <v>457</v>
      </c>
      <c r="C147" s="1" t="s">
        <v>413</v>
      </c>
      <c r="D147" s="1" t="s">
        <v>456</v>
      </c>
      <c r="E147" s="3" t="s">
        <v>452</v>
      </c>
    </row>
    <row r="148" spans="1:5" x14ac:dyDescent="0.4">
      <c r="A148" s="1" t="s">
        <v>3</v>
      </c>
      <c r="B148" s="1" t="s">
        <v>457</v>
      </c>
      <c r="C148" s="1" t="s">
        <v>413</v>
      </c>
      <c r="D148" s="1" t="s">
        <v>444</v>
      </c>
      <c r="E148" s="1" t="s">
        <v>123</v>
      </c>
    </row>
    <row r="149" spans="1:5" ht="409.5" x14ac:dyDescent="0.4">
      <c r="A149" s="1" t="s">
        <v>3</v>
      </c>
      <c r="B149" s="1" t="s">
        <v>462</v>
      </c>
      <c r="C149" s="1" t="s">
        <v>459</v>
      </c>
      <c r="D149" s="1" t="s">
        <v>461</v>
      </c>
      <c r="E149" s="3" t="s">
        <v>463</v>
      </c>
    </row>
    <row r="150" spans="1:5" ht="56.25" x14ac:dyDescent="0.4">
      <c r="A150" s="1" t="s">
        <v>3</v>
      </c>
      <c r="B150" s="1" t="s">
        <v>465</v>
      </c>
      <c r="C150" s="1" t="s">
        <v>464</v>
      </c>
      <c r="D150" s="1" t="s">
        <v>335</v>
      </c>
      <c r="E150" s="3" t="s">
        <v>336</v>
      </c>
    </row>
    <row r="151" spans="1:5" ht="409.5" x14ac:dyDescent="0.4">
      <c r="A151" s="1" t="s">
        <v>3</v>
      </c>
      <c r="B151" s="1" t="s">
        <v>466</v>
      </c>
      <c r="C151" s="1" t="s">
        <v>137</v>
      </c>
      <c r="D151" s="1" t="s">
        <v>152</v>
      </c>
      <c r="E151" s="3" t="s">
        <v>467</v>
      </c>
    </row>
    <row r="152" spans="1:5" x14ac:dyDescent="0.4">
      <c r="A152" s="1" t="s">
        <v>3</v>
      </c>
      <c r="B152" s="1" t="s">
        <v>466</v>
      </c>
      <c r="C152" s="1" t="s">
        <v>459</v>
      </c>
      <c r="D152" s="1" t="s">
        <v>461</v>
      </c>
      <c r="E152" s="1" t="s">
        <v>123</v>
      </c>
    </row>
    <row r="153" spans="1:5" x14ac:dyDescent="0.4">
      <c r="A153" s="1" t="s">
        <v>3</v>
      </c>
      <c r="B153" s="1" t="s">
        <v>466</v>
      </c>
      <c r="C153" s="1" t="s">
        <v>464</v>
      </c>
      <c r="D153" s="1" t="s">
        <v>335</v>
      </c>
      <c r="E153" s="1" t="s">
        <v>123</v>
      </c>
    </row>
    <row r="154" spans="1:5" ht="75" x14ac:dyDescent="0.4">
      <c r="A154" s="1" t="s">
        <v>3</v>
      </c>
      <c r="B154" s="1" t="s">
        <v>468</v>
      </c>
      <c r="C154" s="1" t="s">
        <v>201</v>
      </c>
      <c r="D154" s="1" t="s">
        <v>240</v>
      </c>
      <c r="E154" s="3" t="s">
        <v>469</v>
      </c>
    </row>
    <row r="155" spans="1:5" ht="409.5" x14ac:dyDescent="0.4">
      <c r="A155" s="1" t="s">
        <v>3</v>
      </c>
      <c r="B155" s="1" t="s">
        <v>479</v>
      </c>
      <c r="C155" s="1" t="s">
        <v>470</v>
      </c>
      <c r="D155" s="1" t="s">
        <v>474</v>
      </c>
      <c r="E155" s="3" t="s">
        <v>480</v>
      </c>
    </row>
    <row r="156" spans="1:5" ht="409.5" x14ac:dyDescent="0.4">
      <c r="A156" s="1" t="s">
        <v>3</v>
      </c>
      <c r="B156" s="1" t="s">
        <v>479</v>
      </c>
      <c r="C156" s="1" t="s">
        <v>471</v>
      </c>
      <c r="D156" s="1" t="s">
        <v>478</v>
      </c>
      <c r="E156" s="3" t="s">
        <v>481</v>
      </c>
    </row>
    <row r="157" spans="1:5" x14ac:dyDescent="0.4">
      <c r="A157" s="1" t="s">
        <v>3</v>
      </c>
      <c r="B157" s="1" t="s">
        <v>479</v>
      </c>
      <c r="C157" s="1" t="s">
        <v>348</v>
      </c>
      <c r="D157" s="1" t="s">
        <v>359</v>
      </c>
      <c r="E157" s="1" t="s">
        <v>123</v>
      </c>
    </row>
    <row r="158" spans="1:5" ht="56.25" x14ac:dyDescent="0.4">
      <c r="A158" s="1" t="s">
        <v>3</v>
      </c>
      <c r="B158" s="1" t="s">
        <v>479</v>
      </c>
      <c r="C158" s="1" t="s">
        <v>482</v>
      </c>
      <c r="D158" s="1" t="s">
        <v>335</v>
      </c>
      <c r="E158" s="3" t="s">
        <v>336</v>
      </c>
    </row>
    <row r="159" spans="1:5" ht="56.25" x14ac:dyDescent="0.4">
      <c r="A159" s="1" t="s">
        <v>3</v>
      </c>
      <c r="B159" s="1" t="s">
        <v>479</v>
      </c>
      <c r="C159" s="1" t="s">
        <v>483</v>
      </c>
      <c r="D159" s="1" t="s">
        <v>335</v>
      </c>
      <c r="E159" s="3" t="s">
        <v>336</v>
      </c>
    </row>
    <row r="160" spans="1:5" x14ac:dyDescent="0.4">
      <c r="A160" s="1" t="s">
        <v>3</v>
      </c>
      <c r="B160" s="1" t="s">
        <v>479</v>
      </c>
      <c r="C160" s="1" t="s">
        <v>398</v>
      </c>
      <c r="D160" s="1" t="s">
        <v>335</v>
      </c>
      <c r="E160" s="1" t="s">
        <v>123</v>
      </c>
    </row>
    <row r="161" spans="1:5" ht="409.5" x14ac:dyDescent="0.4">
      <c r="A161" s="1" t="s">
        <v>3</v>
      </c>
      <c r="B161" s="1" t="s">
        <v>484</v>
      </c>
      <c r="C161" s="1" t="s">
        <v>471</v>
      </c>
      <c r="D161" s="1" t="s">
        <v>478</v>
      </c>
      <c r="E161" s="3" t="s">
        <v>485</v>
      </c>
    </row>
    <row r="162" spans="1:5" ht="409.5" x14ac:dyDescent="0.4">
      <c r="A162" s="1" t="s">
        <v>3</v>
      </c>
      <c r="B162" s="1" t="s">
        <v>486</v>
      </c>
      <c r="C162" s="1" t="s">
        <v>471</v>
      </c>
      <c r="D162" s="1" t="s">
        <v>478</v>
      </c>
      <c r="E162" s="3" t="s">
        <v>485</v>
      </c>
    </row>
    <row r="163" spans="1:5" ht="409.5" x14ac:dyDescent="0.4">
      <c r="A163" s="1" t="s">
        <v>3</v>
      </c>
      <c r="B163" s="1" t="s">
        <v>490</v>
      </c>
      <c r="C163" s="1" t="s">
        <v>487</v>
      </c>
      <c r="D163" s="1" t="s">
        <v>478</v>
      </c>
      <c r="E163" s="3" t="s">
        <v>491</v>
      </c>
    </row>
    <row r="164" spans="1:5" x14ac:dyDescent="0.4">
      <c r="A164" s="1" t="s">
        <v>3</v>
      </c>
      <c r="B164" s="1" t="s">
        <v>490</v>
      </c>
      <c r="C164" s="1" t="s">
        <v>483</v>
      </c>
      <c r="D164" s="1" t="s">
        <v>335</v>
      </c>
      <c r="E164" s="1" t="s">
        <v>123</v>
      </c>
    </row>
    <row r="165" spans="1:5" ht="75" x14ac:dyDescent="0.4">
      <c r="A165" s="1" t="s">
        <v>3</v>
      </c>
      <c r="B165" s="1" t="s">
        <v>492</v>
      </c>
      <c r="C165" s="1" t="s">
        <v>201</v>
      </c>
      <c r="D165" s="1" t="s">
        <v>240</v>
      </c>
      <c r="E165" s="3" t="s">
        <v>493</v>
      </c>
    </row>
    <row r="166" spans="1:5" ht="75" x14ac:dyDescent="0.4">
      <c r="A166" s="1" t="s">
        <v>3</v>
      </c>
      <c r="B166" s="1" t="s">
        <v>492</v>
      </c>
      <c r="C166" s="1" t="s">
        <v>203</v>
      </c>
      <c r="D166" s="1" t="s">
        <v>258</v>
      </c>
      <c r="E166" s="3" t="s">
        <v>469</v>
      </c>
    </row>
    <row r="167" spans="1:5" ht="409.5" x14ac:dyDescent="0.4">
      <c r="A167" s="1" t="s">
        <v>3</v>
      </c>
      <c r="B167" s="1" t="s">
        <v>492</v>
      </c>
      <c r="C167" s="1" t="s">
        <v>487</v>
      </c>
      <c r="D167" s="1" t="s">
        <v>478</v>
      </c>
      <c r="E167" s="3" t="s">
        <v>485</v>
      </c>
    </row>
    <row r="168" spans="1:5" ht="409.5" x14ac:dyDescent="0.4">
      <c r="A168" s="1" t="s">
        <v>3</v>
      </c>
      <c r="B168" s="1" t="s">
        <v>494</v>
      </c>
      <c r="C168" s="1" t="s">
        <v>487</v>
      </c>
      <c r="D168" s="1" t="s">
        <v>478</v>
      </c>
      <c r="E168" s="3" t="s">
        <v>485</v>
      </c>
    </row>
    <row r="169" spans="1:5" ht="409.5" x14ac:dyDescent="0.4">
      <c r="A169" s="1" t="s">
        <v>3</v>
      </c>
      <c r="B169" s="1" t="s">
        <v>495</v>
      </c>
      <c r="C169" s="1" t="s">
        <v>487</v>
      </c>
      <c r="D169" s="1" t="s">
        <v>478</v>
      </c>
      <c r="E169" s="3" t="s">
        <v>485</v>
      </c>
    </row>
    <row r="170" spans="1:5" ht="409.5" x14ac:dyDescent="0.4">
      <c r="A170" s="1" t="s">
        <v>3</v>
      </c>
      <c r="B170" s="1" t="s">
        <v>496</v>
      </c>
      <c r="C170" s="1" t="s">
        <v>83</v>
      </c>
      <c r="D170" s="1" t="s">
        <v>147</v>
      </c>
      <c r="E170" s="3" t="s">
        <v>497</v>
      </c>
    </row>
    <row r="171" spans="1:5" ht="409.5" x14ac:dyDescent="0.4">
      <c r="A171" s="1" t="s">
        <v>3</v>
      </c>
      <c r="B171" s="1" t="s">
        <v>496</v>
      </c>
      <c r="C171" s="1" t="s">
        <v>487</v>
      </c>
      <c r="D171" s="1" t="s">
        <v>478</v>
      </c>
      <c r="E171" s="3" t="s">
        <v>485</v>
      </c>
    </row>
    <row r="172" spans="1:5" ht="409.5" x14ac:dyDescent="0.4">
      <c r="A172" s="1" t="s">
        <v>3</v>
      </c>
      <c r="B172" s="1" t="s">
        <v>498</v>
      </c>
      <c r="C172" s="1" t="s">
        <v>487</v>
      </c>
      <c r="D172" s="1" t="s">
        <v>478</v>
      </c>
      <c r="E172" s="3" t="s">
        <v>485</v>
      </c>
    </row>
    <row r="173" spans="1:5" ht="409.5" x14ac:dyDescent="0.4">
      <c r="A173" s="1" t="s">
        <v>3</v>
      </c>
      <c r="B173" s="1" t="s">
        <v>499</v>
      </c>
      <c r="C173" s="1" t="s">
        <v>487</v>
      </c>
      <c r="D173" s="1" t="s">
        <v>478</v>
      </c>
      <c r="E173" s="3" t="s">
        <v>485</v>
      </c>
    </row>
    <row r="174" spans="1:5" ht="409.5" x14ac:dyDescent="0.4">
      <c r="A174" s="1" t="s">
        <v>3</v>
      </c>
      <c r="B174" s="1" t="s">
        <v>500</v>
      </c>
      <c r="C174" s="1" t="s">
        <v>487</v>
      </c>
      <c r="D174" s="1" t="s">
        <v>478</v>
      </c>
      <c r="E174" s="3" t="s">
        <v>485</v>
      </c>
    </row>
    <row r="175" spans="1:5" ht="409.5" x14ac:dyDescent="0.4">
      <c r="A175" s="1" t="s">
        <v>3</v>
      </c>
      <c r="B175" s="1" t="s">
        <v>501</v>
      </c>
      <c r="C175" s="1" t="s">
        <v>487</v>
      </c>
      <c r="D175" s="1" t="s">
        <v>478</v>
      </c>
      <c r="E175" s="3" t="s">
        <v>485</v>
      </c>
    </row>
    <row r="176" spans="1:5" ht="409.5" x14ac:dyDescent="0.4">
      <c r="A176" s="1" t="s">
        <v>3</v>
      </c>
      <c r="B176" s="1" t="s">
        <v>502</v>
      </c>
      <c r="C176" s="1" t="s">
        <v>487</v>
      </c>
      <c r="D176" s="1" t="s">
        <v>478</v>
      </c>
      <c r="E176" s="3" t="s">
        <v>485</v>
      </c>
    </row>
    <row r="177" spans="1:5" ht="409.5" x14ac:dyDescent="0.4">
      <c r="A177" s="1" t="s">
        <v>3</v>
      </c>
      <c r="B177" s="1" t="s">
        <v>503</v>
      </c>
      <c r="C177" s="1" t="s">
        <v>487</v>
      </c>
      <c r="D177" s="1" t="s">
        <v>478</v>
      </c>
      <c r="E177" s="3" t="s">
        <v>485</v>
      </c>
    </row>
    <row r="178" spans="1:5" ht="75" x14ac:dyDescent="0.4">
      <c r="A178" s="1" t="s">
        <v>3</v>
      </c>
      <c r="B178" s="1" t="s">
        <v>504</v>
      </c>
      <c r="C178" s="1" t="s">
        <v>207</v>
      </c>
      <c r="D178" s="1" t="s">
        <v>288</v>
      </c>
      <c r="E178" s="3" t="s">
        <v>469</v>
      </c>
    </row>
    <row r="179" spans="1:5" ht="409.5" x14ac:dyDescent="0.4">
      <c r="A179" s="1" t="s">
        <v>3</v>
      </c>
      <c r="B179" s="1" t="s">
        <v>504</v>
      </c>
      <c r="C179" s="1" t="s">
        <v>487</v>
      </c>
      <c r="D179" s="1" t="s">
        <v>478</v>
      </c>
      <c r="E179" s="3" t="s">
        <v>485</v>
      </c>
    </row>
    <row r="180" spans="1:5" ht="409.5" x14ac:dyDescent="0.4">
      <c r="A180" s="1" t="s">
        <v>3</v>
      </c>
      <c r="B180" s="1" t="s">
        <v>505</v>
      </c>
      <c r="C180" s="1" t="s">
        <v>487</v>
      </c>
      <c r="D180" s="1" t="s">
        <v>478</v>
      </c>
      <c r="E180" s="3" t="s">
        <v>485</v>
      </c>
    </row>
    <row r="181" spans="1:5" ht="409.5" x14ac:dyDescent="0.4">
      <c r="A181" s="1" t="s">
        <v>3</v>
      </c>
      <c r="B181" s="1" t="s">
        <v>506</v>
      </c>
      <c r="C181" s="1" t="s">
        <v>487</v>
      </c>
      <c r="D181" s="1" t="s">
        <v>478</v>
      </c>
      <c r="E181" s="3" t="s">
        <v>485</v>
      </c>
    </row>
    <row r="182" spans="1:5" ht="300" x14ac:dyDescent="0.4">
      <c r="A182" s="1" t="s">
        <v>3</v>
      </c>
      <c r="B182" s="1" t="s">
        <v>511</v>
      </c>
      <c r="C182" s="1" t="s">
        <v>202</v>
      </c>
      <c r="D182" s="1" t="s">
        <v>508</v>
      </c>
      <c r="E182" s="3" t="s">
        <v>512</v>
      </c>
    </row>
    <row r="183" spans="1:5" ht="262.5" x14ac:dyDescent="0.4">
      <c r="A183" s="1" t="s">
        <v>3</v>
      </c>
      <c r="B183" s="1" t="s">
        <v>511</v>
      </c>
      <c r="C183" s="1" t="s">
        <v>507</v>
      </c>
      <c r="D183" s="1" t="s">
        <v>509</v>
      </c>
      <c r="E183" s="3" t="s">
        <v>513</v>
      </c>
    </row>
    <row r="184" spans="1:5" ht="262.5" x14ac:dyDescent="0.4">
      <c r="A184" s="1" t="s">
        <v>3</v>
      </c>
      <c r="B184" s="1" t="s">
        <v>511</v>
      </c>
      <c r="C184" s="1" t="s">
        <v>204</v>
      </c>
      <c r="D184" s="1" t="s">
        <v>510</v>
      </c>
      <c r="E184" s="3" t="s">
        <v>514</v>
      </c>
    </row>
    <row r="185" spans="1:5" x14ac:dyDescent="0.4">
      <c r="A185" s="1" t="s">
        <v>3</v>
      </c>
      <c r="B185" s="1" t="s">
        <v>511</v>
      </c>
      <c r="C185" s="1" t="s">
        <v>202</v>
      </c>
      <c r="D185" s="1" t="s">
        <v>249</v>
      </c>
      <c r="E185" s="1" t="s">
        <v>123</v>
      </c>
    </row>
    <row r="186" spans="1:5" ht="300" x14ac:dyDescent="0.4">
      <c r="A186" s="1" t="s">
        <v>3</v>
      </c>
      <c r="B186" s="1" t="s">
        <v>516</v>
      </c>
      <c r="C186" s="1" t="s">
        <v>202</v>
      </c>
      <c r="D186" s="1" t="s">
        <v>515</v>
      </c>
      <c r="E186" s="3" t="s">
        <v>512</v>
      </c>
    </row>
    <row r="187" spans="1:5" x14ac:dyDescent="0.4">
      <c r="A187" s="1" t="s">
        <v>3</v>
      </c>
      <c r="B187" s="1" t="s">
        <v>516</v>
      </c>
      <c r="C187" s="1" t="s">
        <v>202</v>
      </c>
      <c r="D187" s="1" t="s">
        <v>508</v>
      </c>
      <c r="E187" s="1" t="s">
        <v>123</v>
      </c>
    </row>
    <row r="188" spans="1:5" ht="150" x14ac:dyDescent="0.4">
      <c r="A188" s="1" t="s">
        <v>3</v>
      </c>
      <c r="B188" s="1" t="s">
        <v>519</v>
      </c>
      <c r="C188" s="1" t="s">
        <v>39</v>
      </c>
      <c r="D188" s="1" t="s">
        <v>1</v>
      </c>
      <c r="E188" s="3" t="s">
        <v>520</v>
      </c>
    </row>
    <row r="189" spans="1:5" ht="56.25" x14ac:dyDescent="0.4">
      <c r="A189" s="1" t="s">
        <v>3</v>
      </c>
      <c r="B189" s="1" t="s">
        <v>522</v>
      </c>
      <c r="C189" s="1" t="s">
        <v>383</v>
      </c>
      <c r="D189" s="1" t="s">
        <v>1</v>
      </c>
      <c r="E189" s="3" t="s">
        <v>523</v>
      </c>
    </row>
    <row r="190" spans="1:5" ht="318.75" x14ac:dyDescent="0.4">
      <c r="A190" s="1" t="s">
        <v>3</v>
      </c>
      <c r="B190" s="1" t="s">
        <v>522</v>
      </c>
      <c r="C190" s="1" t="s">
        <v>82</v>
      </c>
      <c r="D190" s="1" t="s">
        <v>524</v>
      </c>
      <c r="E190" s="3" t="s">
        <v>569</v>
      </c>
    </row>
    <row r="191" spans="1:5" ht="337.5" x14ac:dyDescent="0.4">
      <c r="A191" s="1" t="s">
        <v>3</v>
      </c>
      <c r="B191" s="1" t="s">
        <v>522</v>
      </c>
      <c r="C191" s="1" t="s">
        <v>81</v>
      </c>
      <c r="D191" s="1" t="s">
        <v>525</v>
      </c>
      <c r="E191" s="3" t="s">
        <v>570</v>
      </c>
    </row>
    <row r="192" spans="1:5" ht="356.25" x14ac:dyDescent="0.4">
      <c r="A192" s="1" t="s">
        <v>3</v>
      </c>
      <c r="B192" s="1" t="s">
        <v>522</v>
      </c>
      <c r="C192" s="1" t="s">
        <v>136</v>
      </c>
      <c r="D192" s="1" t="s">
        <v>526</v>
      </c>
      <c r="E192" s="3" t="s">
        <v>571</v>
      </c>
    </row>
    <row r="193" spans="1:5" ht="409.5" x14ac:dyDescent="0.4">
      <c r="A193" s="1" t="s">
        <v>3</v>
      </c>
      <c r="B193" s="1" t="s">
        <v>522</v>
      </c>
      <c r="C193" s="1" t="s">
        <v>83</v>
      </c>
      <c r="D193" s="1" t="s">
        <v>527</v>
      </c>
      <c r="E193" s="3" t="s">
        <v>572</v>
      </c>
    </row>
    <row r="194" spans="1:5" ht="318.75" x14ac:dyDescent="0.4">
      <c r="A194" s="1" t="s">
        <v>3</v>
      </c>
      <c r="B194" s="1" t="s">
        <v>522</v>
      </c>
      <c r="C194" s="1" t="s">
        <v>85</v>
      </c>
      <c r="D194" s="1" t="s">
        <v>529</v>
      </c>
      <c r="E194" s="3" t="s">
        <v>573</v>
      </c>
    </row>
    <row r="195" spans="1:5" ht="409.5" x14ac:dyDescent="0.4">
      <c r="A195" s="1" t="s">
        <v>3</v>
      </c>
      <c r="B195" s="1" t="s">
        <v>522</v>
      </c>
      <c r="C195" s="1" t="s">
        <v>137</v>
      </c>
      <c r="D195" s="1" t="s">
        <v>530</v>
      </c>
      <c r="E195" s="3" t="s">
        <v>574</v>
      </c>
    </row>
    <row r="196" spans="1:5" ht="262.5" x14ac:dyDescent="0.4">
      <c r="A196" s="1" t="s">
        <v>3</v>
      </c>
      <c r="B196" s="1" t="s">
        <v>522</v>
      </c>
      <c r="C196" s="1" t="s">
        <v>84</v>
      </c>
      <c r="D196" s="1" t="s">
        <v>531</v>
      </c>
      <c r="E196" s="3" t="s">
        <v>575</v>
      </c>
    </row>
    <row r="197" spans="1:5" ht="393.75" x14ac:dyDescent="0.4">
      <c r="A197" s="1" t="s">
        <v>3</v>
      </c>
      <c r="B197" s="1" t="s">
        <v>522</v>
      </c>
      <c r="C197" s="1" t="s">
        <v>138</v>
      </c>
      <c r="D197" s="1" t="s">
        <v>532</v>
      </c>
      <c r="E197" s="3" t="s">
        <v>576</v>
      </c>
    </row>
    <row r="198" spans="1:5" ht="318.75" x14ac:dyDescent="0.4">
      <c r="A198" s="1" t="s">
        <v>3</v>
      </c>
      <c r="B198" s="1" t="s">
        <v>522</v>
      </c>
      <c r="C198" s="1" t="s">
        <v>139</v>
      </c>
      <c r="D198" s="1" t="s">
        <v>533</v>
      </c>
      <c r="E198" s="3" t="s">
        <v>577</v>
      </c>
    </row>
    <row r="199" spans="1:5" ht="281.25" x14ac:dyDescent="0.4">
      <c r="A199" s="1" t="s">
        <v>3</v>
      </c>
      <c r="B199" s="1" t="s">
        <v>522</v>
      </c>
      <c r="C199" s="1" t="s">
        <v>197</v>
      </c>
      <c r="D199" s="1" t="s">
        <v>534</v>
      </c>
      <c r="E199" s="3" t="s">
        <v>578</v>
      </c>
    </row>
    <row r="200" spans="1:5" ht="318.75" x14ac:dyDescent="0.4">
      <c r="A200" s="1" t="s">
        <v>3</v>
      </c>
      <c r="B200" s="1" t="s">
        <v>522</v>
      </c>
      <c r="C200" s="1" t="s">
        <v>198</v>
      </c>
      <c r="D200" s="1" t="s">
        <v>535</v>
      </c>
      <c r="E200" s="3" t="s">
        <v>573</v>
      </c>
    </row>
    <row r="201" spans="1:5" ht="262.5" x14ac:dyDescent="0.4">
      <c r="A201" s="1" t="s">
        <v>3</v>
      </c>
      <c r="B201" s="1" t="s">
        <v>522</v>
      </c>
      <c r="C201" s="1" t="s">
        <v>140</v>
      </c>
      <c r="D201" s="1" t="s">
        <v>536</v>
      </c>
      <c r="E201" s="3" t="s">
        <v>579</v>
      </c>
    </row>
    <row r="202" spans="1:5" ht="243.75" x14ac:dyDescent="0.4">
      <c r="A202" s="1" t="s">
        <v>3</v>
      </c>
      <c r="B202" s="1" t="s">
        <v>522</v>
      </c>
      <c r="C202" s="1" t="s">
        <v>184</v>
      </c>
      <c r="D202" s="1" t="s">
        <v>537</v>
      </c>
      <c r="E202" s="3" t="s">
        <v>580</v>
      </c>
    </row>
    <row r="203" spans="1:5" ht="281.25" x14ac:dyDescent="0.4">
      <c r="A203" s="1" t="s">
        <v>3</v>
      </c>
      <c r="B203" s="1" t="s">
        <v>522</v>
      </c>
      <c r="C203" s="1" t="s">
        <v>199</v>
      </c>
      <c r="D203" s="1" t="s">
        <v>538</v>
      </c>
      <c r="E203" s="3" t="s">
        <v>581</v>
      </c>
    </row>
    <row r="204" spans="1:5" ht="337.5" x14ac:dyDescent="0.4">
      <c r="A204" s="1" t="s">
        <v>3</v>
      </c>
      <c r="B204" s="1" t="s">
        <v>522</v>
      </c>
      <c r="C204" s="1" t="s">
        <v>186</v>
      </c>
      <c r="D204" s="1" t="s">
        <v>539</v>
      </c>
      <c r="E204" s="3" t="s">
        <v>582</v>
      </c>
    </row>
    <row r="205" spans="1:5" ht="318.75" x14ac:dyDescent="0.4">
      <c r="A205" s="1" t="s">
        <v>3</v>
      </c>
      <c r="B205" s="1" t="s">
        <v>522</v>
      </c>
      <c r="C205" s="1" t="s">
        <v>337</v>
      </c>
      <c r="D205" s="1" t="s">
        <v>540</v>
      </c>
      <c r="E205" s="3" t="s">
        <v>583</v>
      </c>
    </row>
    <row r="206" spans="1:5" ht="262.5" x14ac:dyDescent="0.4">
      <c r="A206" s="1" t="s">
        <v>3</v>
      </c>
      <c r="B206" s="1" t="s">
        <v>522</v>
      </c>
      <c r="C206" s="1" t="s">
        <v>201</v>
      </c>
      <c r="D206" s="1" t="s">
        <v>541</v>
      </c>
      <c r="E206" s="3" t="s">
        <v>584</v>
      </c>
    </row>
    <row r="207" spans="1:5" ht="318.75" x14ac:dyDescent="0.4">
      <c r="A207" s="1" t="s">
        <v>3</v>
      </c>
      <c r="B207" s="1" t="s">
        <v>522</v>
      </c>
      <c r="C207" s="1" t="s">
        <v>339</v>
      </c>
      <c r="D207" s="1" t="s">
        <v>542</v>
      </c>
      <c r="E207" s="3" t="s">
        <v>585</v>
      </c>
    </row>
    <row r="208" spans="1:5" ht="300" x14ac:dyDescent="0.4">
      <c r="A208" s="1" t="s">
        <v>3</v>
      </c>
      <c r="B208" s="1" t="s">
        <v>522</v>
      </c>
      <c r="C208" s="1" t="s">
        <v>202</v>
      </c>
      <c r="D208" s="1" t="s">
        <v>543</v>
      </c>
      <c r="E208" s="3" t="s">
        <v>512</v>
      </c>
    </row>
    <row r="209" spans="1:5" ht="262.5" x14ac:dyDescent="0.4">
      <c r="A209" s="1" t="s">
        <v>3</v>
      </c>
      <c r="B209" s="1" t="s">
        <v>522</v>
      </c>
      <c r="C209" s="1" t="s">
        <v>189</v>
      </c>
      <c r="D209" s="1" t="s">
        <v>544</v>
      </c>
      <c r="E209" s="3" t="s">
        <v>586</v>
      </c>
    </row>
    <row r="210" spans="1:5" ht="262.5" x14ac:dyDescent="0.4">
      <c r="A210" s="1" t="s">
        <v>3</v>
      </c>
      <c r="B210" s="1" t="s">
        <v>522</v>
      </c>
      <c r="C210" s="1" t="s">
        <v>203</v>
      </c>
      <c r="D210" s="1" t="s">
        <v>545</v>
      </c>
      <c r="E210" s="3" t="s">
        <v>587</v>
      </c>
    </row>
    <row r="211" spans="1:5" ht="262.5" x14ac:dyDescent="0.4">
      <c r="A211" s="1" t="s">
        <v>3</v>
      </c>
      <c r="B211" s="1" t="s">
        <v>522</v>
      </c>
      <c r="C211" s="1" t="s">
        <v>204</v>
      </c>
      <c r="D211" s="1" t="s">
        <v>546</v>
      </c>
      <c r="E211" s="3" t="s">
        <v>514</v>
      </c>
    </row>
    <row r="212" spans="1:5" ht="393.75" x14ac:dyDescent="0.4">
      <c r="A212" s="1" t="s">
        <v>3</v>
      </c>
      <c r="B212" s="1" t="s">
        <v>522</v>
      </c>
      <c r="C212" s="1" t="s">
        <v>193</v>
      </c>
      <c r="D212" s="1" t="s">
        <v>547</v>
      </c>
      <c r="E212" s="3" t="s">
        <v>588</v>
      </c>
    </row>
    <row r="213" spans="1:5" ht="262.5" x14ac:dyDescent="0.4">
      <c r="A213" s="1" t="s">
        <v>3</v>
      </c>
      <c r="B213" s="1" t="s">
        <v>522</v>
      </c>
      <c r="C213" s="1" t="s">
        <v>206</v>
      </c>
      <c r="D213" s="1" t="s">
        <v>548</v>
      </c>
      <c r="E213" s="3" t="s">
        <v>589</v>
      </c>
    </row>
    <row r="214" spans="1:5" ht="281.25" x14ac:dyDescent="0.4">
      <c r="A214" s="1" t="s">
        <v>3</v>
      </c>
      <c r="B214" s="1" t="s">
        <v>522</v>
      </c>
      <c r="C214" s="1" t="s">
        <v>205</v>
      </c>
      <c r="D214" s="1" t="s">
        <v>549</v>
      </c>
      <c r="E214" s="3" t="s">
        <v>590</v>
      </c>
    </row>
    <row r="215" spans="1:5" ht="262.5" x14ac:dyDescent="0.4">
      <c r="A215" s="1" t="s">
        <v>3</v>
      </c>
      <c r="B215" s="1" t="s">
        <v>522</v>
      </c>
      <c r="C215" s="1" t="s">
        <v>196</v>
      </c>
      <c r="D215" s="1" t="s">
        <v>550</v>
      </c>
      <c r="E215" s="3" t="s">
        <v>591</v>
      </c>
    </row>
    <row r="216" spans="1:5" ht="262.5" x14ac:dyDescent="0.4">
      <c r="A216" s="1" t="s">
        <v>3</v>
      </c>
      <c r="B216" s="1" t="s">
        <v>522</v>
      </c>
      <c r="C216" s="1" t="s">
        <v>207</v>
      </c>
      <c r="D216" s="1" t="s">
        <v>551</v>
      </c>
      <c r="E216" s="3" t="s">
        <v>592</v>
      </c>
    </row>
    <row r="217" spans="1:5" ht="262.5" x14ac:dyDescent="0.4">
      <c r="A217" s="1" t="s">
        <v>3</v>
      </c>
      <c r="B217" s="1" t="s">
        <v>522</v>
      </c>
      <c r="C217" s="1" t="s">
        <v>204</v>
      </c>
      <c r="D217" s="1" t="s">
        <v>552</v>
      </c>
      <c r="E217" s="3" t="s">
        <v>514</v>
      </c>
    </row>
    <row r="218" spans="1:5" ht="318.75" x14ac:dyDescent="0.4">
      <c r="A218" s="1" t="s">
        <v>3</v>
      </c>
      <c r="B218" s="1" t="s">
        <v>522</v>
      </c>
      <c r="C218" s="1" t="s">
        <v>208</v>
      </c>
      <c r="D218" s="1" t="s">
        <v>553</v>
      </c>
      <c r="E218" s="3" t="s">
        <v>593</v>
      </c>
    </row>
    <row r="219" spans="1:5" ht="337.5" x14ac:dyDescent="0.4">
      <c r="A219" s="1" t="s">
        <v>3</v>
      </c>
      <c r="B219" s="1" t="s">
        <v>522</v>
      </c>
      <c r="C219" s="1" t="s">
        <v>347</v>
      </c>
      <c r="D219" s="1" t="s">
        <v>554</v>
      </c>
      <c r="E219" s="3" t="s">
        <v>594</v>
      </c>
    </row>
    <row r="220" spans="1:5" ht="318.75" x14ac:dyDescent="0.4">
      <c r="A220" s="1" t="s">
        <v>3</v>
      </c>
      <c r="B220" s="1" t="s">
        <v>522</v>
      </c>
      <c r="C220" s="1" t="s">
        <v>209</v>
      </c>
      <c r="D220" s="1" t="s">
        <v>555</v>
      </c>
      <c r="E220" s="3" t="s">
        <v>573</v>
      </c>
    </row>
    <row r="221" spans="1:5" ht="409.5" x14ac:dyDescent="0.4">
      <c r="A221" s="1" t="s">
        <v>3</v>
      </c>
      <c r="B221" s="1" t="s">
        <v>522</v>
      </c>
      <c r="C221" s="1" t="s">
        <v>210</v>
      </c>
      <c r="D221" s="1" t="s">
        <v>556</v>
      </c>
      <c r="E221" s="3" t="s">
        <v>595</v>
      </c>
    </row>
    <row r="222" spans="1:5" ht="409.5" x14ac:dyDescent="0.4">
      <c r="A222" s="1" t="s">
        <v>3</v>
      </c>
      <c r="B222" s="1" t="s">
        <v>522</v>
      </c>
      <c r="C222" s="1" t="s">
        <v>470</v>
      </c>
      <c r="D222" s="1" t="s">
        <v>557</v>
      </c>
      <c r="E222" s="3" t="s">
        <v>596</v>
      </c>
    </row>
    <row r="223" spans="1:5" ht="409.5" x14ac:dyDescent="0.4">
      <c r="A223" s="1" t="s">
        <v>3</v>
      </c>
      <c r="B223" s="1" t="s">
        <v>522</v>
      </c>
      <c r="C223" s="1" t="s">
        <v>487</v>
      </c>
      <c r="D223" s="1" t="s">
        <v>559</v>
      </c>
      <c r="E223" s="3" t="s">
        <v>597</v>
      </c>
    </row>
    <row r="224" spans="1:5" ht="243.75" x14ac:dyDescent="0.4">
      <c r="A224" s="1" t="s">
        <v>3</v>
      </c>
      <c r="B224" s="1" t="s">
        <v>522</v>
      </c>
      <c r="C224" s="1" t="s">
        <v>211</v>
      </c>
      <c r="D224" s="1" t="s">
        <v>560</v>
      </c>
      <c r="E224" s="3" t="s">
        <v>598</v>
      </c>
    </row>
    <row r="225" spans="1:5" ht="262.5" x14ac:dyDescent="0.4">
      <c r="A225" s="1" t="s">
        <v>3</v>
      </c>
      <c r="B225" s="1" t="s">
        <v>522</v>
      </c>
      <c r="C225" s="1" t="s">
        <v>212</v>
      </c>
      <c r="D225" s="1" t="s">
        <v>561</v>
      </c>
      <c r="E225" s="3" t="s">
        <v>599</v>
      </c>
    </row>
    <row r="226" spans="1:5" ht="409.5" x14ac:dyDescent="0.4">
      <c r="A226" s="1" t="s">
        <v>3</v>
      </c>
      <c r="B226" s="1" t="s">
        <v>522</v>
      </c>
      <c r="C226" s="1" t="s">
        <v>380</v>
      </c>
      <c r="D226" s="1" t="s">
        <v>562</v>
      </c>
      <c r="E226" s="3" t="s">
        <v>600</v>
      </c>
    </row>
    <row r="227" spans="1:5" ht="409.5" x14ac:dyDescent="0.4">
      <c r="A227" s="1" t="s">
        <v>3</v>
      </c>
      <c r="B227" s="1" t="s">
        <v>522</v>
      </c>
      <c r="C227" s="1" t="s">
        <v>408</v>
      </c>
      <c r="D227" s="1" t="s">
        <v>563</v>
      </c>
      <c r="E227" s="3" t="s">
        <v>601</v>
      </c>
    </row>
    <row r="228" spans="1:5" ht="409.5" x14ac:dyDescent="0.4">
      <c r="A228" s="1" t="s">
        <v>3</v>
      </c>
      <c r="B228" s="1" t="s">
        <v>522</v>
      </c>
      <c r="C228" s="1" t="s">
        <v>349</v>
      </c>
      <c r="D228" s="1" t="s">
        <v>564</v>
      </c>
      <c r="E228" s="3" t="s">
        <v>602</v>
      </c>
    </row>
    <row r="229" spans="1:5" ht="409.5" x14ac:dyDescent="0.4">
      <c r="A229" s="1" t="s">
        <v>3</v>
      </c>
      <c r="B229" s="1" t="s">
        <v>522</v>
      </c>
      <c r="C229" s="1" t="s">
        <v>379</v>
      </c>
      <c r="D229" s="1" t="s">
        <v>521</v>
      </c>
      <c r="E229" s="3" t="s">
        <v>603</v>
      </c>
    </row>
    <row r="230" spans="1:5" ht="318.75" x14ac:dyDescent="0.4">
      <c r="A230" s="1" t="s">
        <v>3</v>
      </c>
      <c r="B230" s="1" t="s">
        <v>522</v>
      </c>
      <c r="C230" s="1" t="s">
        <v>409</v>
      </c>
      <c r="D230" s="1" t="s">
        <v>565</v>
      </c>
      <c r="E230" s="3" t="s">
        <v>573</v>
      </c>
    </row>
    <row r="231" spans="1:5" ht="281.25" x14ac:dyDescent="0.4">
      <c r="A231" s="1" t="s">
        <v>3</v>
      </c>
      <c r="B231" s="1" t="s">
        <v>522</v>
      </c>
      <c r="C231" s="1" t="s">
        <v>410</v>
      </c>
      <c r="D231" s="1" t="s">
        <v>566</v>
      </c>
      <c r="E231" s="3" t="s">
        <v>449</v>
      </c>
    </row>
    <row r="232" spans="1:5" ht="318.75" x14ac:dyDescent="0.4">
      <c r="A232" s="1" t="s">
        <v>3</v>
      </c>
      <c r="B232" s="1" t="s">
        <v>522</v>
      </c>
      <c r="C232" s="1" t="s">
        <v>413</v>
      </c>
      <c r="D232" s="1" t="s">
        <v>567</v>
      </c>
      <c r="E232" s="3" t="s">
        <v>452</v>
      </c>
    </row>
    <row r="233" spans="1:5" ht="300" x14ac:dyDescent="0.4">
      <c r="A233" s="1" t="s">
        <v>3</v>
      </c>
      <c r="B233" s="1" t="s">
        <v>522</v>
      </c>
      <c r="C233" s="1" t="s">
        <v>412</v>
      </c>
      <c r="D233" s="1" t="s">
        <v>568</v>
      </c>
      <c r="E233" s="3" t="s">
        <v>451</v>
      </c>
    </row>
    <row r="234" spans="1:5" x14ac:dyDescent="0.4">
      <c r="A234" s="1" t="s">
        <v>3</v>
      </c>
      <c r="B234" s="1" t="s">
        <v>522</v>
      </c>
      <c r="C234" s="1" t="s">
        <v>82</v>
      </c>
      <c r="D234" s="1" t="s">
        <v>141</v>
      </c>
      <c r="E234" s="1" t="s">
        <v>123</v>
      </c>
    </row>
    <row r="235" spans="1:5" x14ac:dyDescent="0.4">
      <c r="A235" s="1" t="s">
        <v>3</v>
      </c>
      <c r="B235" s="1" t="s">
        <v>522</v>
      </c>
      <c r="C235" s="1" t="s">
        <v>81</v>
      </c>
      <c r="D235" s="1" t="s">
        <v>142</v>
      </c>
      <c r="E235" s="1" t="s">
        <v>123</v>
      </c>
    </row>
    <row r="236" spans="1:5" x14ac:dyDescent="0.4">
      <c r="A236" s="1" t="s">
        <v>3</v>
      </c>
      <c r="B236" s="1" t="s">
        <v>522</v>
      </c>
      <c r="C236" s="1" t="s">
        <v>136</v>
      </c>
      <c r="D236" s="1" t="s">
        <v>146</v>
      </c>
      <c r="E236" s="1" t="s">
        <v>123</v>
      </c>
    </row>
    <row r="237" spans="1:5" x14ac:dyDescent="0.4">
      <c r="A237" s="1" t="s">
        <v>3</v>
      </c>
      <c r="B237" s="1" t="s">
        <v>522</v>
      </c>
      <c r="C237" s="1" t="s">
        <v>83</v>
      </c>
      <c r="D237" s="1" t="s">
        <v>147</v>
      </c>
      <c r="E237" s="1" t="s">
        <v>123</v>
      </c>
    </row>
    <row r="238" spans="1:5" x14ac:dyDescent="0.4">
      <c r="A238" s="1" t="s">
        <v>3</v>
      </c>
      <c r="B238" s="1" t="s">
        <v>522</v>
      </c>
      <c r="C238" s="1" t="s">
        <v>85</v>
      </c>
      <c r="D238" s="1" t="s">
        <v>148</v>
      </c>
      <c r="E238" s="1" t="s">
        <v>123</v>
      </c>
    </row>
    <row r="239" spans="1:5" x14ac:dyDescent="0.4">
      <c r="A239" s="1" t="s">
        <v>3</v>
      </c>
      <c r="B239" s="1" t="s">
        <v>522</v>
      </c>
      <c r="C239" s="1" t="s">
        <v>137</v>
      </c>
      <c r="D239" s="1" t="s">
        <v>152</v>
      </c>
      <c r="E239" s="1" t="s">
        <v>123</v>
      </c>
    </row>
    <row r="240" spans="1:5" x14ac:dyDescent="0.4">
      <c r="A240" s="1" t="s">
        <v>3</v>
      </c>
      <c r="B240" s="1" t="s">
        <v>522</v>
      </c>
      <c r="C240" s="1" t="s">
        <v>84</v>
      </c>
      <c r="D240" s="1" t="s">
        <v>153</v>
      </c>
      <c r="E240" s="1" t="s">
        <v>123</v>
      </c>
    </row>
    <row r="241" spans="1:5" x14ac:dyDescent="0.4">
      <c r="A241" s="1" t="s">
        <v>3</v>
      </c>
      <c r="B241" s="1" t="s">
        <v>522</v>
      </c>
      <c r="C241" s="1" t="s">
        <v>138</v>
      </c>
      <c r="D241" s="1" t="s">
        <v>157</v>
      </c>
      <c r="E241" s="1" t="s">
        <v>123</v>
      </c>
    </row>
    <row r="242" spans="1:5" x14ac:dyDescent="0.4">
      <c r="A242" s="1" t="s">
        <v>3</v>
      </c>
      <c r="B242" s="1" t="s">
        <v>522</v>
      </c>
      <c r="C242" s="1" t="s">
        <v>139</v>
      </c>
      <c r="D242" s="1" t="s">
        <v>164</v>
      </c>
      <c r="E242" s="1" t="s">
        <v>123</v>
      </c>
    </row>
    <row r="243" spans="1:5" x14ac:dyDescent="0.4">
      <c r="A243" s="1" t="s">
        <v>3</v>
      </c>
      <c r="B243" s="1" t="s">
        <v>522</v>
      </c>
      <c r="C243" s="1" t="s">
        <v>197</v>
      </c>
      <c r="D243" s="1" t="s">
        <v>218</v>
      </c>
      <c r="E243" s="1" t="s">
        <v>123</v>
      </c>
    </row>
    <row r="244" spans="1:5" x14ac:dyDescent="0.4">
      <c r="A244" s="1" t="s">
        <v>3</v>
      </c>
      <c r="B244" s="1" t="s">
        <v>522</v>
      </c>
      <c r="C244" s="1" t="s">
        <v>198</v>
      </c>
      <c r="D244" s="1" t="s">
        <v>221</v>
      </c>
      <c r="E244" s="1" t="s">
        <v>123</v>
      </c>
    </row>
    <row r="245" spans="1:5" x14ac:dyDescent="0.4">
      <c r="A245" s="1" t="s">
        <v>3</v>
      </c>
      <c r="B245" s="1" t="s">
        <v>522</v>
      </c>
      <c r="C245" s="1" t="s">
        <v>140</v>
      </c>
      <c r="D245" s="1" t="s">
        <v>170</v>
      </c>
      <c r="E245" s="1" t="s">
        <v>123</v>
      </c>
    </row>
    <row r="246" spans="1:5" x14ac:dyDescent="0.4">
      <c r="A246" s="1" t="s">
        <v>3</v>
      </c>
      <c r="B246" s="1" t="s">
        <v>522</v>
      </c>
      <c r="C246" s="1" t="s">
        <v>184</v>
      </c>
      <c r="D246" s="1" t="s">
        <v>223</v>
      </c>
      <c r="E246" s="1" t="s">
        <v>123</v>
      </c>
    </row>
    <row r="247" spans="1:5" x14ac:dyDescent="0.4">
      <c r="A247" s="1" t="s">
        <v>3</v>
      </c>
      <c r="B247" s="1" t="s">
        <v>522</v>
      </c>
      <c r="C247" s="1" t="s">
        <v>199</v>
      </c>
      <c r="D247" s="1" t="s">
        <v>228</v>
      </c>
      <c r="E247" s="1" t="s">
        <v>123</v>
      </c>
    </row>
    <row r="248" spans="1:5" x14ac:dyDescent="0.4">
      <c r="A248" s="1" t="s">
        <v>3</v>
      </c>
      <c r="B248" s="1" t="s">
        <v>522</v>
      </c>
      <c r="C248" s="1" t="s">
        <v>186</v>
      </c>
      <c r="D248" s="1" t="s">
        <v>232</v>
      </c>
      <c r="E248" s="1" t="s">
        <v>123</v>
      </c>
    </row>
    <row r="249" spans="1:5" x14ac:dyDescent="0.4">
      <c r="A249" s="1" t="s">
        <v>3</v>
      </c>
      <c r="B249" s="1" t="s">
        <v>522</v>
      </c>
      <c r="C249" s="1" t="s">
        <v>337</v>
      </c>
      <c r="D249" s="1" t="s">
        <v>236</v>
      </c>
      <c r="E249" s="1" t="s">
        <v>123</v>
      </c>
    </row>
    <row r="250" spans="1:5" x14ac:dyDescent="0.4">
      <c r="A250" s="1" t="s">
        <v>3</v>
      </c>
      <c r="B250" s="1" t="s">
        <v>522</v>
      </c>
      <c r="C250" s="1" t="s">
        <v>201</v>
      </c>
      <c r="D250" s="1" t="s">
        <v>240</v>
      </c>
      <c r="E250" s="1" t="s">
        <v>123</v>
      </c>
    </row>
    <row r="251" spans="1:5" x14ac:dyDescent="0.4">
      <c r="A251" s="1" t="s">
        <v>3</v>
      </c>
      <c r="B251" s="1" t="s">
        <v>522</v>
      </c>
      <c r="C251" s="1" t="s">
        <v>339</v>
      </c>
      <c r="D251" s="1" t="s">
        <v>244</v>
      </c>
      <c r="E251" s="1" t="s">
        <v>123</v>
      </c>
    </row>
    <row r="252" spans="1:5" x14ac:dyDescent="0.4">
      <c r="A252" s="1" t="s">
        <v>3</v>
      </c>
      <c r="B252" s="1" t="s">
        <v>522</v>
      </c>
      <c r="C252" s="1" t="s">
        <v>202</v>
      </c>
      <c r="D252" s="1" t="s">
        <v>515</v>
      </c>
      <c r="E252" s="1" t="s">
        <v>123</v>
      </c>
    </row>
    <row r="253" spans="1:5" x14ac:dyDescent="0.4">
      <c r="A253" s="1" t="s">
        <v>3</v>
      </c>
      <c r="B253" s="1" t="s">
        <v>522</v>
      </c>
      <c r="C253" s="1" t="s">
        <v>507</v>
      </c>
      <c r="D253" s="1" t="s">
        <v>509</v>
      </c>
      <c r="E253" s="1" t="s">
        <v>123</v>
      </c>
    </row>
    <row r="254" spans="1:5" x14ac:dyDescent="0.4">
      <c r="A254" s="1" t="s">
        <v>3</v>
      </c>
      <c r="B254" s="1" t="s">
        <v>522</v>
      </c>
      <c r="C254" s="1" t="s">
        <v>204</v>
      </c>
      <c r="D254" s="1" t="s">
        <v>510</v>
      </c>
      <c r="E254" s="1" t="s">
        <v>123</v>
      </c>
    </row>
    <row r="255" spans="1:5" x14ac:dyDescent="0.4">
      <c r="A255" s="1" t="s">
        <v>3</v>
      </c>
      <c r="B255" s="1" t="s">
        <v>522</v>
      </c>
      <c r="C255" s="1" t="s">
        <v>189</v>
      </c>
      <c r="D255" s="1" t="s">
        <v>254</v>
      </c>
      <c r="E255" s="1" t="s">
        <v>123</v>
      </c>
    </row>
    <row r="256" spans="1:5" x14ac:dyDescent="0.4">
      <c r="A256" s="1" t="s">
        <v>3</v>
      </c>
      <c r="B256" s="1" t="s">
        <v>522</v>
      </c>
      <c r="C256" s="1" t="s">
        <v>203</v>
      </c>
      <c r="D256" s="1" t="s">
        <v>258</v>
      </c>
      <c r="E256" s="1" t="s">
        <v>123</v>
      </c>
    </row>
    <row r="257" spans="1:5" x14ac:dyDescent="0.4">
      <c r="A257" s="1" t="s">
        <v>3</v>
      </c>
      <c r="B257" s="1" t="s">
        <v>522</v>
      </c>
      <c r="C257" s="1" t="s">
        <v>204</v>
      </c>
      <c r="D257" s="1" t="s">
        <v>262</v>
      </c>
      <c r="E257" s="1" t="s">
        <v>123</v>
      </c>
    </row>
    <row r="258" spans="1:5" x14ac:dyDescent="0.4">
      <c r="A258" s="1" t="s">
        <v>3</v>
      </c>
      <c r="B258" s="1" t="s">
        <v>522</v>
      </c>
      <c r="C258" s="1" t="s">
        <v>193</v>
      </c>
      <c r="D258" s="1" t="s">
        <v>268</v>
      </c>
      <c r="E258" s="1" t="s">
        <v>123</v>
      </c>
    </row>
    <row r="259" spans="1:5" x14ac:dyDescent="0.4">
      <c r="A259" s="1" t="s">
        <v>3</v>
      </c>
      <c r="B259" s="1" t="s">
        <v>522</v>
      </c>
      <c r="C259" s="1" t="s">
        <v>195</v>
      </c>
      <c r="D259" s="1" t="s">
        <v>272</v>
      </c>
      <c r="E259" s="1" t="s">
        <v>123</v>
      </c>
    </row>
    <row r="260" spans="1:5" x14ac:dyDescent="0.4">
      <c r="A260" s="1" t="s">
        <v>3</v>
      </c>
      <c r="B260" s="1" t="s">
        <v>522</v>
      </c>
      <c r="C260" s="1" t="s">
        <v>206</v>
      </c>
      <c r="D260" s="1" t="s">
        <v>276</v>
      </c>
      <c r="E260" s="1" t="s">
        <v>123</v>
      </c>
    </row>
    <row r="261" spans="1:5" x14ac:dyDescent="0.4">
      <c r="A261" s="1" t="s">
        <v>3</v>
      </c>
      <c r="B261" s="1" t="s">
        <v>522</v>
      </c>
      <c r="C261" s="1" t="s">
        <v>205</v>
      </c>
      <c r="D261" s="1" t="s">
        <v>280</v>
      </c>
      <c r="E261" s="1" t="s">
        <v>123</v>
      </c>
    </row>
    <row r="262" spans="1:5" x14ac:dyDescent="0.4">
      <c r="A262" s="1" t="s">
        <v>3</v>
      </c>
      <c r="B262" s="1" t="s">
        <v>522</v>
      </c>
      <c r="C262" s="1" t="s">
        <v>196</v>
      </c>
      <c r="D262" s="1" t="s">
        <v>284</v>
      </c>
      <c r="E262" s="1" t="s">
        <v>123</v>
      </c>
    </row>
    <row r="263" spans="1:5" x14ac:dyDescent="0.4">
      <c r="A263" s="1" t="s">
        <v>3</v>
      </c>
      <c r="B263" s="1" t="s">
        <v>522</v>
      </c>
      <c r="C263" s="1" t="s">
        <v>207</v>
      </c>
      <c r="D263" s="1" t="s">
        <v>288</v>
      </c>
      <c r="E263" s="1" t="s">
        <v>123</v>
      </c>
    </row>
    <row r="264" spans="1:5" x14ac:dyDescent="0.4">
      <c r="A264" s="1" t="s">
        <v>3</v>
      </c>
      <c r="B264" s="1" t="s">
        <v>522</v>
      </c>
      <c r="C264" s="1" t="s">
        <v>204</v>
      </c>
      <c r="D264" s="1" t="s">
        <v>289</v>
      </c>
      <c r="E264" s="1" t="s">
        <v>123</v>
      </c>
    </row>
    <row r="265" spans="1:5" x14ac:dyDescent="0.4">
      <c r="A265" s="1" t="s">
        <v>3</v>
      </c>
      <c r="B265" s="1" t="s">
        <v>522</v>
      </c>
      <c r="C265" s="1" t="s">
        <v>208</v>
      </c>
      <c r="D265" s="1" t="s">
        <v>293</v>
      </c>
      <c r="E265" s="1" t="s">
        <v>123</v>
      </c>
    </row>
    <row r="266" spans="1:5" x14ac:dyDescent="0.4">
      <c r="A266" s="1" t="s">
        <v>3</v>
      </c>
      <c r="B266" s="1" t="s">
        <v>522</v>
      </c>
      <c r="C266" s="1" t="s">
        <v>347</v>
      </c>
      <c r="D266" s="1" t="s">
        <v>355</v>
      </c>
      <c r="E266" s="1" t="s">
        <v>123</v>
      </c>
    </row>
    <row r="267" spans="1:5" x14ac:dyDescent="0.4">
      <c r="A267" s="1" t="s">
        <v>3</v>
      </c>
      <c r="B267" s="1" t="s">
        <v>522</v>
      </c>
      <c r="C267" s="1" t="s">
        <v>209</v>
      </c>
      <c r="D267" s="1" t="s">
        <v>298</v>
      </c>
      <c r="E267" s="1" t="s">
        <v>123</v>
      </c>
    </row>
    <row r="268" spans="1:5" x14ac:dyDescent="0.4">
      <c r="A268" s="1" t="s">
        <v>3</v>
      </c>
      <c r="B268" s="1" t="s">
        <v>522</v>
      </c>
      <c r="C268" s="1" t="s">
        <v>210</v>
      </c>
      <c r="D268" s="1" t="s">
        <v>303</v>
      </c>
      <c r="E268" s="1" t="s">
        <v>123</v>
      </c>
    </row>
    <row r="269" spans="1:5" x14ac:dyDescent="0.4">
      <c r="A269" s="1" t="s">
        <v>3</v>
      </c>
      <c r="B269" s="1" t="s">
        <v>522</v>
      </c>
      <c r="C269" s="1" t="s">
        <v>470</v>
      </c>
      <c r="D269" s="1" t="s">
        <v>474</v>
      </c>
      <c r="E269" s="1" t="s">
        <v>123</v>
      </c>
    </row>
    <row r="270" spans="1:5" x14ac:dyDescent="0.4">
      <c r="A270" s="1" t="s">
        <v>3</v>
      </c>
      <c r="B270" s="1" t="s">
        <v>522</v>
      </c>
      <c r="C270" s="1" t="s">
        <v>487</v>
      </c>
      <c r="D270" s="1" t="s">
        <v>478</v>
      </c>
      <c r="E270" s="1" t="s">
        <v>123</v>
      </c>
    </row>
    <row r="271" spans="1:5" x14ac:dyDescent="0.4">
      <c r="A271" s="1" t="s">
        <v>3</v>
      </c>
      <c r="B271" s="1" t="s">
        <v>522</v>
      </c>
      <c r="C271" s="1" t="s">
        <v>211</v>
      </c>
      <c r="D271" s="1" t="s">
        <v>304</v>
      </c>
      <c r="E271" s="1" t="s">
        <v>123</v>
      </c>
    </row>
    <row r="272" spans="1:5" x14ac:dyDescent="0.4">
      <c r="A272" s="1" t="s">
        <v>3</v>
      </c>
      <c r="B272" s="1" t="s">
        <v>522</v>
      </c>
      <c r="C272" s="1" t="s">
        <v>212</v>
      </c>
      <c r="D272" s="1" t="s">
        <v>308</v>
      </c>
      <c r="E272" s="1" t="s">
        <v>123</v>
      </c>
    </row>
    <row r="273" spans="1:5" x14ac:dyDescent="0.4">
      <c r="A273" s="1" t="s">
        <v>3</v>
      </c>
      <c r="B273" s="1" t="s">
        <v>522</v>
      </c>
      <c r="C273" s="1" t="s">
        <v>380</v>
      </c>
      <c r="D273" s="1" t="s">
        <v>388</v>
      </c>
      <c r="E273" s="1" t="s">
        <v>123</v>
      </c>
    </row>
    <row r="274" spans="1:5" x14ac:dyDescent="0.4">
      <c r="A274" s="1" t="s">
        <v>3</v>
      </c>
      <c r="B274" s="1" t="s">
        <v>522</v>
      </c>
      <c r="C274" s="1" t="s">
        <v>408</v>
      </c>
      <c r="D274" s="1" t="s">
        <v>423</v>
      </c>
      <c r="E274" s="1" t="s">
        <v>123</v>
      </c>
    </row>
    <row r="275" spans="1:5" x14ac:dyDescent="0.4">
      <c r="A275" s="1" t="s">
        <v>3</v>
      </c>
      <c r="B275" s="1" t="s">
        <v>522</v>
      </c>
      <c r="C275" s="1" t="s">
        <v>349</v>
      </c>
      <c r="D275" s="1" t="s">
        <v>367</v>
      </c>
      <c r="E275" s="1" t="s">
        <v>123</v>
      </c>
    </row>
    <row r="276" spans="1:5" x14ac:dyDescent="0.4">
      <c r="A276" s="1" t="s">
        <v>3</v>
      </c>
      <c r="B276" s="1" t="s">
        <v>522</v>
      </c>
      <c r="C276" s="1" t="s">
        <v>379</v>
      </c>
      <c r="D276" s="1" t="s">
        <v>381</v>
      </c>
      <c r="E276" s="1" t="s">
        <v>123</v>
      </c>
    </row>
    <row r="277" spans="1:5" x14ac:dyDescent="0.4">
      <c r="A277" s="1" t="s">
        <v>3</v>
      </c>
      <c r="B277" s="1" t="s">
        <v>522</v>
      </c>
      <c r="C277" s="1" t="s">
        <v>409</v>
      </c>
      <c r="D277" s="1" t="s">
        <v>429</v>
      </c>
      <c r="E277" s="1" t="s">
        <v>123</v>
      </c>
    </row>
    <row r="278" spans="1:5" x14ac:dyDescent="0.4">
      <c r="A278" s="1" t="s">
        <v>3</v>
      </c>
      <c r="B278" s="1" t="s">
        <v>522</v>
      </c>
      <c r="C278" s="1" t="s">
        <v>410</v>
      </c>
      <c r="D278" s="1" t="s">
        <v>435</v>
      </c>
      <c r="E278" s="1" t="s">
        <v>123</v>
      </c>
    </row>
    <row r="279" spans="1:5" x14ac:dyDescent="0.4">
      <c r="A279" s="1" t="s">
        <v>3</v>
      </c>
      <c r="B279" s="1" t="s">
        <v>522</v>
      </c>
      <c r="C279" s="1" t="s">
        <v>413</v>
      </c>
      <c r="D279" s="1" t="s">
        <v>456</v>
      </c>
      <c r="E279" s="1" t="s">
        <v>123</v>
      </c>
    </row>
    <row r="280" spans="1:5" x14ac:dyDescent="0.4">
      <c r="A280" s="1" t="s">
        <v>3</v>
      </c>
      <c r="B280" s="1" t="s">
        <v>522</v>
      </c>
      <c r="C280" s="1" t="s">
        <v>415</v>
      </c>
      <c r="D280" s="1" t="s">
        <v>436</v>
      </c>
      <c r="E280" s="1" t="s">
        <v>123</v>
      </c>
    </row>
    <row r="281" spans="1:5" x14ac:dyDescent="0.4">
      <c r="A281" s="1" t="s">
        <v>3</v>
      </c>
      <c r="B281" s="1" t="s">
        <v>522</v>
      </c>
      <c r="C281" s="1" t="s">
        <v>412</v>
      </c>
      <c r="D281" s="1" t="s">
        <v>441</v>
      </c>
      <c r="E281" s="1" t="s">
        <v>123</v>
      </c>
    </row>
    <row r="282" spans="1:5" x14ac:dyDescent="0.4">
      <c r="A282" s="1" t="s">
        <v>3</v>
      </c>
      <c r="B282" s="1" t="s">
        <v>522</v>
      </c>
      <c r="C282" s="1" t="s">
        <v>414</v>
      </c>
      <c r="D282" s="1" t="s">
        <v>445</v>
      </c>
      <c r="E282" s="1" t="s">
        <v>123</v>
      </c>
    </row>
    <row r="283" spans="1:5" ht="56.25" x14ac:dyDescent="0.4">
      <c r="A283" s="1" t="s">
        <v>3</v>
      </c>
      <c r="B283" s="1" t="s">
        <v>611</v>
      </c>
      <c r="C283" s="1" t="s">
        <v>604</v>
      </c>
      <c r="D283" s="1" t="s">
        <v>335</v>
      </c>
      <c r="E283" s="3" t="s">
        <v>336</v>
      </c>
    </row>
    <row r="284" spans="1:5" ht="281.25" x14ac:dyDescent="0.4">
      <c r="A284" s="1" t="s">
        <v>3</v>
      </c>
      <c r="B284" s="1" t="s">
        <v>611</v>
      </c>
      <c r="C284" s="1" t="s">
        <v>605</v>
      </c>
      <c r="D284" s="1" t="s">
        <v>335</v>
      </c>
      <c r="E284" s="3" t="s">
        <v>612</v>
      </c>
    </row>
    <row r="285" spans="1:5" ht="281.25" x14ac:dyDescent="0.4">
      <c r="A285" s="1" t="s">
        <v>3</v>
      </c>
      <c r="B285" s="1" t="s">
        <v>611</v>
      </c>
      <c r="C285" s="1" t="s">
        <v>607</v>
      </c>
      <c r="D285" s="1" t="s">
        <v>335</v>
      </c>
      <c r="E285" s="3" t="s">
        <v>376</v>
      </c>
    </row>
    <row r="286" spans="1:5" ht="281.25" x14ac:dyDescent="0.4">
      <c r="A286" s="1" t="s">
        <v>3</v>
      </c>
      <c r="B286" s="1" t="s">
        <v>611</v>
      </c>
      <c r="C286" s="1" t="s">
        <v>608</v>
      </c>
      <c r="D286" s="1" t="s">
        <v>335</v>
      </c>
      <c r="E286" s="3" t="s">
        <v>455</v>
      </c>
    </row>
    <row r="287" spans="1:5" ht="281.25" x14ac:dyDescent="0.4">
      <c r="A287" s="1" t="s">
        <v>3</v>
      </c>
      <c r="B287" s="1" t="s">
        <v>611</v>
      </c>
      <c r="C287" s="1" t="s">
        <v>609</v>
      </c>
      <c r="D287" s="1" t="s">
        <v>335</v>
      </c>
      <c r="E287" s="3" t="s">
        <v>376</v>
      </c>
    </row>
    <row r="288" spans="1:5" x14ac:dyDescent="0.4">
      <c r="A288" s="1" t="s">
        <v>3</v>
      </c>
      <c r="B288" s="1" t="s">
        <v>611</v>
      </c>
      <c r="C288" s="1" t="s">
        <v>397</v>
      </c>
      <c r="D288" s="1" t="s">
        <v>335</v>
      </c>
      <c r="E288" s="1" t="s">
        <v>123</v>
      </c>
    </row>
    <row r="289" spans="1:5" x14ac:dyDescent="0.4">
      <c r="A289" s="1" t="s">
        <v>3</v>
      </c>
      <c r="B289" s="1" t="s">
        <v>611</v>
      </c>
      <c r="C289" s="1" t="s">
        <v>399</v>
      </c>
      <c r="D289" s="1" t="s">
        <v>335</v>
      </c>
      <c r="E289" s="1" t="s">
        <v>123</v>
      </c>
    </row>
    <row r="290" spans="1:5" x14ac:dyDescent="0.4">
      <c r="A290" s="1" t="s">
        <v>3</v>
      </c>
      <c r="B290" s="1" t="s">
        <v>611</v>
      </c>
      <c r="C290" s="1" t="s">
        <v>400</v>
      </c>
      <c r="D290" s="1" t="s">
        <v>335</v>
      </c>
      <c r="E290" s="1" t="s">
        <v>123</v>
      </c>
    </row>
    <row r="291" spans="1:5" x14ac:dyDescent="0.4">
      <c r="A291" s="1" t="s">
        <v>3</v>
      </c>
      <c r="B291" s="1" t="s">
        <v>611</v>
      </c>
      <c r="C291" s="1" t="s">
        <v>454</v>
      </c>
      <c r="D291" s="1" t="s">
        <v>335</v>
      </c>
      <c r="E291" s="1" t="s">
        <v>123</v>
      </c>
    </row>
    <row r="292" spans="1:5" x14ac:dyDescent="0.4">
      <c r="A292" s="1" t="s">
        <v>3</v>
      </c>
      <c r="B292" s="1" t="s">
        <v>611</v>
      </c>
      <c r="C292" s="1" t="s">
        <v>482</v>
      </c>
      <c r="D292" s="1" t="s">
        <v>335</v>
      </c>
      <c r="E292" s="1" t="s">
        <v>123</v>
      </c>
    </row>
    <row r="293" spans="1:5" ht="409.5" x14ac:dyDescent="0.4">
      <c r="A293" s="1" t="s">
        <v>3</v>
      </c>
      <c r="B293" s="1" t="s">
        <v>623</v>
      </c>
      <c r="C293" s="1" t="s">
        <v>83</v>
      </c>
      <c r="D293" s="1" t="s">
        <v>527</v>
      </c>
      <c r="E293" s="3" t="s">
        <v>180</v>
      </c>
    </row>
    <row r="294" spans="1:5" ht="409.5" x14ac:dyDescent="0.4">
      <c r="A294" s="1" t="s">
        <v>3</v>
      </c>
      <c r="B294" s="1" t="s">
        <v>623</v>
      </c>
      <c r="C294" s="1" t="s">
        <v>137</v>
      </c>
      <c r="D294" s="1" t="s">
        <v>530</v>
      </c>
      <c r="E294" s="3" t="s">
        <v>181</v>
      </c>
    </row>
    <row r="295" spans="1:5" ht="187.5" x14ac:dyDescent="0.4">
      <c r="A295" s="1" t="s">
        <v>3</v>
      </c>
      <c r="B295" s="1" t="s">
        <v>623</v>
      </c>
      <c r="C295" s="1" t="s">
        <v>614</v>
      </c>
      <c r="D295" s="1" t="s">
        <v>544</v>
      </c>
      <c r="E295" s="3" t="s">
        <v>624</v>
      </c>
    </row>
    <row r="296" spans="1:5" ht="318.75" x14ac:dyDescent="0.4">
      <c r="A296" s="1" t="s">
        <v>3</v>
      </c>
      <c r="B296" s="1" t="s">
        <v>623</v>
      </c>
      <c r="C296" s="1" t="s">
        <v>195</v>
      </c>
      <c r="D296" s="1" t="s">
        <v>620</v>
      </c>
      <c r="E296" s="3" t="s">
        <v>573</v>
      </c>
    </row>
    <row r="297" spans="1:5" ht="262.5" x14ac:dyDescent="0.4">
      <c r="A297" s="1" t="s">
        <v>3</v>
      </c>
      <c r="B297" s="1" t="s">
        <v>623</v>
      </c>
      <c r="C297" s="1" t="s">
        <v>621</v>
      </c>
      <c r="D297" s="1" t="s">
        <v>622</v>
      </c>
      <c r="E297" s="3" t="s">
        <v>453</v>
      </c>
    </row>
    <row r="298" spans="1:5" ht="409.5" x14ac:dyDescent="0.4">
      <c r="A298" s="1" t="s">
        <v>3</v>
      </c>
      <c r="B298" s="1" t="s">
        <v>623</v>
      </c>
      <c r="C298" s="1" t="s">
        <v>210</v>
      </c>
      <c r="D298" s="1" t="s">
        <v>556</v>
      </c>
      <c r="E298" s="3" t="s">
        <v>345</v>
      </c>
    </row>
    <row r="299" spans="1:5" ht="409.5" x14ac:dyDescent="0.4">
      <c r="A299" s="1" t="s">
        <v>3</v>
      </c>
      <c r="B299" s="1" t="s">
        <v>623</v>
      </c>
      <c r="C299" s="1" t="s">
        <v>487</v>
      </c>
      <c r="D299" s="1" t="s">
        <v>559</v>
      </c>
      <c r="E299" s="3" t="s">
        <v>485</v>
      </c>
    </row>
    <row r="300" spans="1:5" ht="56.25" x14ac:dyDescent="0.4">
      <c r="A300" s="1" t="s">
        <v>3</v>
      </c>
      <c r="B300" s="1" t="s">
        <v>623</v>
      </c>
      <c r="C300" s="1" t="s">
        <v>625</v>
      </c>
      <c r="D300" s="1" t="s">
        <v>335</v>
      </c>
      <c r="E300" s="3" t="s">
        <v>336</v>
      </c>
    </row>
    <row r="301" spans="1:5" ht="409.5" x14ac:dyDescent="0.4">
      <c r="A301" s="1" t="s">
        <v>3</v>
      </c>
      <c r="B301" s="1" t="s">
        <v>633</v>
      </c>
      <c r="C301" s="1" t="s">
        <v>83</v>
      </c>
      <c r="D301" s="1" t="s">
        <v>527</v>
      </c>
      <c r="E301" s="3" t="s">
        <v>180</v>
      </c>
    </row>
    <row r="302" spans="1:5" ht="409.5" x14ac:dyDescent="0.4">
      <c r="A302" s="1" t="s">
        <v>3</v>
      </c>
      <c r="B302" s="1" t="s">
        <v>633</v>
      </c>
      <c r="C302" s="1" t="s">
        <v>137</v>
      </c>
      <c r="D302" s="1" t="s">
        <v>530</v>
      </c>
      <c r="E302" s="3" t="s">
        <v>181</v>
      </c>
    </row>
    <row r="303" spans="1:5" ht="409.5" x14ac:dyDescent="0.4">
      <c r="A303" s="1" t="s">
        <v>3</v>
      </c>
      <c r="B303" s="1" t="s">
        <v>633</v>
      </c>
      <c r="C303" s="1" t="s">
        <v>210</v>
      </c>
      <c r="D303" s="1" t="s">
        <v>556</v>
      </c>
      <c r="E303" s="3" t="s">
        <v>345</v>
      </c>
    </row>
    <row r="304" spans="1:5" ht="409.5" x14ac:dyDescent="0.4">
      <c r="A304" s="1" t="s">
        <v>3</v>
      </c>
      <c r="B304" s="1" t="s">
        <v>633</v>
      </c>
      <c r="C304" s="1" t="s">
        <v>487</v>
      </c>
      <c r="D304" s="1" t="s">
        <v>559</v>
      </c>
      <c r="E304" s="3" t="s">
        <v>485</v>
      </c>
    </row>
    <row r="305" spans="1:5" ht="318.75" x14ac:dyDescent="0.4">
      <c r="A305" s="1" t="s">
        <v>3</v>
      </c>
      <c r="B305" s="1" t="s">
        <v>633</v>
      </c>
      <c r="C305" s="1" t="s">
        <v>413</v>
      </c>
      <c r="D305" s="1" t="s">
        <v>626</v>
      </c>
      <c r="E305" s="3" t="s">
        <v>452</v>
      </c>
    </row>
    <row r="306" spans="1:5" ht="300" x14ac:dyDescent="0.4">
      <c r="A306" s="1" t="s">
        <v>3</v>
      </c>
      <c r="B306" s="1" t="s">
        <v>633</v>
      </c>
      <c r="C306" s="1" t="s">
        <v>415</v>
      </c>
      <c r="D306" s="1" t="s">
        <v>629</v>
      </c>
      <c r="E306" s="3" t="s">
        <v>450</v>
      </c>
    </row>
    <row r="307" spans="1:5" ht="262.5" x14ac:dyDescent="0.4">
      <c r="A307" s="1" t="s">
        <v>3</v>
      </c>
      <c r="B307" s="1" t="s">
        <v>633</v>
      </c>
      <c r="C307" s="1" t="s">
        <v>414</v>
      </c>
      <c r="D307" s="1" t="s">
        <v>632</v>
      </c>
      <c r="E307" s="3" t="s">
        <v>453</v>
      </c>
    </row>
    <row r="308" spans="1:5" x14ac:dyDescent="0.4">
      <c r="A308" s="1" t="s">
        <v>3</v>
      </c>
      <c r="B308" s="1" t="s">
        <v>633</v>
      </c>
      <c r="C308" s="1" t="s">
        <v>621</v>
      </c>
      <c r="D308" s="1" t="s">
        <v>622</v>
      </c>
      <c r="E308" s="1" t="s">
        <v>123</v>
      </c>
    </row>
    <row r="309" spans="1:5" x14ac:dyDescent="0.4">
      <c r="A309" s="1" t="s">
        <v>3</v>
      </c>
      <c r="B309" s="1" t="s">
        <v>633</v>
      </c>
      <c r="C309" s="1" t="s">
        <v>413</v>
      </c>
      <c r="D309" s="1" t="s">
        <v>567</v>
      </c>
      <c r="E309" s="1" t="s">
        <v>123</v>
      </c>
    </row>
    <row r="310" spans="1:5" ht="56.25" x14ac:dyDescent="0.4">
      <c r="A310" s="1" t="s">
        <v>3</v>
      </c>
      <c r="B310" s="1" t="s">
        <v>635</v>
      </c>
      <c r="C310" s="1" t="s">
        <v>383</v>
      </c>
      <c r="D310" s="1" t="s">
        <v>1</v>
      </c>
      <c r="E310" s="3" t="s">
        <v>636</v>
      </c>
    </row>
    <row r="311" spans="1:5" ht="318.75" x14ac:dyDescent="0.4">
      <c r="A311" s="1" t="s">
        <v>3</v>
      </c>
      <c r="B311" s="1" t="s">
        <v>683</v>
      </c>
      <c r="C311" s="1" t="s">
        <v>82</v>
      </c>
      <c r="D311" s="1" t="s">
        <v>637</v>
      </c>
      <c r="E311" s="3" t="s">
        <v>569</v>
      </c>
    </row>
    <row r="312" spans="1:5" ht="337.5" x14ac:dyDescent="0.4">
      <c r="A312" s="1" t="s">
        <v>3</v>
      </c>
      <c r="B312" s="1" t="s">
        <v>683</v>
      </c>
      <c r="C312" s="1" t="s">
        <v>81</v>
      </c>
      <c r="D312" s="1" t="s">
        <v>638</v>
      </c>
      <c r="E312" s="3" t="s">
        <v>684</v>
      </c>
    </row>
    <row r="313" spans="1:5" ht="356.25" x14ac:dyDescent="0.4">
      <c r="A313" s="1" t="s">
        <v>3</v>
      </c>
      <c r="B313" s="1" t="s">
        <v>683</v>
      </c>
      <c r="C313" s="1" t="s">
        <v>136</v>
      </c>
      <c r="D313" s="1" t="s">
        <v>639</v>
      </c>
      <c r="E313" s="3" t="s">
        <v>571</v>
      </c>
    </row>
    <row r="314" spans="1:5" ht="409.5" x14ac:dyDescent="0.4">
      <c r="A314" s="1" t="s">
        <v>3</v>
      </c>
      <c r="B314" s="1" t="s">
        <v>683</v>
      </c>
      <c r="C314" s="1" t="s">
        <v>83</v>
      </c>
      <c r="D314" s="1" t="s">
        <v>640</v>
      </c>
      <c r="E314" s="3" t="s">
        <v>572</v>
      </c>
    </row>
    <row r="315" spans="1:5" ht="318.75" x14ac:dyDescent="0.4">
      <c r="A315" s="1" t="s">
        <v>3</v>
      </c>
      <c r="B315" s="1" t="s">
        <v>683</v>
      </c>
      <c r="C315" s="1" t="s">
        <v>85</v>
      </c>
      <c r="D315" s="1" t="s">
        <v>641</v>
      </c>
      <c r="E315" s="3" t="s">
        <v>573</v>
      </c>
    </row>
    <row r="316" spans="1:5" ht="409.5" x14ac:dyDescent="0.4">
      <c r="A316" s="1" t="s">
        <v>3</v>
      </c>
      <c r="B316" s="1" t="s">
        <v>683</v>
      </c>
      <c r="C316" s="1" t="s">
        <v>137</v>
      </c>
      <c r="D316" s="1" t="s">
        <v>642</v>
      </c>
      <c r="E316" s="3" t="s">
        <v>574</v>
      </c>
    </row>
    <row r="317" spans="1:5" ht="262.5" x14ac:dyDescent="0.4">
      <c r="A317" s="1" t="s">
        <v>3</v>
      </c>
      <c r="B317" s="1" t="s">
        <v>683</v>
      </c>
      <c r="C317" s="1" t="s">
        <v>84</v>
      </c>
      <c r="D317" s="1" t="s">
        <v>643</v>
      </c>
      <c r="E317" s="3" t="s">
        <v>575</v>
      </c>
    </row>
    <row r="318" spans="1:5" ht="393.75" x14ac:dyDescent="0.4">
      <c r="A318" s="1" t="s">
        <v>3</v>
      </c>
      <c r="B318" s="1" t="s">
        <v>683</v>
      </c>
      <c r="C318" s="1" t="s">
        <v>138</v>
      </c>
      <c r="D318" s="1" t="s">
        <v>645</v>
      </c>
      <c r="E318" s="3" t="s">
        <v>685</v>
      </c>
    </row>
    <row r="319" spans="1:5" ht="318.75" x14ac:dyDescent="0.4">
      <c r="A319" s="1" t="s">
        <v>3</v>
      </c>
      <c r="B319" s="1" t="s">
        <v>683</v>
      </c>
      <c r="C319" s="1" t="s">
        <v>139</v>
      </c>
      <c r="D319" s="1" t="s">
        <v>647</v>
      </c>
      <c r="E319" s="3" t="s">
        <v>686</v>
      </c>
    </row>
    <row r="320" spans="1:5" ht="281.25" x14ac:dyDescent="0.4">
      <c r="A320" s="1" t="s">
        <v>3</v>
      </c>
      <c r="B320" s="1" t="s">
        <v>683</v>
      </c>
      <c r="C320" s="1" t="s">
        <v>197</v>
      </c>
      <c r="D320" s="1" t="s">
        <v>648</v>
      </c>
      <c r="E320" s="3" t="s">
        <v>578</v>
      </c>
    </row>
    <row r="321" spans="1:5" ht="318.75" x14ac:dyDescent="0.4">
      <c r="A321" s="1" t="s">
        <v>3</v>
      </c>
      <c r="B321" s="1" t="s">
        <v>683</v>
      </c>
      <c r="C321" s="1" t="s">
        <v>198</v>
      </c>
      <c r="D321" s="1" t="s">
        <v>649</v>
      </c>
      <c r="E321" s="3" t="s">
        <v>573</v>
      </c>
    </row>
    <row r="322" spans="1:5" ht="262.5" x14ac:dyDescent="0.4">
      <c r="A322" s="1" t="s">
        <v>3</v>
      </c>
      <c r="B322" s="1" t="s">
        <v>683</v>
      </c>
      <c r="C322" s="1" t="s">
        <v>140</v>
      </c>
      <c r="D322" s="1" t="s">
        <v>650</v>
      </c>
      <c r="E322" s="3" t="s">
        <v>579</v>
      </c>
    </row>
    <row r="323" spans="1:5" ht="281.25" x14ac:dyDescent="0.4">
      <c r="A323" s="1" t="s">
        <v>3</v>
      </c>
      <c r="B323" s="1" t="s">
        <v>683</v>
      </c>
      <c r="C323" s="1" t="s">
        <v>199</v>
      </c>
      <c r="D323" s="1" t="s">
        <v>651</v>
      </c>
      <c r="E323" s="3" t="s">
        <v>581</v>
      </c>
    </row>
    <row r="324" spans="1:5" ht="337.5" x14ac:dyDescent="0.4">
      <c r="A324" s="1" t="s">
        <v>3</v>
      </c>
      <c r="B324" s="1" t="s">
        <v>683</v>
      </c>
      <c r="C324" s="1" t="s">
        <v>186</v>
      </c>
      <c r="D324" s="1" t="s">
        <v>652</v>
      </c>
      <c r="E324" s="3" t="s">
        <v>687</v>
      </c>
    </row>
    <row r="325" spans="1:5" ht="318.75" x14ac:dyDescent="0.4">
      <c r="A325" s="1" t="s">
        <v>3</v>
      </c>
      <c r="B325" s="1" t="s">
        <v>683</v>
      </c>
      <c r="C325" s="1" t="s">
        <v>337</v>
      </c>
      <c r="D325" s="1" t="s">
        <v>653</v>
      </c>
      <c r="E325" s="3" t="s">
        <v>688</v>
      </c>
    </row>
    <row r="326" spans="1:5" ht="262.5" x14ac:dyDescent="0.4">
      <c r="A326" s="1" t="s">
        <v>3</v>
      </c>
      <c r="B326" s="1" t="s">
        <v>683</v>
      </c>
      <c r="C326" s="1" t="s">
        <v>201</v>
      </c>
      <c r="D326" s="1" t="s">
        <v>654</v>
      </c>
      <c r="E326" s="3" t="s">
        <v>584</v>
      </c>
    </row>
    <row r="327" spans="1:5" ht="318.75" x14ac:dyDescent="0.4">
      <c r="A327" s="1" t="s">
        <v>3</v>
      </c>
      <c r="B327" s="1" t="s">
        <v>683</v>
      </c>
      <c r="C327" s="1" t="s">
        <v>339</v>
      </c>
      <c r="D327" s="1" t="s">
        <v>655</v>
      </c>
      <c r="E327" s="3" t="s">
        <v>689</v>
      </c>
    </row>
    <row r="328" spans="1:5" ht="300" x14ac:dyDescent="0.4">
      <c r="A328" s="1" t="s">
        <v>3</v>
      </c>
      <c r="B328" s="1" t="s">
        <v>683</v>
      </c>
      <c r="C328" s="1" t="s">
        <v>202</v>
      </c>
      <c r="D328" s="1" t="s">
        <v>656</v>
      </c>
      <c r="E328" s="3" t="s">
        <v>512</v>
      </c>
    </row>
    <row r="329" spans="1:5" ht="262.5" x14ac:dyDescent="0.4">
      <c r="A329" s="1" t="s">
        <v>3</v>
      </c>
      <c r="B329" s="1" t="s">
        <v>683</v>
      </c>
      <c r="C329" s="1" t="s">
        <v>203</v>
      </c>
      <c r="D329" s="1" t="s">
        <v>657</v>
      </c>
      <c r="E329" s="3" t="s">
        <v>587</v>
      </c>
    </row>
    <row r="330" spans="1:5" ht="262.5" x14ac:dyDescent="0.4">
      <c r="A330" s="1" t="s">
        <v>3</v>
      </c>
      <c r="B330" s="1" t="s">
        <v>683</v>
      </c>
      <c r="C330" s="1" t="s">
        <v>204</v>
      </c>
      <c r="D330" s="1" t="s">
        <v>658</v>
      </c>
      <c r="E330" s="3" t="s">
        <v>514</v>
      </c>
    </row>
    <row r="331" spans="1:5" ht="318.75" x14ac:dyDescent="0.4">
      <c r="A331" s="1" t="s">
        <v>3</v>
      </c>
      <c r="B331" s="1" t="s">
        <v>683</v>
      </c>
      <c r="C331" s="1" t="s">
        <v>195</v>
      </c>
      <c r="D331" s="1" t="s">
        <v>659</v>
      </c>
      <c r="E331" s="3" t="s">
        <v>573</v>
      </c>
    </row>
    <row r="332" spans="1:5" ht="262.5" x14ac:dyDescent="0.4">
      <c r="A332" s="1" t="s">
        <v>3</v>
      </c>
      <c r="B332" s="1" t="s">
        <v>683</v>
      </c>
      <c r="C332" s="1" t="s">
        <v>206</v>
      </c>
      <c r="D332" s="1" t="s">
        <v>660</v>
      </c>
      <c r="E332" s="3" t="s">
        <v>589</v>
      </c>
    </row>
    <row r="333" spans="1:5" ht="281.25" x14ac:dyDescent="0.4">
      <c r="A333" s="1" t="s">
        <v>3</v>
      </c>
      <c r="B333" s="1" t="s">
        <v>683</v>
      </c>
      <c r="C333" s="1" t="s">
        <v>205</v>
      </c>
      <c r="D333" s="1" t="s">
        <v>661</v>
      </c>
      <c r="E333" s="3" t="s">
        <v>590</v>
      </c>
    </row>
    <row r="334" spans="1:5" ht="262.5" x14ac:dyDescent="0.4">
      <c r="A334" s="1" t="s">
        <v>3</v>
      </c>
      <c r="B334" s="1" t="s">
        <v>683</v>
      </c>
      <c r="C334" s="1" t="s">
        <v>207</v>
      </c>
      <c r="D334" s="1" t="s">
        <v>662</v>
      </c>
      <c r="E334" s="3" t="s">
        <v>592</v>
      </c>
    </row>
    <row r="335" spans="1:5" ht="262.5" x14ac:dyDescent="0.4">
      <c r="A335" s="1" t="s">
        <v>3</v>
      </c>
      <c r="B335" s="1" t="s">
        <v>683</v>
      </c>
      <c r="C335" s="1" t="s">
        <v>204</v>
      </c>
      <c r="D335" s="1" t="s">
        <v>663</v>
      </c>
      <c r="E335" s="3" t="s">
        <v>514</v>
      </c>
    </row>
    <row r="336" spans="1:5" ht="318.75" x14ac:dyDescent="0.4">
      <c r="A336" s="1" t="s">
        <v>3</v>
      </c>
      <c r="B336" s="1" t="s">
        <v>683</v>
      </c>
      <c r="C336" s="1" t="s">
        <v>208</v>
      </c>
      <c r="D336" s="1" t="s">
        <v>664</v>
      </c>
      <c r="E336" s="3" t="s">
        <v>593</v>
      </c>
    </row>
    <row r="337" spans="1:5" ht="337.5" x14ac:dyDescent="0.4">
      <c r="A337" s="1" t="s">
        <v>3</v>
      </c>
      <c r="B337" s="1" t="s">
        <v>683</v>
      </c>
      <c r="C337" s="1" t="s">
        <v>347</v>
      </c>
      <c r="D337" s="1" t="s">
        <v>665</v>
      </c>
      <c r="E337" s="3" t="s">
        <v>690</v>
      </c>
    </row>
    <row r="338" spans="1:5" ht="318.75" x14ac:dyDescent="0.4">
      <c r="A338" s="1" t="s">
        <v>3</v>
      </c>
      <c r="B338" s="1" t="s">
        <v>683</v>
      </c>
      <c r="C338" s="1" t="s">
        <v>209</v>
      </c>
      <c r="D338" s="1" t="s">
        <v>666</v>
      </c>
      <c r="E338" s="3" t="s">
        <v>573</v>
      </c>
    </row>
    <row r="339" spans="1:5" ht="409.5" x14ac:dyDescent="0.4">
      <c r="A339" s="1" t="s">
        <v>3</v>
      </c>
      <c r="B339" s="1" t="s">
        <v>683</v>
      </c>
      <c r="C339" s="1" t="s">
        <v>210</v>
      </c>
      <c r="D339" s="1" t="s">
        <v>667</v>
      </c>
      <c r="E339" s="3" t="s">
        <v>595</v>
      </c>
    </row>
    <row r="340" spans="1:5" ht="409.5" x14ac:dyDescent="0.4">
      <c r="A340" s="1" t="s">
        <v>3</v>
      </c>
      <c r="B340" s="1" t="s">
        <v>683</v>
      </c>
      <c r="C340" s="1" t="s">
        <v>470</v>
      </c>
      <c r="D340" s="1" t="s">
        <v>668</v>
      </c>
      <c r="E340" s="3" t="s">
        <v>691</v>
      </c>
    </row>
    <row r="341" spans="1:5" ht="409.5" x14ac:dyDescent="0.4">
      <c r="A341" s="1" t="s">
        <v>3</v>
      </c>
      <c r="B341" s="1" t="s">
        <v>683</v>
      </c>
      <c r="C341" s="1" t="s">
        <v>487</v>
      </c>
      <c r="D341" s="1" t="s">
        <v>557</v>
      </c>
      <c r="E341" s="3" t="s">
        <v>692</v>
      </c>
    </row>
    <row r="342" spans="1:5" ht="243.75" x14ac:dyDescent="0.4">
      <c r="A342" s="1" t="s">
        <v>3</v>
      </c>
      <c r="B342" s="1" t="s">
        <v>683</v>
      </c>
      <c r="C342" s="1" t="s">
        <v>211</v>
      </c>
      <c r="D342" s="1" t="s">
        <v>669</v>
      </c>
      <c r="E342" s="3" t="s">
        <v>598</v>
      </c>
    </row>
    <row r="343" spans="1:5" ht="262.5" x14ac:dyDescent="0.4">
      <c r="A343" s="1" t="s">
        <v>3</v>
      </c>
      <c r="B343" s="1" t="s">
        <v>683</v>
      </c>
      <c r="C343" s="1" t="s">
        <v>212</v>
      </c>
      <c r="D343" s="1" t="s">
        <v>670</v>
      </c>
      <c r="E343" s="3" t="s">
        <v>599</v>
      </c>
    </row>
    <row r="344" spans="1:5" ht="409.5" x14ac:dyDescent="0.4">
      <c r="A344" s="1" t="s">
        <v>3</v>
      </c>
      <c r="B344" s="1" t="s">
        <v>683</v>
      </c>
      <c r="C344" s="1" t="s">
        <v>380</v>
      </c>
      <c r="D344" s="1" t="s">
        <v>672</v>
      </c>
      <c r="E344" s="3" t="s">
        <v>693</v>
      </c>
    </row>
    <row r="345" spans="1:5" ht="409.5" x14ac:dyDescent="0.4">
      <c r="A345" s="1" t="s">
        <v>3</v>
      </c>
      <c r="B345" s="1" t="s">
        <v>683</v>
      </c>
      <c r="C345" s="1" t="s">
        <v>408</v>
      </c>
      <c r="D345" s="1" t="s">
        <v>673</v>
      </c>
      <c r="E345" s="3" t="s">
        <v>694</v>
      </c>
    </row>
    <row r="346" spans="1:5" ht="409.5" x14ac:dyDescent="0.4">
      <c r="A346" s="1" t="s">
        <v>3</v>
      </c>
      <c r="B346" s="1" t="s">
        <v>683</v>
      </c>
      <c r="C346" s="1" t="s">
        <v>349</v>
      </c>
      <c r="D346" s="1" t="s">
        <v>675</v>
      </c>
      <c r="E346" s="3" t="s">
        <v>695</v>
      </c>
    </row>
    <row r="347" spans="1:5" ht="409.5" x14ac:dyDescent="0.4">
      <c r="A347" s="1" t="s">
        <v>3</v>
      </c>
      <c r="B347" s="1" t="s">
        <v>683</v>
      </c>
      <c r="C347" s="1" t="s">
        <v>379</v>
      </c>
      <c r="D347" s="1" t="s">
        <v>634</v>
      </c>
      <c r="E347" s="3" t="s">
        <v>696</v>
      </c>
    </row>
    <row r="348" spans="1:5" ht="318.75" x14ac:dyDescent="0.4">
      <c r="A348" s="1" t="s">
        <v>3</v>
      </c>
      <c r="B348" s="1" t="s">
        <v>683</v>
      </c>
      <c r="C348" s="1" t="s">
        <v>409</v>
      </c>
      <c r="D348" s="1" t="s">
        <v>677</v>
      </c>
      <c r="E348" s="3" t="s">
        <v>573</v>
      </c>
    </row>
    <row r="349" spans="1:5" ht="356.25" x14ac:dyDescent="0.4">
      <c r="A349" s="1" t="s">
        <v>3</v>
      </c>
      <c r="B349" s="1" t="s">
        <v>683</v>
      </c>
      <c r="C349" s="1" t="s">
        <v>413</v>
      </c>
      <c r="D349" s="1" t="s">
        <v>679</v>
      </c>
      <c r="E349" s="3" t="s">
        <v>697</v>
      </c>
    </row>
    <row r="350" spans="1:5" ht="300" x14ac:dyDescent="0.4">
      <c r="A350" s="1" t="s">
        <v>3</v>
      </c>
      <c r="B350" s="1" t="s">
        <v>683</v>
      </c>
      <c r="C350" s="1" t="s">
        <v>415</v>
      </c>
      <c r="D350" s="1" t="s">
        <v>680</v>
      </c>
      <c r="E350" s="3" t="s">
        <v>450</v>
      </c>
    </row>
    <row r="351" spans="1:5" ht="300" x14ac:dyDescent="0.4">
      <c r="A351" s="1" t="s">
        <v>3</v>
      </c>
      <c r="B351" s="1" t="s">
        <v>683</v>
      </c>
      <c r="C351" s="1" t="s">
        <v>412</v>
      </c>
      <c r="D351" s="1" t="s">
        <v>681</v>
      </c>
      <c r="E351" s="3" t="s">
        <v>451</v>
      </c>
    </row>
    <row r="352" spans="1:5" ht="262.5" x14ac:dyDescent="0.4">
      <c r="A352" s="1" t="s">
        <v>3</v>
      </c>
      <c r="B352" s="1" t="s">
        <v>683</v>
      </c>
      <c r="C352" s="1" t="s">
        <v>414</v>
      </c>
      <c r="D352" s="1" t="s">
        <v>682</v>
      </c>
      <c r="E352" s="3" t="s">
        <v>453</v>
      </c>
    </row>
    <row r="353" spans="1:5" x14ac:dyDescent="0.4">
      <c r="A353" s="1" t="s">
        <v>3</v>
      </c>
      <c r="B353" s="1" t="s">
        <v>683</v>
      </c>
      <c r="C353" s="1" t="s">
        <v>82</v>
      </c>
      <c r="D353" s="1" t="s">
        <v>524</v>
      </c>
      <c r="E353" s="1" t="s">
        <v>123</v>
      </c>
    </row>
    <row r="354" spans="1:5" x14ac:dyDescent="0.4">
      <c r="A354" s="1" t="s">
        <v>3</v>
      </c>
      <c r="B354" s="1" t="s">
        <v>683</v>
      </c>
      <c r="C354" s="1" t="s">
        <v>81</v>
      </c>
      <c r="D354" s="1" t="s">
        <v>525</v>
      </c>
      <c r="E354" s="1" t="s">
        <v>123</v>
      </c>
    </row>
    <row r="355" spans="1:5" x14ac:dyDescent="0.4">
      <c r="A355" s="1" t="s">
        <v>3</v>
      </c>
      <c r="B355" s="1" t="s">
        <v>683</v>
      </c>
      <c r="C355" s="1" t="s">
        <v>136</v>
      </c>
      <c r="D355" s="1" t="s">
        <v>526</v>
      </c>
      <c r="E355" s="1" t="s">
        <v>123</v>
      </c>
    </row>
    <row r="356" spans="1:5" x14ac:dyDescent="0.4">
      <c r="A356" s="1" t="s">
        <v>3</v>
      </c>
      <c r="B356" s="1" t="s">
        <v>683</v>
      </c>
      <c r="C356" s="1" t="s">
        <v>83</v>
      </c>
      <c r="D356" s="1" t="s">
        <v>527</v>
      </c>
      <c r="E356" s="1" t="s">
        <v>123</v>
      </c>
    </row>
    <row r="357" spans="1:5" x14ac:dyDescent="0.4">
      <c r="A357" s="1" t="s">
        <v>3</v>
      </c>
      <c r="B357" s="1" t="s">
        <v>683</v>
      </c>
      <c r="C357" s="1" t="s">
        <v>85</v>
      </c>
      <c r="D357" s="1" t="s">
        <v>529</v>
      </c>
      <c r="E357" s="1" t="s">
        <v>123</v>
      </c>
    </row>
    <row r="358" spans="1:5" x14ac:dyDescent="0.4">
      <c r="A358" s="1" t="s">
        <v>3</v>
      </c>
      <c r="B358" s="1" t="s">
        <v>683</v>
      </c>
      <c r="C358" s="1" t="s">
        <v>137</v>
      </c>
      <c r="D358" s="1" t="s">
        <v>530</v>
      </c>
      <c r="E358" s="1" t="s">
        <v>123</v>
      </c>
    </row>
    <row r="359" spans="1:5" x14ac:dyDescent="0.4">
      <c r="A359" s="1" t="s">
        <v>3</v>
      </c>
      <c r="B359" s="1" t="s">
        <v>683</v>
      </c>
      <c r="C359" s="1" t="s">
        <v>84</v>
      </c>
      <c r="D359" s="1" t="s">
        <v>531</v>
      </c>
      <c r="E359" s="1" t="s">
        <v>123</v>
      </c>
    </row>
    <row r="360" spans="1:5" x14ac:dyDescent="0.4">
      <c r="A360" s="1" t="s">
        <v>3</v>
      </c>
      <c r="B360" s="1" t="s">
        <v>683</v>
      </c>
      <c r="C360" s="1" t="s">
        <v>138</v>
      </c>
      <c r="D360" s="1" t="s">
        <v>532</v>
      </c>
      <c r="E360" s="1" t="s">
        <v>123</v>
      </c>
    </row>
    <row r="361" spans="1:5" x14ac:dyDescent="0.4">
      <c r="A361" s="1" t="s">
        <v>3</v>
      </c>
      <c r="B361" s="1" t="s">
        <v>683</v>
      </c>
      <c r="C361" s="1" t="s">
        <v>139</v>
      </c>
      <c r="D361" s="1" t="s">
        <v>533</v>
      </c>
      <c r="E361" s="1" t="s">
        <v>123</v>
      </c>
    </row>
    <row r="362" spans="1:5" x14ac:dyDescent="0.4">
      <c r="A362" s="1" t="s">
        <v>3</v>
      </c>
      <c r="B362" s="1" t="s">
        <v>683</v>
      </c>
      <c r="C362" s="1" t="s">
        <v>197</v>
      </c>
      <c r="D362" s="1" t="s">
        <v>534</v>
      </c>
      <c r="E362" s="1" t="s">
        <v>123</v>
      </c>
    </row>
    <row r="363" spans="1:5" x14ac:dyDescent="0.4">
      <c r="A363" s="1" t="s">
        <v>3</v>
      </c>
      <c r="B363" s="1" t="s">
        <v>683</v>
      </c>
      <c r="C363" s="1" t="s">
        <v>198</v>
      </c>
      <c r="D363" s="1" t="s">
        <v>535</v>
      </c>
      <c r="E363" s="1" t="s">
        <v>123</v>
      </c>
    </row>
    <row r="364" spans="1:5" x14ac:dyDescent="0.4">
      <c r="A364" s="1" t="s">
        <v>3</v>
      </c>
      <c r="B364" s="1" t="s">
        <v>683</v>
      </c>
      <c r="C364" s="1" t="s">
        <v>140</v>
      </c>
      <c r="D364" s="1" t="s">
        <v>536</v>
      </c>
      <c r="E364" s="1" t="s">
        <v>123</v>
      </c>
    </row>
    <row r="365" spans="1:5" x14ac:dyDescent="0.4">
      <c r="A365" s="1" t="s">
        <v>3</v>
      </c>
      <c r="B365" s="1" t="s">
        <v>683</v>
      </c>
      <c r="C365" s="1" t="s">
        <v>199</v>
      </c>
      <c r="D365" s="1" t="s">
        <v>538</v>
      </c>
      <c r="E365" s="1" t="s">
        <v>123</v>
      </c>
    </row>
    <row r="366" spans="1:5" x14ac:dyDescent="0.4">
      <c r="A366" s="1" t="s">
        <v>3</v>
      </c>
      <c r="B366" s="1" t="s">
        <v>683</v>
      </c>
      <c r="C366" s="1" t="s">
        <v>186</v>
      </c>
      <c r="D366" s="1" t="s">
        <v>539</v>
      </c>
      <c r="E366" s="1" t="s">
        <v>123</v>
      </c>
    </row>
    <row r="367" spans="1:5" x14ac:dyDescent="0.4">
      <c r="A367" s="1" t="s">
        <v>3</v>
      </c>
      <c r="B367" s="1" t="s">
        <v>683</v>
      </c>
      <c r="C367" s="1" t="s">
        <v>337</v>
      </c>
      <c r="D367" s="1" t="s">
        <v>540</v>
      </c>
      <c r="E367" s="1" t="s">
        <v>123</v>
      </c>
    </row>
    <row r="368" spans="1:5" x14ac:dyDescent="0.4">
      <c r="A368" s="1" t="s">
        <v>3</v>
      </c>
      <c r="B368" s="1" t="s">
        <v>683</v>
      </c>
      <c r="C368" s="1" t="s">
        <v>201</v>
      </c>
      <c r="D368" s="1" t="s">
        <v>541</v>
      </c>
      <c r="E368" s="1" t="s">
        <v>123</v>
      </c>
    </row>
    <row r="369" spans="1:5" x14ac:dyDescent="0.4">
      <c r="A369" s="1" t="s">
        <v>3</v>
      </c>
      <c r="B369" s="1" t="s">
        <v>683</v>
      </c>
      <c r="C369" s="1" t="s">
        <v>339</v>
      </c>
      <c r="D369" s="1" t="s">
        <v>542</v>
      </c>
      <c r="E369" s="1" t="s">
        <v>123</v>
      </c>
    </row>
    <row r="370" spans="1:5" x14ac:dyDescent="0.4">
      <c r="A370" s="1" t="s">
        <v>3</v>
      </c>
      <c r="B370" s="1" t="s">
        <v>683</v>
      </c>
      <c r="C370" s="1" t="s">
        <v>202</v>
      </c>
      <c r="D370" s="1" t="s">
        <v>543</v>
      </c>
      <c r="E370" s="1" t="s">
        <v>123</v>
      </c>
    </row>
    <row r="371" spans="1:5" x14ac:dyDescent="0.4">
      <c r="A371" s="1" t="s">
        <v>3</v>
      </c>
      <c r="B371" s="1" t="s">
        <v>683</v>
      </c>
      <c r="C371" s="1" t="s">
        <v>203</v>
      </c>
      <c r="D371" s="1" t="s">
        <v>545</v>
      </c>
      <c r="E371" s="1" t="s">
        <v>123</v>
      </c>
    </row>
    <row r="372" spans="1:5" x14ac:dyDescent="0.4">
      <c r="A372" s="1" t="s">
        <v>3</v>
      </c>
      <c r="B372" s="1" t="s">
        <v>683</v>
      </c>
      <c r="C372" s="1" t="s">
        <v>204</v>
      </c>
      <c r="D372" s="1" t="s">
        <v>546</v>
      </c>
      <c r="E372" s="1" t="s">
        <v>123</v>
      </c>
    </row>
    <row r="373" spans="1:5" x14ac:dyDescent="0.4">
      <c r="A373" s="1" t="s">
        <v>3</v>
      </c>
      <c r="B373" s="1" t="s">
        <v>683</v>
      </c>
      <c r="C373" s="1" t="s">
        <v>195</v>
      </c>
      <c r="D373" s="1" t="s">
        <v>620</v>
      </c>
      <c r="E373" s="1" t="s">
        <v>123</v>
      </c>
    </row>
    <row r="374" spans="1:5" x14ac:dyDescent="0.4">
      <c r="A374" s="1" t="s">
        <v>3</v>
      </c>
      <c r="B374" s="1" t="s">
        <v>683</v>
      </c>
      <c r="C374" s="1" t="s">
        <v>206</v>
      </c>
      <c r="D374" s="1" t="s">
        <v>548</v>
      </c>
      <c r="E374" s="1" t="s">
        <v>123</v>
      </c>
    </row>
    <row r="375" spans="1:5" x14ac:dyDescent="0.4">
      <c r="A375" s="1" t="s">
        <v>3</v>
      </c>
      <c r="B375" s="1" t="s">
        <v>683</v>
      </c>
      <c r="C375" s="1" t="s">
        <v>205</v>
      </c>
      <c r="D375" s="1" t="s">
        <v>549</v>
      </c>
      <c r="E375" s="1" t="s">
        <v>123</v>
      </c>
    </row>
    <row r="376" spans="1:5" x14ac:dyDescent="0.4">
      <c r="A376" s="1" t="s">
        <v>3</v>
      </c>
      <c r="B376" s="1" t="s">
        <v>683</v>
      </c>
      <c r="C376" s="1" t="s">
        <v>207</v>
      </c>
      <c r="D376" s="1" t="s">
        <v>551</v>
      </c>
      <c r="E376" s="1" t="s">
        <v>123</v>
      </c>
    </row>
    <row r="377" spans="1:5" x14ac:dyDescent="0.4">
      <c r="A377" s="1" t="s">
        <v>3</v>
      </c>
      <c r="B377" s="1" t="s">
        <v>683</v>
      </c>
      <c r="C377" s="1" t="s">
        <v>204</v>
      </c>
      <c r="D377" s="1" t="s">
        <v>552</v>
      </c>
      <c r="E377" s="1" t="s">
        <v>123</v>
      </c>
    </row>
    <row r="378" spans="1:5" x14ac:dyDescent="0.4">
      <c r="A378" s="1" t="s">
        <v>3</v>
      </c>
      <c r="B378" s="1" t="s">
        <v>683</v>
      </c>
      <c r="C378" s="1" t="s">
        <v>208</v>
      </c>
      <c r="D378" s="1" t="s">
        <v>553</v>
      </c>
      <c r="E378" s="1" t="s">
        <v>123</v>
      </c>
    </row>
    <row r="379" spans="1:5" x14ac:dyDescent="0.4">
      <c r="A379" s="1" t="s">
        <v>3</v>
      </c>
      <c r="B379" s="1" t="s">
        <v>683</v>
      </c>
      <c r="C379" s="1" t="s">
        <v>347</v>
      </c>
      <c r="D379" s="1" t="s">
        <v>554</v>
      </c>
      <c r="E379" s="1" t="s">
        <v>123</v>
      </c>
    </row>
    <row r="380" spans="1:5" x14ac:dyDescent="0.4">
      <c r="A380" s="1" t="s">
        <v>3</v>
      </c>
      <c r="B380" s="1" t="s">
        <v>683</v>
      </c>
      <c r="C380" s="1" t="s">
        <v>209</v>
      </c>
      <c r="D380" s="1" t="s">
        <v>555</v>
      </c>
      <c r="E380" s="1" t="s">
        <v>123</v>
      </c>
    </row>
    <row r="381" spans="1:5" x14ac:dyDescent="0.4">
      <c r="A381" s="1" t="s">
        <v>3</v>
      </c>
      <c r="B381" s="1" t="s">
        <v>683</v>
      </c>
      <c r="C381" s="1" t="s">
        <v>210</v>
      </c>
      <c r="D381" s="1" t="s">
        <v>556</v>
      </c>
      <c r="E381" s="1" t="s">
        <v>123</v>
      </c>
    </row>
    <row r="382" spans="1:5" x14ac:dyDescent="0.4">
      <c r="A382" s="1" t="s">
        <v>3</v>
      </c>
      <c r="B382" s="1" t="s">
        <v>683</v>
      </c>
      <c r="C382" s="1" t="s">
        <v>487</v>
      </c>
      <c r="D382" s="1" t="s">
        <v>559</v>
      </c>
      <c r="E382" s="1" t="s">
        <v>123</v>
      </c>
    </row>
    <row r="383" spans="1:5" x14ac:dyDescent="0.4">
      <c r="A383" s="1" t="s">
        <v>3</v>
      </c>
      <c r="B383" s="1" t="s">
        <v>683</v>
      </c>
      <c r="C383" s="1" t="s">
        <v>211</v>
      </c>
      <c r="D383" s="1" t="s">
        <v>560</v>
      </c>
      <c r="E383" s="1" t="s">
        <v>123</v>
      </c>
    </row>
    <row r="384" spans="1:5" x14ac:dyDescent="0.4">
      <c r="A384" s="1" t="s">
        <v>3</v>
      </c>
      <c r="B384" s="1" t="s">
        <v>683</v>
      </c>
      <c r="C384" s="1" t="s">
        <v>212</v>
      </c>
      <c r="D384" s="1" t="s">
        <v>561</v>
      </c>
      <c r="E384" s="1" t="s">
        <v>123</v>
      </c>
    </row>
    <row r="385" spans="1:5" x14ac:dyDescent="0.4">
      <c r="A385" s="1" t="s">
        <v>3</v>
      </c>
      <c r="B385" s="1" t="s">
        <v>683</v>
      </c>
      <c r="C385" s="1" t="s">
        <v>380</v>
      </c>
      <c r="D385" s="1" t="s">
        <v>562</v>
      </c>
      <c r="E385" s="1" t="s">
        <v>123</v>
      </c>
    </row>
    <row r="386" spans="1:5" x14ac:dyDescent="0.4">
      <c r="A386" s="1" t="s">
        <v>3</v>
      </c>
      <c r="B386" s="1" t="s">
        <v>683</v>
      </c>
      <c r="C386" s="1" t="s">
        <v>408</v>
      </c>
      <c r="D386" s="1" t="s">
        <v>563</v>
      </c>
      <c r="E386" s="1" t="s">
        <v>123</v>
      </c>
    </row>
    <row r="387" spans="1:5" x14ac:dyDescent="0.4">
      <c r="A387" s="1" t="s">
        <v>3</v>
      </c>
      <c r="B387" s="1" t="s">
        <v>683</v>
      </c>
      <c r="C387" s="1" t="s">
        <v>349</v>
      </c>
      <c r="D387" s="1" t="s">
        <v>564</v>
      </c>
      <c r="E387" s="1" t="s">
        <v>123</v>
      </c>
    </row>
    <row r="388" spans="1:5" x14ac:dyDescent="0.4">
      <c r="A388" s="1" t="s">
        <v>3</v>
      </c>
      <c r="B388" s="1" t="s">
        <v>683</v>
      </c>
      <c r="C388" s="1" t="s">
        <v>379</v>
      </c>
      <c r="D388" s="1" t="s">
        <v>521</v>
      </c>
      <c r="E388" s="1" t="s">
        <v>123</v>
      </c>
    </row>
    <row r="389" spans="1:5" x14ac:dyDescent="0.4">
      <c r="A389" s="1" t="s">
        <v>3</v>
      </c>
      <c r="B389" s="1" t="s">
        <v>683</v>
      </c>
      <c r="C389" s="1" t="s">
        <v>409</v>
      </c>
      <c r="D389" s="1" t="s">
        <v>565</v>
      </c>
      <c r="E389" s="1" t="s">
        <v>123</v>
      </c>
    </row>
    <row r="390" spans="1:5" ht="281.25" x14ac:dyDescent="0.4">
      <c r="A390" s="1" t="s">
        <v>3</v>
      </c>
      <c r="B390" s="1" t="s">
        <v>701</v>
      </c>
      <c r="C390" s="1" t="s">
        <v>698</v>
      </c>
      <c r="D390" s="1" t="s">
        <v>335</v>
      </c>
      <c r="E390" s="3" t="s">
        <v>376</v>
      </c>
    </row>
    <row r="391" spans="1:5" ht="281.25" x14ac:dyDescent="0.4">
      <c r="A391" s="1" t="s">
        <v>3</v>
      </c>
      <c r="B391" s="1" t="s">
        <v>701</v>
      </c>
      <c r="C391" s="1" t="s">
        <v>699</v>
      </c>
      <c r="D391" s="1" t="s">
        <v>335</v>
      </c>
      <c r="E391" s="3" t="s">
        <v>455</v>
      </c>
    </row>
    <row r="392" spans="1:5" ht="281.25" x14ac:dyDescent="0.4">
      <c r="A392" s="1" t="s">
        <v>3</v>
      </c>
      <c r="B392" s="1" t="s">
        <v>701</v>
      </c>
      <c r="C392" s="1" t="s">
        <v>700</v>
      </c>
      <c r="D392" s="1" t="s">
        <v>335</v>
      </c>
      <c r="E392" s="3" t="s">
        <v>376</v>
      </c>
    </row>
    <row r="393" spans="1:5" x14ac:dyDescent="0.4">
      <c r="A393" s="1" t="s">
        <v>3</v>
      </c>
      <c r="B393" s="1" t="s">
        <v>701</v>
      </c>
      <c r="C393" s="1" t="s">
        <v>607</v>
      </c>
      <c r="D393" s="1" t="s">
        <v>335</v>
      </c>
      <c r="E393" s="1" t="s">
        <v>123</v>
      </c>
    </row>
    <row r="394" spans="1:5" x14ac:dyDescent="0.4">
      <c r="A394" s="1" t="s">
        <v>3</v>
      </c>
      <c r="B394" s="1" t="s">
        <v>701</v>
      </c>
      <c r="C394" s="1" t="s">
        <v>608</v>
      </c>
      <c r="D394" s="1" t="s">
        <v>335</v>
      </c>
      <c r="E394" s="1" t="s">
        <v>123</v>
      </c>
    </row>
    <row r="395" spans="1:5" x14ac:dyDescent="0.4">
      <c r="A395" s="1" t="s">
        <v>3</v>
      </c>
      <c r="B395" s="1" t="s">
        <v>701</v>
      </c>
      <c r="C395" s="1" t="s">
        <v>609</v>
      </c>
      <c r="D395" s="1" t="s">
        <v>335</v>
      </c>
      <c r="E395" s="1" t="s">
        <v>123</v>
      </c>
    </row>
    <row r="396" spans="1:5" ht="409.5" x14ac:dyDescent="0.4">
      <c r="A396" s="1" t="s">
        <v>3</v>
      </c>
      <c r="B396" s="1" t="s">
        <v>702</v>
      </c>
      <c r="C396" s="1" t="s">
        <v>83</v>
      </c>
      <c r="D396" s="1" t="s">
        <v>640</v>
      </c>
      <c r="E396" s="3" t="s">
        <v>180</v>
      </c>
    </row>
    <row r="397" spans="1:5" ht="409.5" x14ac:dyDescent="0.4">
      <c r="A397" s="1" t="s">
        <v>3</v>
      </c>
      <c r="B397" s="1" t="s">
        <v>702</v>
      </c>
      <c r="C397" s="1" t="s">
        <v>137</v>
      </c>
      <c r="D397" s="1" t="s">
        <v>642</v>
      </c>
      <c r="E397" s="3" t="s">
        <v>181</v>
      </c>
    </row>
    <row r="398" spans="1:5" ht="409.5" x14ac:dyDescent="0.4">
      <c r="A398" s="1" t="s">
        <v>3</v>
      </c>
      <c r="B398" s="1" t="s">
        <v>702</v>
      </c>
      <c r="C398" s="1" t="s">
        <v>210</v>
      </c>
      <c r="D398" s="1" t="s">
        <v>667</v>
      </c>
      <c r="E398" s="3" t="s">
        <v>345</v>
      </c>
    </row>
    <row r="399" spans="1:5" ht="409.5" x14ac:dyDescent="0.4">
      <c r="A399" s="1" t="s">
        <v>3</v>
      </c>
      <c r="B399" s="1" t="s">
        <v>702</v>
      </c>
      <c r="C399" s="1" t="s">
        <v>487</v>
      </c>
      <c r="D399" s="1" t="s">
        <v>557</v>
      </c>
      <c r="E399" s="3" t="s">
        <v>485</v>
      </c>
    </row>
    <row r="400" spans="1:5" ht="409.5" x14ac:dyDescent="0.4">
      <c r="A400" s="1" t="s">
        <v>3</v>
      </c>
      <c r="B400" s="1" t="s">
        <v>712</v>
      </c>
      <c r="C400" s="1" t="s">
        <v>83</v>
      </c>
      <c r="D400" s="1" t="s">
        <v>640</v>
      </c>
      <c r="E400" s="3" t="s">
        <v>180</v>
      </c>
    </row>
    <row r="401" spans="1:5" ht="409.5" x14ac:dyDescent="0.4">
      <c r="A401" s="1" t="s">
        <v>3</v>
      </c>
      <c r="B401" s="1" t="s">
        <v>712</v>
      </c>
      <c r="C401" s="1" t="s">
        <v>137</v>
      </c>
      <c r="D401" s="1" t="s">
        <v>642</v>
      </c>
      <c r="E401" s="3" t="s">
        <v>181</v>
      </c>
    </row>
    <row r="402" spans="1:5" ht="262.5" x14ac:dyDescent="0.4">
      <c r="A402" s="1" t="s">
        <v>3</v>
      </c>
      <c r="B402" s="1" t="s">
        <v>712</v>
      </c>
      <c r="C402" s="1" t="s">
        <v>201</v>
      </c>
      <c r="D402" s="1" t="s">
        <v>703</v>
      </c>
      <c r="E402" s="3" t="s">
        <v>584</v>
      </c>
    </row>
    <row r="403" spans="1:5" ht="262.5" x14ac:dyDescent="0.4">
      <c r="A403" s="1" t="s">
        <v>3</v>
      </c>
      <c r="B403" s="1" t="s">
        <v>712</v>
      </c>
      <c r="C403" s="1" t="s">
        <v>203</v>
      </c>
      <c r="D403" s="1" t="s">
        <v>704</v>
      </c>
      <c r="E403" s="3" t="s">
        <v>587</v>
      </c>
    </row>
    <row r="404" spans="1:5" ht="262.5" x14ac:dyDescent="0.4">
      <c r="A404" s="1" t="s">
        <v>3</v>
      </c>
      <c r="B404" s="1" t="s">
        <v>712</v>
      </c>
      <c r="C404" s="1" t="s">
        <v>204</v>
      </c>
      <c r="D404" s="1" t="s">
        <v>705</v>
      </c>
      <c r="E404" s="3" t="s">
        <v>514</v>
      </c>
    </row>
    <row r="405" spans="1:5" ht="262.5" x14ac:dyDescent="0.4">
      <c r="A405" s="1" t="s">
        <v>3</v>
      </c>
      <c r="B405" s="1" t="s">
        <v>712</v>
      </c>
      <c r="C405" s="1" t="s">
        <v>206</v>
      </c>
      <c r="D405" s="1" t="s">
        <v>706</v>
      </c>
      <c r="E405" s="3" t="s">
        <v>589</v>
      </c>
    </row>
    <row r="406" spans="1:5" ht="281.25" x14ac:dyDescent="0.4">
      <c r="A406" s="1" t="s">
        <v>3</v>
      </c>
      <c r="B406" s="1" t="s">
        <v>712</v>
      </c>
      <c r="C406" s="1" t="s">
        <v>205</v>
      </c>
      <c r="D406" s="1" t="s">
        <v>707</v>
      </c>
      <c r="E406" s="3" t="s">
        <v>590</v>
      </c>
    </row>
    <row r="407" spans="1:5" ht="262.5" x14ac:dyDescent="0.4">
      <c r="A407" s="1" t="s">
        <v>3</v>
      </c>
      <c r="B407" s="1" t="s">
        <v>712</v>
      </c>
      <c r="C407" s="1" t="s">
        <v>207</v>
      </c>
      <c r="D407" s="1" t="s">
        <v>708</v>
      </c>
      <c r="E407" s="3" t="s">
        <v>592</v>
      </c>
    </row>
    <row r="408" spans="1:5" ht="262.5" x14ac:dyDescent="0.4">
      <c r="A408" s="1" t="s">
        <v>3</v>
      </c>
      <c r="B408" s="1" t="s">
        <v>712</v>
      </c>
      <c r="C408" s="1" t="s">
        <v>204</v>
      </c>
      <c r="D408" s="1" t="s">
        <v>709</v>
      </c>
      <c r="E408" s="3" t="s">
        <v>514</v>
      </c>
    </row>
    <row r="409" spans="1:5" ht="409.5" x14ac:dyDescent="0.4">
      <c r="A409" s="1" t="s">
        <v>3</v>
      </c>
      <c r="B409" s="1" t="s">
        <v>712</v>
      </c>
      <c r="C409" s="1" t="s">
        <v>210</v>
      </c>
      <c r="D409" s="1" t="s">
        <v>667</v>
      </c>
      <c r="E409" s="3" t="s">
        <v>345</v>
      </c>
    </row>
    <row r="410" spans="1:5" ht="131.25" x14ac:dyDescent="0.4">
      <c r="A410" s="1" t="s">
        <v>3</v>
      </c>
      <c r="B410" s="1" t="s">
        <v>712</v>
      </c>
      <c r="C410" s="1" t="s">
        <v>470</v>
      </c>
      <c r="D410" s="1" t="s">
        <v>668</v>
      </c>
      <c r="E410" s="3" t="s">
        <v>713</v>
      </c>
    </row>
    <row r="411" spans="1:5" ht="409.5" x14ac:dyDescent="0.4">
      <c r="A411" s="1" t="s">
        <v>3</v>
      </c>
      <c r="B411" s="1" t="s">
        <v>712</v>
      </c>
      <c r="C411" s="1" t="s">
        <v>487</v>
      </c>
      <c r="D411" s="1" t="s">
        <v>557</v>
      </c>
      <c r="E411" s="3" t="s">
        <v>714</v>
      </c>
    </row>
    <row r="412" spans="1:5" x14ac:dyDescent="0.4">
      <c r="A412" s="1" t="s">
        <v>3</v>
      </c>
      <c r="B412" s="1" t="s">
        <v>712</v>
      </c>
      <c r="C412" s="1" t="s">
        <v>201</v>
      </c>
      <c r="D412" s="1" t="s">
        <v>654</v>
      </c>
      <c r="E412" s="1" t="s">
        <v>123</v>
      </c>
    </row>
    <row r="413" spans="1:5" x14ac:dyDescent="0.4">
      <c r="A413" s="1" t="s">
        <v>3</v>
      </c>
      <c r="B413" s="1" t="s">
        <v>712</v>
      </c>
      <c r="C413" s="1" t="s">
        <v>203</v>
      </c>
      <c r="D413" s="1" t="s">
        <v>657</v>
      </c>
      <c r="E413" s="1" t="s">
        <v>123</v>
      </c>
    </row>
    <row r="414" spans="1:5" x14ac:dyDescent="0.4">
      <c r="A414" s="1" t="s">
        <v>3</v>
      </c>
      <c r="B414" s="1" t="s">
        <v>712</v>
      </c>
      <c r="C414" s="1" t="s">
        <v>204</v>
      </c>
      <c r="D414" s="1" t="s">
        <v>658</v>
      </c>
      <c r="E414" s="1" t="s">
        <v>123</v>
      </c>
    </row>
    <row r="415" spans="1:5" x14ac:dyDescent="0.4">
      <c r="A415" s="1" t="s">
        <v>3</v>
      </c>
      <c r="B415" s="1" t="s">
        <v>712</v>
      </c>
      <c r="C415" s="1" t="s">
        <v>206</v>
      </c>
      <c r="D415" s="1" t="s">
        <v>660</v>
      </c>
      <c r="E415" s="1" t="s">
        <v>123</v>
      </c>
    </row>
    <row r="416" spans="1:5" x14ac:dyDescent="0.4">
      <c r="A416" s="1" t="s">
        <v>3</v>
      </c>
      <c r="B416" s="1" t="s">
        <v>712</v>
      </c>
      <c r="C416" s="1" t="s">
        <v>205</v>
      </c>
      <c r="D416" s="1" t="s">
        <v>661</v>
      </c>
      <c r="E416" s="1" t="s">
        <v>123</v>
      </c>
    </row>
    <row r="417" spans="1:5" x14ac:dyDescent="0.4">
      <c r="A417" s="1" t="s">
        <v>3</v>
      </c>
      <c r="B417" s="1" t="s">
        <v>712</v>
      </c>
      <c r="C417" s="1" t="s">
        <v>207</v>
      </c>
      <c r="D417" s="1" t="s">
        <v>662</v>
      </c>
      <c r="E417" s="1" t="s">
        <v>123</v>
      </c>
    </row>
    <row r="418" spans="1:5" x14ac:dyDescent="0.4">
      <c r="A418" s="1" t="s">
        <v>3</v>
      </c>
      <c r="B418" s="1" t="s">
        <v>712</v>
      </c>
      <c r="C418" s="1" t="s">
        <v>204</v>
      </c>
      <c r="D418" s="1" t="s">
        <v>663</v>
      </c>
      <c r="E418" s="1" t="s">
        <v>123</v>
      </c>
    </row>
    <row r="419" spans="1:5" ht="409.5" x14ac:dyDescent="0.4">
      <c r="A419" s="1" t="s">
        <v>3</v>
      </c>
      <c r="B419" s="1" t="s">
        <v>718</v>
      </c>
      <c r="C419" s="1" t="s">
        <v>83</v>
      </c>
      <c r="D419" s="1" t="s">
        <v>640</v>
      </c>
      <c r="E419" s="3" t="s">
        <v>497</v>
      </c>
    </row>
    <row r="420" spans="1:5" ht="409.5" x14ac:dyDescent="0.4">
      <c r="A420" s="1" t="s">
        <v>3</v>
      </c>
      <c r="B420" s="1" t="s">
        <v>718</v>
      </c>
      <c r="C420" s="1" t="s">
        <v>137</v>
      </c>
      <c r="D420" s="1" t="s">
        <v>642</v>
      </c>
      <c r="E420" s="3" t="s">
        <v>467</v>
      </c>
    </row>
    <row r="421" spans="1:5" ht="409.5" x14ac:dyDescent="0.4">
      <c r="A421" s="1" t="s">
        <v>3</v>
      </c>
      <c r="B421" s="1" t="s">
        <v>718</v>
      </c>
      <c r="C421" s="1" t="s">
        <v>210</v>
      </c>
      <c r="D421" s="1" t="s">
        <v>667</v>
      </c>
      <c r="E421" s="3" t="s">
        <v>345</v>
      </c>
    </row>
    <row r="422" spans="1:5" ht="409.5" x14ac:dyDescent="0.4">
      <c r="A422" s="1" t="s">
        <v>3</v>
      </c>
      <c r="B422" s="1" t="s">
        <v>718</v>
      </c>
      <c r="C422" s="1" t="s">
        <v>487</v>
      </c>
      <c r="D422" s="1" t="s">
        <v>557</v>
      </c>
      <c r="E422" s="3" t="s">
        <v>485</v>
      </c>
    </row>
    <row r="423" spans="1:5" ht="409.5" x14ac:dyDescent="0.4">
      <c r="A423" s="1" t="s">
        <v>3</v>
      </c>
      <c r="B423" s="1" t="s">
        <v>719</v>
      </c>
      <c r="C423" s="1" t="s">
        <v>210</v>
      </c>
      <c r="D423" s="1" t="s">
        <v>667</v>
      </c>
      <c r="E423" s="3" t="s">
        <v>345</v>
      </c>
    </row>
    <row r="424" spans="1:5" ht="409.5" x14ac:dyDescent="0.4">
      <c r="A424" s="1" t="s">
        <v>3</v>
      </c>
      <c r="B424" s="1" t="s">
        <v>719</v>
      </c>
      <c r="C424" s="1" t="s">
        <v>487</v>
      </c>
      <c r="D424" s="1" t="s">
        <v>557</v>
      </c>
      <c r="E424" s="3" t="s">
        <v>485</v>
      </c>
    </row>
    <row r="425" spans="1:5" ht="409.5" x14ac:dyDescent="0.4">
      <c r="A425" s="1" t="s">
        <v>3</v>
      </c>
      <c r="B425" s="1" t="s">
        <v>720</v>
      </c>
      <c r="C425" s="1" t="s">
        <v>210</v>
      </c>
      <c r="D425" s="1" t="s">
        <v>667</v>
      </c>
      <c r="E425" s="3" t="s">
        <v>345</v>
      </c>
    </row>
    <row r="426" spans="1:5" ht="409.5" x14ac:dyDescent="0.4">
      <c r="A426" s="1" t="s">
        <v>3</v>
      </c>
      <c r="B426" s="1" t="s">
        <v>720</v>
      </c>
      <c r="C426" s="1" t="s">
        <v>487</v>
      </c>
      <c r="D426" s="1" t="s">
        <v>557</v>
      </c>
      <c r="E426" s="3" t="s">
        <v>485</v>
      </c>
    </row>
    <row r="427" spans="1:5" ht="409.5" x14ac:dyDescent="0.4">
      <c r="A427" s="1" t="s">
        <v>3</v>
      </c>
      <c r="B427" s="1" t="s">
        <v>721</v>
      </c>
      <c r="C427" s="1" t="s">
        <v>210</v>
      </c>
      <c r="D427" s="1" t="s">
        <v>667</v>
      </c>
      <c r="E427" s="3" t="s">
        <v>345</v>
      </c>
    </row>
    <row r="428" spans="1:5" ht="409.5" x14ac:dyDescent="0.4">
      <c r="A428" s="1" t="s">
        <v>3</v>
      </c>
      <c r="B428" s="1" t="s">
        <v>721</v>
      </c>
      <c r="C428" s="1" t="s">
        <v>487</v>
      </c>
      <c r="D428" s="1" t="s">
        <v>557</v>
      </c>
      <c r="E428" s="3" t="s">
        <v>485</v>
      </c>
    </row>
    <row r="429" spans="1:5" ht="409.5" x14ac:dyDescent="0.4">
      <c r="A429" s="1" t="s">
        <v>3</v>
      </c>
      <c r="B429" s="1" t="s">
        <v>722</v>
      </c>
      <c r="C429" s="1" t="s">
        <v>210</v>
      </c>
      <c r="D429" s="1" t="s">
        <v>667</v>
      </c>
      <c r="E429" s="3" t="s">
        <v>345</v>
      </c>
    </row>
    <row r="430" spans="1:5" ht="409.5" x14ac:dyDescent="0.4">
      <c r="A430" s="1" t="s">
        <v>3</v>
      </c>
      <c r="B430" s="1" t="s">
        <v>722</v>
      </c>
      <c r="C430" s="1" t="s">
        <v>487</v>
      </c>
      <c r="D430" s="1" t="s">
        <v>557</v>
      </c>
      <c r="E430" s="3" t="s">
        <v>485</v>
      </c>
    </row>
    <row r="431" spans="1:5" ht="409.5" x14ac:dyDescent="0.4">
      <c r="A431" s="1" t="s">
        <v>3</v>
      </c>
      <c r="B431" s="1" t="s">
        <v>723</v>
      </c>
      <c r="C431" s="1" t="s">
        <v>210</v>
      </c>
      <c r="D431" s="1" t="s">
        <v>667</v>
      </c>
      <c r="E431" s="3" t="s">
        <v>345</v>
      </c>
    </row>
    <row r="432" spans="1:5" ht="409.5" x14ac:dyDescent="0.4">
      <c r="A432" s="1" t="s">
        <v>3</v>
      </c>
      <c r="B432" s="1" t="s">
        <v>723</v>
      </c>
      <c r="C432" s="1" t="s">
        <v>487</v>
      </c>
      <c r="D432" s="1" t="s">
        <v>557</v>
      </c>
      <c r="E432" s="3" t="s">
        <v>485</v>
      </c>
    </row>
    <row r="433" spans="1:5" ht="281.25" x14ac:dyDescent="0.4">
      <c r="A433" s="1" t="s">
        <v>3</v>
      </c>
      <c r="B433" s="1" t="s">
        <v>726</v>
      </c>
      <c r="C433" s="1" t="s">
        <v>82</v>
      </c>
      <c r="D433" s="1" t="s">
        <v>524</v>
      </c>
      <c r="E433" s="3" t="s">
        <v>727</v>
      </c>
    </row>
    <row r="434" spans="1:5" x14ac:dyDescent="0.4">
      <c r="A434" s="1" t="s">
        <v>3</v>
      </c>
      <c r="B434" s="1" t="s">
        <v>726</v>
      </c>
      <c r="C434" s="1" t="s">
        <v>82</v>
      </c>
      <c r="D434" s="1" t="s">
        <v>637</v>
      </c>
      <c r="E434" s="1" t="s">
        <v>123</v>
      </c>
    </row>
    <row r="435" spans="1:5" ht="150" x14ac:dyDescent="0.4">
      <c r="A435" s="1" t="s">
        <v>3</v>
      </c>
      <c r="B435" s="1" t="s">
        <v>735</v>
      </c>
      <c r="C435" s="1" t="s">
        <v>728</v>
      </c>
      <c r="D435" s="1" t="s">
        <v>669</v>
      </c>
      <c r="E435" s="3" t="s">
        <v>736</v>
      </c>
    </row>
    <row r="436" spans="1:5" ht="75" x14ac:dyDescent="0.4">
      <c r="A436" s="1" t="s">
        <v>3</v>
      </c>
      <c r="B436" s="1" t="s">
        <v>737</v>
      </c>
      <c r="C436" s="1" t="s">
        <v>82</v>
      </c>
      <c r="D436" s="1" t="s">
        <v>524</v>
      </c>
      <c r="E436" s="3" t="s">
        <v>738</v>
      </c>
    </row>
    <row r="437" spans="1:5" ht="75" x14ac:dyDescent="0.4">
      <c r="A437" s="1" t="s">
        <v>3</v>
      </c>
      <c r="B437" s="1" t="s">
        <v>737</v>
      </c>
      <c r="C437" s="1" t="s">
        <v>728</v>
      </c>
      <c r="D437" s="1" t="s">
        <v>669</v>
      </c>
      <c r="E437" s="3" t="s">
        <v>493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718C-487D-4526-96F3-EE15499EE009}">
  <dimension ref="A1:I7"/>
  <sheetViews>
    <sheetView workbookViewId="0"/>
  </sheetViews>
  <sheetFormatPr defaultRowHeight="18.75" x14ac:dyDescent="0.4"/>
  <cols>
    <col min="1" max="16384" width="9" style="2"/>
  </cols>
  <sheetData>
    <row r="1" spans="1:9" x14ac:dyDescent="0.4">
      <c r="A1" s="2" t="s">
        <v>36</v>
      </c>
      <c r="B1" s="2" t="s">
        <v>10</v>
      </c>
      <c r="C1" s="2" t="s">
        <v>11</v>
      </c>
      <c r="D1" s="2" t="s">
        <v>28</v>
      </c>
      <c r="E1" s="2" t="s">
        <v>25</v>
      </c>
      <c r="F1" s="2" t="s">
        <v>23</v>
      </c>
      <c r="G1" s="2" t="s">
        <v>24</v>
      </c>
      <c r="H1" s="2" t="s">
        <v>37</v>
      </c>
      <c r="I1" s="2" t="s">
        <v>30</v>
      </c>
    </row>
    <row r="2" spans="1:9" x14ac:dyDescent="0.4">
      <c r="A2" s="2" t="s">
        <v>605</v>
      </c>
      <c r="B2" s="2" t="s">
        <v>87</v>
      </c>
      <c r="C2" s="2" t="s">
        <v>472</v>
      </c>
      <c r="D2" s="2" t="s">
        <v>475</v>
      </c>
      <c r="E2" s="2" t="s">
        <v>1</v>
      </c>
      <c r="F2" s="2" t="s">
        <v>606</v>
      </c>
      <c r="G2" s="2" t="s">
        <v>558</v>
      </c>
      <c r="H2" s="2" t="s">
        <v>715</v>
      </c>
      <c r="I2" s="2" t="s">
        <v>385</v>
      </c>
    </row>
    <row r="3" spans="1:9" x14ac:dyDescent="0.4">
      <c r="A3" s="2" t="s">
        <v>625</v>
      </c>
      <c r="B3" s="2" t="s">
        <v>87</v>
      </c>
      <c r="C3" s="2" t="s">
        <v>263</v>
      </c>
      <c r="D3" s="2" t="s">
        <v>617</v>
      </c>
      <c r="E3" s="2" t="s">
        <v>1</v>
      </c>
      <c r="F3" s="2" t="s">
        <v>1</v>
      </c>
      <c r="G3" s="2" t="s">
        <v>1</v>
      </c>
      <c r="H3" s="2" t="s">
        <v>7</v>
      </c>
      <c r="I3" s="2" t="s">
        <v>385</v>
      </c>
    </row>
    <row r="4" spans="1:9" x14ac:dyDescent="0.4">
      <c r="A4" s="2" t="s">
        <v>604</v>
      </c>
      <c r="B4" s="2" t="s">
        <v>87</v>
      </c>
      <c r="C4" s="2" t="s">
        <v>263</v>
      </c>
      <c r="D4" s="2" t="s">
        <v>269</v>
      </c>
      <c r="E4" s="2" t="s">
        <v>1</v>
      </c>
      <c r="F4" s="2" t="s">
        <v>1</v>
      </c>
      <c r="G4" s="2" t="s">
        <v>1</v>
      </c>
      <c r="H4" s="2" t="s">
        <v>7</v>
      </c>
      <c r="I4" s="2" t="s">
        <v>385</v>
      </c>
    </row>
    <row r="5" spans="1:9" x14ac:dyDescent="0.4">
      <c r="A5" s="2" t="s">
        <v>698</v>
      </c>
      <c r="B5" s="2" t="s">
        <v>158</v>
      </c>
      <c r="C5" s="2" t="s">
        <v>360</v>
      </c>
      <c r="D5" s="2" t="s">
        <v>368</v>
      </c>
      <c r="E5" s="2" t="s">
        <v>1</v>
      </c>
      <c r="F5" s="2" t="s">
        <v>365</v>
      </c>
      <c r="G5" s="2" t="s">
        <v>366</v>
      </c>
      <c r="H5" s="2" t="s">
        <v>375</v>
      </c>
      <c r="I5" s="2" t="s">
        <v>385</v>
      </c>
    </row>
    <row r="6" spans="1:9" x14ac:dyDescent="0.4">
      <c r="A6" s="2" t="s">
        <v>699</v>
      </c>
      <c r="B6" s="2" t="s">
        <v>158</v>
      </c>
      <c r="C6" s="2" t="s">
        <v>416</v>
      </c>
      <c r="D6" s="2" t="s">
        <v>424</v>
      </c>
      <c r="E6" s="2" t="s">
        <v>1</v>
      </c>
      <c r="F6" s="2" t="s">
        <v>421</v>
      </c>
      <c r="G6" s="2" t="s">
        <v>422</v>
      </c>
      <c r="H6" s="2" t="s">
        <v>7</v>
      </c>
      <c r="I6" s="2" t="s">
        <v>385</v>
      </c>
    </row>
    <row r="7" spans="1:9" x14ac:dyDescent="0.4">
      <c r="A7" s="2" t="s">
        <v>700</v>
      </c>
      <c r="B7" s="2" t="s">
        <v>158</v>
      </c>
      <c r="C7" s="2" t="s">
        <v>360</v>
      </c>
      <c r="D7" s="2" t="s">
        <v>368</v>
      </c>
      <c r="E7" s="2" t="s">
        <v>1</v>
      </c>
      <c r="F7" s="2" t="s">
        <v>365</v>
      </c>
      <c r="G7" s="2" t="s">
        <v>366</v>
      </c>
      <c r="H7" s="2" t="s">
        <v>610</v>
      </c>
      <c r="I7" s="2" t="s">
        <v>391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65F3-09A7-468D-BF87-62DA033A6C91}">
  <dimension ref="A1:AC48"/>
  <sheetViews>
    <sheetView workbookViewId="0"/>
  </sheetViews>
  <sheetFormatPr defaultRowHeight="18.75" x14ac:dyDescent="0.4"/>
  <cols>
    <col min="1" max="16384" width="9" style="2"/>
  </cols>
  <sheetData>
    <row r="1" spans="1:29" x14ac:dyDescent="0.4">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c r="Z1" s="2" t="s">
        <v>517</v>
      </c>
      <c r="AA1" s="2" t="s">
        <v>518</v>
      </c>
      <c r="AB1" s="2" t="s">
        <v>34</v>
      </c>
      <c r="AC1" s="2" t="s">
        <v>35</v>
      </c>
    </row>
    <row r="2" spans="1:29" x14ac:dyDescent="0.4">
      <c r="A2" s="2" t="s">
        <v>82</v>
      </c>
      <c r="B2" s="2" t="s">
        <v>87</v>
      </c>
      <c r="C2" s="2" t="s">
        <v>88</v>
      </c>
      <c r="D2" s="2" t="s">
        <v>89</v>
      </c>
      <c r="E2" s="2" t="s">
        <v>7</v>
      </c>
      <c r="F2" s="2" t="s">
        <v>90</v>
      </c>
      <c r="G2" s="2" t="s">
        <v>91</v>
      </c>
      <c r="H2" s="2" t="s">
        <v>92</v>
      </c>
      <c r="I2" s="2" t="s">
        <v>93</v>
      </c>
      <c r="K2" s="2" t="s">
        <v>94</v>
      </c>
      <c r="L2" s="2" t="s">
        <v>1</v>
      </c>
      <c r="M2" s="2" t="s">
        <v>7</v>
      </c>
      <c r="N2" s="2" t="s">
        <v>1</v>
      </c>
      <c r="O2" s="2" t="s">
        <v>1</v>
      </c>
      <c r="P2" s="2" t="s">
        <v>1</v>
      </c>
      <c r="Q2" s="2" t="s">
        <v>1</v>
      </c>
      <c r="R2" s="2" t="s">
        <v>1</v>
      </c>
      <c r="S2" s="2" t="s">
        <v>524</v>
      </c>
      <c r="T2" s="2" t="s">
        <v>1</v>
      </c>
      <c r="U2" s="2" t="s">
        <v>1</v>
      </c>
      <c r="V2" s="2" t="s">
        <v>385</v>
      </c>
      <c r="W2" s="2" t="s">
        <v>1</v>
      </c>
      <c r="X2" s="2" t="s">
        <v>94</v>
      </c>
      <c r="Z2" s="2" t="s">
        <v>94</v>
      </c>
      <c r="AA2" s="2" t="s">
        <v>1</v>
      </c>
      <c r="AB2" s="2" t="s">
        <v>1</v>
      </c>
      <c r="AC2" s="2" t="s">
        <v>1</v>
      </c>
    </row>
    <row r="3" spans="1:29" x14ac:dyDescent="0.4">
      <c r="A3" s="2" t="s">
        <v>81</v>
      </c>
      <c r="B3" s="2" t="s">
        <v>87</v>
      </c>
      <c r="C3" s="2" t="s">
        <v>88</v>
      </c>
      <c r="D3" s="2" t="s">
        <v>96</v>
      </c>
      <c r="E3" s="2" t="s">
        <v>7</v>
      </c>
      <c r="F3" s="2" t="s">
        <v>97</v>
      </c>
      <c r="G3" s="2" t="s">
        <v>91</v>
      </c>
      <c r="H3" s="2" t="s">
        <v>98</v>
      </c>
      <c r="I3" s="2" t="s">
        <v>93</v>
      </c>
      <c r="K3" s="2" t="s">
        <v>94</v>
      </c>
      <c r="L3" s="2" t="s">
        <v>1</v>
      </c>
      <c r="M3" s="2" t="s">
        <v>1</v>
      </c>
      <c r="N3" s="2" t="s">
        <v>215</v>
      </c>
      <c r="O3" s="2" t="s">
        <v>1</v>
      </c>
      <c r="P3" s="2" t="s">
        <v>1</v>
      </c>
      <c r="Q3" s="2" t="s">
        <v>1</v>
      </c>
      <c r="R3" s="2" t="s">
        <v>1</v>
      </c>
      <c r="S3" s="2" t="s">
        <v>638</v>
      </c>
      <c r="T3" s="2" t="s">
        <v>1</v>
      </c>
      <c r="U3" s="2" t="s">
        <v>1</v>
      </c>
      <c r="V3" s="2" t="s">
        <v>385</v>
      </c>
      <c r="W3" s="2" t="s">
        <v>1</v>
      </c>
      <c r="X3" s="2" t="s">
        <v>94</v>
      </c>
      <c r="Z3" s="2" t="s">
        <v>94</v>
      </c>
      <c r="AA3" s="2" t="s">
        <v>1</v>
      </c>
      <c r="AB3" s="2" t="s">
        <v>1</v>
      </c>
      <c r="AC3" s="2" t="s">
        <v>7</v>
      </c>
    </row>
    <row r="4" spans="1:29" x14ac:dyDescent="0.4">
      <c r="A4" s="2" t="s">
        <v>136</v>
      </c>
      <c r="B4" s="2" t="s">
        <v>87</v>
      </c>
      <c r="C4" s="2" t="s">
        <v>88</v>
      </c>
      <c r="D4" s="2" t="s">
        <v>143</v>
      </c>
      <c r="E4" s="2" t="s">
        <v>7</v>
      </c>
      <c r="F4" s="2" t="s">
        <v>144</v>
      </c>
      <c r="G4" s="2" t="s">
        <v>91</v>
      </c>
      <c r="H4" s="2" t="s">
        <v>145</v>
      </c>
      <c r="I4" s="2" t="s">
        <v>93</v>
      </c>
      <c r="K4" s="2" t="s">
        <v>94</v>
      </c>
      <c r="L4" s="2" t="s">
        <v>1</v>
      </c>
      <c r="M4" s="2" t="s">
        <v>1</v>
      </c>
      <c r="N4" s="2" t="s">
        <v>473</v>
      </c>
      <c r="O4" s="2" t="s">
        <v>1</v>
      </c>
      <c r="P4" s="2" t="s">
        <v>1</v>
      </c>
      <c r="Q4" s="2" t="s">
        <v>1</v>
      </c>
      <c r="R4" s="2" t="s">
        <v>1</v>
      </c>
      <c r="S4" s="2" t="s">
        <v>639</v>
      </c>
      <c r="T4" s="2" t="s">
        <v>1</v>
      </c>
      <c r="U4" s="2" t="s">
        <v>1</v>
      </c>
      <c r="V4" s="2" t="s">
        <v>385</v>
      </c>
      <c r="W4" s="2" t="s">
        <v>1</v>
      </c>
      <c r="X4" s="2" t="s">
        <v>94</v>
      </c>
      <c r="Z4" s="2" t="s">
        <v>94</v>
      </c>
      <c r="AA4" s="2" t="s">
        <v>1</v>
      </c>
      <c r="AB4" s="2" t="s">
        <v>1</v>
      </c>
      <c r="AC4" s="2" t="s">
        <v>7</v>
      </c>
    </row>
    <row r="5" spans="1:29" x14ac:dyDescent="0.4">
      <c r="A5" s="2" t="s">
        <v>83</v>
      </c>
      <c r="B5" s="2" t="s">
        <v>87</v>
      </c>
      <c r="C5" s="2" t="s">
        <v>88</v>
      </c>
      <c r="D5" s="2" t="s">
        <v>100</v>
      </c>
      <c r="E5" s="2" t="s">
        <v>7</v>
      </c>
      <c r="F5" s="2" t="s">
        <v>101</v>
      </c>
      <c r="G5" s="2" t="s">
        <v>91</v>
      </c>
      <c r="H5" s="2" t="s">
        <v>102</v>
      </c>
      <c r="I5" s="2" t="s">
        <v>93</v>
      </c>
      <c r="J5" s="2" t="s">
        <v>716</v>
      </c>
      <c r="K5" s="2" t="s">
        <v>94</v>
      </c>
      <c r="L5" s="2" t="s">
        <v>1</v>
      </c>
      <c r="M5" s="2" t="s">
        <v>7</v>
      </c>
      <c r="N5" s="2" t="s">
        <v>1</v>
      </c>
      <c r="O5" s="2" t="s">
        <v>1</v>
      </c>
      <c r="P5" s="2" t="s">
        <v>1</v>
      </c>
      <c r="Q5" s="2" t="s">
        <v>1</v>
      </c>
      <c r="R5" s="2" t="s">
        <v>1</v>
      </c>
      <c r="S5" s="2" t="s">
        <v>640</v>
      </c>
      <c r="T5" s="2" t="s">
        <v>1</v>
      </c>
      <c r="U5" s="2" t="s">
        <v>1</v>
      </c>
      <c r="V5" s="2" t="s">
        <v>385</v>
      </c>
      <c r="W5" s="2" t="s">
        <v>1</v>
      </c>
      <c r="X5" s="2" t="s">
        <v>94</v>
      </c>
      <c r="Z5" s="2" t="s">
        <v>94</v>
      </c>
      <c r="AA5" s="2" t="s">
        <v>1</v>
      </c>
      <c r="AB5" s="2" t="s">
        <v>1</v>
      </c>
      <c r="AC5" s="2" t="s">
        <v>1</v>
      </c>
    </row>
    <row r="6" spans="1:29" x14ac:dyDescent="0.4">
      <c r="A6" s="2" t="s">
        <v>85</v>
      </c>
      <c r="B6" s="2" t="s">
        <v>87</v>
      </c>
      <c r="C6" s="2" t="s">
        <v>88</v>
      </c>
      <c r="D6" s="2" t="s">
        <v>104</v>
      </c>
      <c r="E6" s="2" t="s">
        <v>7</v>
      </c>
      <c r="F6" s="2" t="s">
        <v>105</v>
      </c>
      <c r="G6" s="2" t="s">
        <v>106</v>
      </c>
      <c r="H6" s="2" t="s">
        <v>528</v>
      </c>
      <c r="I6" s="2" t="s">
        <v>107</v>
      </c>
      <c r="K6" s="2" t="s">
        <v>94</v>
      </c>
      <c r="L6" s="2" t="s">
        <v>1</v>
      </c>
      <c r="M6" s="2" t="s">
        <v>1</v>
      </c>
      <c r="N6" s="2" t="s">
        <v>1</v>
      </c>
      <c r="O6" s="2" t="s">
        <v>1</v>
      </c>
      <c r="P6" s="2" t="s">
        <v>1</v>
      </c>
      <c r="Q6" s="2" t="s">
        <v>1</v>
      </c>
      <c r="R6" s="2" t="s">
        <v>1</v>
      </c>
      <c r="S6" s="2" t="s">
        <v>641</v>
      </c>
      <c r="T6" s="2" t="s">
        <v>1</v>
      </c>
      <c r="U6" s="2" t="s">
        <v>1</v>
      </c>
      <c r="V6" s="2" t="s">
        <v>385</v>
      </c>
      <c r="W6" s="2" t="s">
        <v>1</v>
      </c>
      <c r="X6" s="2" t="s">
        <v>94</v>
      </c>
      <c r="Z6" s="2" t="s">
        <v>94</v>
      </c>
      <c r="AA6" s="2" t="s">
        <v>1</v>
      </c>
      <c r="AB6" s="2" t="s">
        <v>1</v>
      </c>
      <c r="AC6" s="2" t="s">
        <v>1</v>
      </c>
    </row>
    <row r="7" spans="1:29" x14ac:dyDescent="0.4">
      <c r="A7" s="2" t="s">
        <v>137</v>
      </c>
      <c r="B7" s="2" t="s">
        <v>87</v>
      </c>
      <c r="C7" s="2" t="s">
        <v>88</v>
      </c>
      <c r="D7" s="2" t="s">
        <v>149</v>
      </c>
      <c r="E7" s="2" t="s">
        <v>7</v>
      </c>
      <c r="F7" s="2" t="s">
        <v>150</v>
      </c>
      <c r="G7" s="2" t="s">
        <v>91</v>
      </c>
      <c r="H7" s="2" t="s">
        <v>151</v>
      </c>
      <c r="I7" s="2" t="s">
        <v>93</v>
      </c>
      <c r="J7" s="2" t="s">
        <v>717</v>
      </c>
      <c r="K7" s="2" t="s">
        <v>94</v>
      </c>
      <c r="L7" s="2" t="s">
        <v>1</v>
      </c>
      <c r="M7" s="2" t="s">
        <v>1</v>
      </c>
      <c r="N7" s="2" t="s">
        <v>473</v>
      </c>
      <c r="O7" s="2" t="s">
        <v>1</v>
      </c>
      <c r="P7" s="2" t="s">
        <v>1</v>
      </c>
      <c r="Q7" s="2" t="s">
        <v>1</v>
      </c>
      <c r="R7" s="2" t="s">
        <v>1</v>
      </c>
      <c r="S7" s="2" t="s">
        <v>642</v>
      </c>
      <c r="T7" s="2" t="s">
        <v>1</v>
      </c>
      <c r="U7" s="2" t="s">
        <v>1</v>
      </c>
      <c r="V7" s="2" t="s">
        <v>385</v>
      </c>
      <c r="W7" s="2" t="s">
        <v>1</v>
      </c>
      <c r="X7" s="2" t="s">
        <v>94</v>
      </c>
      <c r="Z7" s="2" t="s">
        <v>94</v>
      </c>
      <c r="AA7" s="2" t="s">
        <v>1</v>
      </c>
      <c r="AB7" s="2" t="s">
        <v>1</v>
      </c>
      <c r="AC7" s="2" t="s">
        <v>7</v>
      </c>
    </row>
    <row r="8" spans="1:29" x14ac:dyDescent="0.4">
      <c r="A8" s="2" t="s">
        <v>84</v>
      </c>
      <c r="B8" s="2" t="s">
        <v>87</v>
      </c>
      <c r="C8" s="2" t="s">
        <v>88</v>
      </c>
      <c r="D8" s="2" t="s">
        <v>109</v>
      </c>
      <c r="E8" s="2" t="s">
        <v>7</v>
      </c>
      <c r="F8" s="2" t="s">
        <v>110</v>
      </c>
      <c r="G8" s="2" t="s">
        <v>111</v>
      </c>
      <c r="H8" s="2" t="s">
        <v>112</v>
      </c>
      <c r="I8" s="2" t="s">
        <v>93</v>
      </c>
      <c r="K8" s="2" t="s">
        <v>94</v>
      </c>
      <c r="L8" s="2" t="s">
        <v>1</v>
      </c>
      <c r="M8" s="2" t="s">
        <v>7</v>
      </c>
      <c r="N8" s="2" t="s">
        <v>1</v>
      </c>
      <c r="O8" s="2" t="s">
        <v>1</v>
      </c>
      <c r="P8" s="2" t="s">
        <v>1</v>
      </c>
      <c r="Q8" s="2" t="s">
        <v>1</v>
      </c>
      <c r="R8" s="2" t="s">
        <v>1</v>
      </c>
      <c r="S8" s="2" t="s">
        <v>643</v>
      </c>
      <c r="T8" s="2" t="s">
        <v>1</v>
      </c>
      <c r="U8" s="2" t="s">
        <v>1</v>
      </c>
      <c r="V8" s="2" t="s">
        <v>385</v>
      </c>
      <c r="W8" s="2" t="s">
        <v>1</v>
      </c>
      <c r="X8" s="2" t="s">
        <v>94</v>
      </c>
      <c r="Z8" s="2" t="s">
        <v>94</v>
      </c>
      <c r="AA8" s="2" t="s">
        <v>1</v>
      </c>
      <c r="AB8" s="2" t="s">
        <v>1</v>
      </c>
      <c r="AC8" s="2" t="s">
        <v>1</v>
      </c>
    </row>
    <row r="9" spans="1:29" x14ac:dyDescent="0.4">
      <c r="A9" s="2" t="s">
        <v>138</v>
      </c>
      <c r="B9" s="2" t="s">
        <v>87</v>
      </c>
      <c r="C9" s="2" t="s">
        <v>88</v>
      </c>
      <c r="D9" s="2" t="s">
        <v>154</v>
      </c>
      <c r="E9" s="2" t="s">
        <v>7</v>
      </c>
      <c r="F9" s="2" t="s">
        <v>155</v>
      </c>
      <c r="G9" s="2" t="s">
        <v>91</v>
      </c>
      <c r="H9" s="2" t="s">
        <v>156</v>
      </c>
      <c r="I9" s="2" t="s">
        <v>93</v>
      </c>
      <c r="K9" s="2" t="s">
        <v>94</v>
      </c>
      <c r="L9" s="2" t="s">
        <v>1</v>
      </c>
      <c r="M9" s="2" t="s">
        <v>1</v>
      </c>
      <c r="N9" s="2" t="s">
        <v>644</v>
      </c>
      <c r="O9" s="2" t="s">
        <v>1</v>
      </c>
      <c r="P9" s="2" t="s">
        <v>1</v>
      </c>
      <c r="Q9" s="2" t="s">
        <v>1</v>
      </c>
      <c r="R9" s="2" t="s">
        <v>1</v>
      </c>
      <c r="S9" s="2" t="s">
        <v>645</v>
      </c>
      <c r="T9" s="2" t="s">
        <v>1</v>
      </c>
      <c r="U9" s="2" t="s">
        <v>1</v>
      </c>
      <c r="V9" s="2" t="s">
        <v>385</v>
      </c>
      <c r="W9" s="2" t="s">
        <v>1</v>
      </c>
      <c r="X9" s="2" t="s">
        <v>94</v>
      </c>
      <c r="Z9" s="2" t="s">
        <v>94</v>
      </c>
      <c r="AA9" s="2" t="s">
        <v>1</v>
      </c>
      <c r="AB9" s="2" t="s">
        <v>1</v>
      </c>
      <c r="AC9" s="2" t="s">
        <v>7</v>
      </c>
    </row>
    <row r="10" spans="1:29" x14ac:dyDescent="0.4">
      <c r="A10" s="2" t="s">
        <v>139</v>
      </c>
      <c r="B10" s="2" t="s">
        <v>158</v>
      </c>
      <c r="C10" s="2" t="s">
        <v>159</v>
      </c>
      <c r="D10" s="2" t="s">
        <v>160</v>
      </c>
      <c r="E10" s="2" t="s">
        <v>161</v>
      </c>
      <c r="F10" s="2" t="s">
        <v>162</v>
      </c>
      <c r="G10" s="2" t="s">
        <v>91</v>
      </c>
      <c r="H10" s="2" t="s">
        <v>163</v>
      </c>
      <c r="I10" s="2" t="s">
        <v>93</v>
      </c>
      <c r="K10" s="2" t="s">
        <v>94</v>
      </c>
      <c r="L10" s="2" t="s">
        <v>1</v>
      </c>
      <c r="M10" s="2" t="s">
        <v>1</v>
      </c>
      <c r="N10" s="2" t="s">
        <v>646</v>
      </c>
      <c r="O10" s="2" t="s">
        <v>1</v>
      </c>
      <c r="P10" s="2" t="s">
        <v>1</v>
      </c>
      <c r="Q10" s="2" t="s">
        <v>1</v>
      </c>
      <c r="R10" s="2" t="s">
        <v>1</v>
      </c>
      <c r="S10" s="2" t="s">
        <v>647</v>
      </c>
      <c r="T10" s="2" t="s">
        <v>1</v>
      </c>
      <c r="U10" s="2" t="s">
        <v>1</v>
      </c>
      <c r="V10" s="2" t="s">
        <v>385</v>
      </c>
      <c r="W10" s="2" t="s">
        <v>1</v>
      </c>
      <c r="X10" s="2" t="s">
        <v>94</v>
      </c>
      <c r="Z10" s="2" t="s">
        <v>94</v>
      </c>
      <c r="AA10" s="2" t="s">
        <v>1</v>
      </c>
      <c r="AB10" s="2" t="s">
        <v>1</v>
      </c>
      <c r="AC10" s="2" t="s">
        <v>7</v>
      </c>
    </row>
    <row r="11" spans="1:29" x14ac:dyDescent="0.4">
      <c r="A11" s="2" t="s">
        <v>197</v>
      </c>
      <c r="B11" s="2" t="s">
        <v>87</v>
      </c>
      <c r="C11" s="2" t="s">
        <v>213</v>
      </c>
      <c r="D11" s="2" t="s">
        <v>214</v>
      </c>
      <c r="E11" s="2" t="s">
        <v>215</v>
      </c>
      <c r="F11" s="2" t="s">
        <v>216</v>
      </c>
      <c r="G11" s="2" t="s">
        <v>91</v>
      </c>
      <c r="H11" s="2" t="s">
        <v>217</v>
      </c>
      <c r="I11" s="2" t="s">
        <v>93</v>
      </c>
      <c r="K11" s="2" t="s">
        <v>94</v>
      </c>
      <c r="L11" s="2" t="s">
        <v>1</v>
      </c>
      <c r="M11" s="2" t="s">
        <v>7</v>
      </c>
      <c r="N11" s="2" t="s">
        <v>1</v>
      </c>
      <c r="O11" s="2" t="s">
        <v>1</v>
      </c>
      <c r="P11" s="2" t="s">
        <v>1</v>
      </c>
      <c r="Q11" s="2" t="s">
        <v>1</v>
      </c>
      <c r="R11" s="2" t="s">
        <v>1</v>
      </c>
      <c r="S11" s="2" t="s">
        <v>648</v>
      </c>
      <c r="T11" s="2" t="s">
        <v>1</v>
      </c>
      <c r="U11" s="2" t="s">
        <v>1</v>
      </c>
      <c r="V11" s="2" t="s">
        <v>385</v>
      </c>
      <c r="W11" s="2" t="s">
        <v>1</v>
      </c>
      <c r="X11" s="2" t="s">
        <v>94</v>
      </c>
      <c r="Z11" s="2" t="s">
        <v>94</v>
      </c>
      <c r="AA11" s="2" t="s">
        <v>1</v>
      </c>
      <c r="AB11" s="2" t="s">
        <v>1</v>
      </c>
      <c r="AC11" s="2" t="s">
        <v>1</v>
      </c>
    </row>
    <row r="12" spans="1:29" x14ac:dyDescent="0.4">
      <c r="A12" s="2" t="s">
        <v>198</v>
      </c>
      <c r="B12" s="2" t="s">
        <v>87</v>
      </c>
      <c r="C12" s="2" t="s">
        <v>213</v>
      </c>
      <c r="D12" s="2" t="s">
        <v>219</v>
      </c>
      <c r="E12" s="2" t="s">
        <v>215</v>
      </c>
      <c r="F12" s="2" t="s">
        <v>220</v>
      </c>
      <c r="G12" s="2" t="s">
        <v>106</v>
      </c>
      <c r="H12" s="2" t="s">
        <v>528</v>
      </c>
      <c r="I12" s="2" t="s">
        <v>107</v>
      </c>
      <c r="K12" s="2" t="s">
        <v>94</v>
      </c>
      <c r="L12" s="2" t="s">
        <v>1</v>
      </c>
      <c r="M12" s="2" t="s">
        <v>7</v>
      </c>
      <c r="N12" s="2" t="s">
        <v>1</v>
      </c>
      <c r="O12" s="2" t="s">
        <v>1</v>
      </c>
      <c r="P12" s="2" t="s">
        <v>1</v>
      </c>
      <c r="Q12" s="2" t="s">
        <v>1</v>
      </c>
      <c r="R12" s="2" t="s">
        <v>1</v>
      </c>
      <c r="S12" s="2" t="s">
        <v>649</v>
      </c>
      <c r="T12" s="2" t="s">
        <v>1</v>
      </c>
      <c r="U12" s="2" t="s">
        <v>1</v>
      </c>
      <c r="V12" s="2" t="s">
        <v>385</v>
      </c>
      <c r="W12" s="2" t="s">
        <v>1</v>
      </c>
      <c r="X12" s="2" t="s">
        <v>94</v>
      </c>
      <c r="Z12" s="2" t="s">
        <v>94</v>
      </c>
      <c r="AA12" s="2" t="s">
        <v>1</v>
      </c>
      <c r="AB12" s="2" t="s">
        <v>1</v>
      </c>
      <c r="AC12" s="2" t="s">
        <v>1</v>
      </c>
    </row>
    <row r="13" spans="1:29" x14ac:dyDescent="0.4">
      <c r="A13" s="2" t="s">
        <v>140</v>
      </c>
      <c r="B13" s="2" t="s">
        <v>158</v>
      </c>
      <c r="C13" s="2" t="s">
        <v>165</v>
      </c>
      <c r="D13" s="2" t="s">
        <v>166</v>
      </c>
      <c r="E13" s="2" t="s">
        <v>167</v>
      </c>
      <c r="F13" s="2" t="s">
        <v>168</v>
      </c>
      <c r="G13" s="2" t="s">
        <v>91</v>
      </c>
      <c r="H13" s="2" t="s">
        <v>169</v>
      </c>
      <c r="I13" s="2" t="s">
        <v>93</v>
      </c>
      <c r="K13" s="2" t="s">
        <v>94</v>
      </c>
      <c r="L13" s="2" t="s">
        <v>1</v>
      </c>
      <c r="M13" s="2" t="s">
        <v>7</v>
      </c>
      <c r="N13" s="2" t="s">
        <v>1</v>
      </c>
      <c r="O13" s="2" t="s">
        <v>1</v>
      </c>
      <c r="P13" s="2" t="s">
        <v>1</v>
      </c>
      <c r="Q13" s="2" t="s">
        <v>1</v>
      </c>
      <c r="R13" s="2" t="s">
        <v>1</v>
      </c>
      <c r="S13" s="2" t="s">
        <v>650</v>
      </c>
      <c r="T13" s="2" t="s">
        <v>1</v>
      </c>
      <c r="U13" s="2" t="s">
        <v>1</v>
      </c>
      <c r="V13" s="2" t="s">
        <v>385</v>
      </c>
      <c r="W13" s="2" t="s">
        <v>1</v>
      </c>
      <c r="X13" s="2" t="s">
        <v>94</v>
      </c>
      <c r="Z13" s="2" t="s">
        <v>94</v>
      </c>
      <c r="AA13" s="2" t="s">
        <v>1</v>
      </c>
      <c r="AB13" s="2" t="s">
        <v>1</v>
      </c>
      <c r="AC13" s="2" t="s">
        <v>1</v>
      </c>
    </row>
    <row r="14" spans="1:29" x14ac:dyDescent="0.4">
      <c r="A14" s="2" t="s">
        <v>184</v>
      </c>
      <c r="B14" s="2" t="s">
        <v>1</v>
      </c>
      <c r="C14" s="2" t="s">
        <v>1</v>
      </c>
      <c r="D14" s="2" t="s">
        <v>1</v>
      </c>
      <c r="E14" s="2" t="s">
        <v>1</v>
      </c>
      <c r="F14" s="2" t="s">
        <v>1</v>
      </c>
      <c r="G14" s="2" t="s">
        <v>111</v>
      </c>
      <c r="H14" s="2" t="s">
        <v>222</v>
      </c>
      <c r="I14" s="2" t="s">
        <v>2</v>
      </c>
      <c r="K14" s="2" t="s">
        <v>94</v>
      </c>
      <c r="L14" s="2" t="s">
        <v>1</v>
      </c>
      <c r="M14" s="2" t="s">
        <v>1</v>
      </c>
      <c r="N14" s="2" t="s">
        <v>1</v>
      </c>
      <c r="O14" s="2" t="s">
        <v>1</v>
      </c>
      <c r="P14" s="2" t="s">
        <v>1</v>
      </c>
      <c r="Q14" s="2" t="s">
        <v>1</v>
      </c>
      <c r="R14" s="2" t="s">
        <v>1</v>
      </c>
      <c r="S14" s="2" t="s">
        <v>537</v>
      </c>
      <c r="T14" s="2" t="s">
        <v>1</v>
      </c>
      <c r="U14" s="2" t="s">
        <v>1</v>
      </c>
      <c r="V14" s="2" t="s">
        <v>385</v>
      </c>
      <c r="W14" s="2" t="s">
        <v>1</v>
      </c>
      <c r="X14" s="2" t="s">
        <v>224</v>
      </c>
      <c r="Z14" s="2" t="s">
        <v>224</v>
      </c>
      <c r="AA14" s="2" t="s">
        <v>1</v>
      </c>
      <c r="AB14" s="2" t="s">
        <v>1</v>
      </c>
      <c r="AC14" s="2" t="s">
        <v>1</v>
      </c>
    </row>
    <row r="15" spans="1:29" x14ac:dyDescent="0.4">
      <c r="A15" s="2" t="s">
        <v>199</v>
      </c>
      <c r="B15" s="2" t="s">
        <v>87</v>
      </c>
      <c r="C15" s="2" t="s">
        <v>213</v>
      </c>
      <c r="D15" s="2" t="s">
        <v>225</v>
      </c>
      <c r="E15" s="2" t="s">
        <v>215</v>
      </c>
      <c r="F15" s="2" t="s">
        <v>226</v>
      </c>
      <c r="G15" s="2" t="s">
        <v>91</v>
      </c>
      <c r="H15" s="2" t="s">
        <v>227</v>
      </c>
      <c r="I15" s="2" t="s">
        <v>93</v>
      </c>
      <c r="K15" s="2" t="s">
        <v>94</v>
      </c>
      <c r="L15" s="2" t="s">
        <v>1</v>
      </c>
      <c r="M15" s="2" t="s">
        <v>7</v>
      </c>
      <c r="N15" s="2" t="s">
        <v>1</v>
      </c>
      <c r="O15" s="2" t="s">
        <v>1</v>
      </c>
      <c r="P15" s="2" t="s">
        <v>1</v>
      </c>
      <c r="Q15" s="2" t="s">
        <v>1</v>
      </c>
      <c r="R15" s="2" t="s">
        <v>1</v>
      </c>
      <c r="S15" s="2" t="s">
        <v>651</v>
      </c>
      <c r="T15" s="2" t="s">
        <v>1</v>
      </c>
      <c r="U15" s="2" t="s">
        <v>1</v>
      </c>
      <c r="V15" s="2" t="s">
        <v>385</v>
      </c>
      <c r="W15" s="2" t="s">
        <v>1</v>
      </c>
      <c r="X15" s="2" t="s">
        <v>94</v>
      </c>
      <c r="Z15" s="2" t="s">
        <v>94</v>
      </c>
      <c r="AA15" s="2" t="s">
        <v>1</v>
      </c>
      <c r="AB15" s="2" t="s">
        <v>1</v>
      </c>
      <c r="AC15" s="2" t="s">
        <v>1</v>
      </c>
    </row>
    <row r="16" spans="1:29" x14ac:dyDescent="0.4">
      <c r="A16" s="2" t="s">
        <v>186</v>
      </c>
      <c r="B16" s="2" t="s">
        <v>158</v>
      </c>
      <c r="C16" s="2" t="s">
        <v>159</v>
      </c>
      <c r="D16" s="2" t="s">
        <v>229</v>
      </c>
      <c r="E16" s="2" t="s">
        <v>161</v>
      </c>
      <c r="F16" s="2" t="s">
        <v>230</v>
      </c>
      <c r="G16" s="2" t="s">
        <v>91</v>
      </c>
      <c r="H16" s="2" t="s">
        <v>231</v>
      </c>
      <c r="I16" s="2" t="s">
        <v>93</v>
      </c>
      <c r="K16" s="2" t="s">
        <v>94</v>
      </c>
      <c r="L16" s="2" t="s">
        <v>1</v>
      </c>
      <c r="M16" s="2" t="s">
        <v>1</v>
      </c>
      <c r="N16" s="2" t="s">
        <v>646</v>
      </c>
      <c r="O16" s="2" t="s">
        <v>1</v>
      </c>
      <c r="P16" s="2" t="s">
        <v>1</v>
      </c>
      <c r="Q16" s="2" t="s">
        <v>1</v>
      </c>
      <c r="R16" s="2" t="s">
        <v>1</v>
      </c>
      <c r="S16" s="2" t="s">
        <v>652</v>
      </c>
      <c r="T16" s="2" t="s">
        <v>1</v>
      </c>
      <c r="U16" s="2" t="s">
        <v>1</v>
      </c>
      <c r="V16" s="2" t="s">
        <v>385</v>
      </c>
      <c r="W16" s="2" t="s">
        <v>1</v>
      </c>
      <c r="X16" s="2" t="s">
        <v>94</v>
      </c>
      <c r="Z16" s="2" t="s">
        <v>94</v>
      </c>
      <c r="AA16" s="2" t="s">
        <v>1</v>
      </c>
      <c r="AB16" s="2" t="s">
        <v>1</v>
      </c>
      <c r="AC16" s="2" t="s">
        <v>7</v>
      </c>
    </row>
    <row r="17" spans="1:29" x14ac:dyDescent="0.4">
      <c r="A17" s="2" t="s">
        <v>337</v>
      </c>
      <c r="B17" s="2" t="s">
        <v>158</v>
      </c>
      <c r="C17" s="2" t="s">
        <v>159</v>
      </c>
      <c r="D17" s="2" t="s">
        <v>234</v>
      </c>
      <c r="E17" s="2" t="s">
        <v>246</v>
      </c>
      <c r="F17" s="2" t="s">
        <v>235</v>
      </c>
      <c r="G17" s="2" t="s">
        <v>91</v>
      </c>
      <c r="H17" s="2" t="s">
        <v>341</v>
      </c>
      <c r="I17" s="2" t="s">
        <v>93</v>
      </c>
      <c r="K17" s="2" t="s">
        <v>94</v>
      </c>
      <c r="L17" s="2" t="s">
        <v>1</v>
      </c>
      <c r="M17" s="2" t="s">
        <v>1</v>
      </c>
      <c r="N17" s="2" t="s">
        <v>646</v>
      </c>
      <c r="O17" s="2" t="s">
        <v>1</v>
      </c>
      <c r="P17" s="2" t="s">
        <v>1</v>
      </c>
      <c r="Q17" s="2" t="s">
        <v>1</v>
      </c>
      <c r="R17" s="2" t="s">
        <v>1</v>
      </c>
      <c r="S17" s="2" t="s">
        <v>653</v>
      </c>
      <c r="T17" s="2" t="s">
        <v>1</v>
      </c>
      <c r="U17" s="2" t="s">
        <v>1</v>
      </c>
      <c r="V17" s="2" t="s">
        <v>385</v>
      </c>
      <c r="W17" s="2" t="s">
        <v>1</v>
      </c>
      <c r="X17" s="2" t="s">
        <v>94</v>
      </c>
      <c r="Z17" s="2" t="s">
        <v>94</v>
      </c>
      <c r="AA17" s="2" t="s">
        <v>1</v>
      </c>
      <c r="AB17" s="2" t="s">
        <v>1</v>
      </c>
      <c r="AC17" s="2" t="s">
        <v>7</v>
      </c>
    </row>
    <row r="18" spans="1:29" x14ac:dyDescent="0.4">
      <c r="A18" s="2" t="s">
        <v>201</v>
      </c>
      <c r="B18" s="2" t="s">
        <v>158</v>
      </c>
      <c r="C18" s="2" t="s">
        <v>159</v>
      </c>
      <c r="D18" s="2" t="s">
        <v>237</v>
      </c>
      <c r="E18" s="2" t="s">
        <v>161</v>
      </c>
      <c r="F18" s="2" t="s">
        <v>238</v>
      </c>
      <c r="G18" s="2" t="s">
        <v>111</v>
      </c>
      <c r="H18" s="2" t="s">
        <v>239</v>
      </c>
      <c r="I18" s="2" t="s">
        <v>2</v>
      </c>
      <c r="K18" s="2" t="s">
        <v>94</v>
      </c>
      <c r="L18" s="2" t="s">
        <v>1</v>
      </c>
      <c r="M18" s="2" t="s">
        <v>7</v>
      </c>
      <c r="N18" s="2" t="s">
        <v>1</v>
      </c>
      <c r="O18" s="2" t="s">
        <v>1</v>
      </c>
      <c r="P18" s="2" t="s">
        <v>1</v>
      </c>
      <c r="Q18" s="2" t="s">
        <v>1</v>
      </c>
      <c r="R18" s="2" t="s">
        <v>1</v>
      </c>
      <c r="S18" s="2" t="s">
        <v>703</v>
      </c>
      <c r="T18" s="2" t="s">
        <v>1</v>
      </c>
      <c r="U18" s="2" t="s">
        <v>1</v>
      </c>
      <c r="V18" s="2" t="s">
        <v>385</v>
      </c>
      <c r="W18" s="2" t="s">
        <v>1</v>
      </c>
      <c r="X18" s="2" t="s">
        <v>94</v>
      </c>
      <c r="Z18" s="2" t="s">
        <v>94</v>
      </c>
      <c r="AA18" s="2" t="s">
        <v>1</v>
      </c>
      <c r="AB18" s="2" t="s">
        <v>1</v>
      </c>
      <c r="AC18" s="2" t="s">
        <v>1</v>
      </c>
    </row>
    <row r="19" spans="1:29" x14ac:dyDescent="0.4">
      <c r="A19" s="2" t="s">
        <v>339</v>
      </c>
      <c r="B19" s="2" t="s">
        <v>158</v>
      </c>
      <c r="C19" s="2" t="s">
        <v>159</v>
      </c>
      <c r="D19" s="2" t="s">
        <v>241</v>
      </c>
      <c r="E19" s="2" t="s">
        <v>246</v>
      </c>
      <c r="F19" s="2" t="s">
        <v>242</v>
      </c>
      <c r="G19" s="2" t="s">
        <v>91</v>
      </c>
      <c r="H19" s="2" t="s">
        <v>243</v>
      </c>
      <c r="I19" s="2" t="s">
        <v>93</v>
      </c>
      <c r="K19" s="2" t="s">
        <v>94</v>
      </c>
      <c r="L19" s="2" t="s">
        <v>1</v>
      </c>
      <c r="M19" s="2" t="s">
        <v>1</v>
      </c>
      <c r="N19" s="2" t="s">
        <v>646</v>
      </c>
      <c r="O19" s="2" t="s">
        <v>1</v>
      </c>
      <c r="P19" s="2" t="s">
        <v>1</v>
      </c>
      <c r="Q19" s="2" t="s">
        <v>1</v>
      </c>
      <c r="R19" s="2" t="s">
        <v>1</v>
      </c>
      <c r="S19" s="2" t="s">
        <v>655</v>
      </c>
      <c r="T19" s="2" t="s">
        <v>1</v>
      </c>
      <c r="U19" s="2" t="s">
        <v>1</v>
      </c>
      <c r="V19" s="2" t="s">
        <v>385</v>
      </c>
      <c r="W19" s="2" t="s">
        <v>1</v>
      </c>
      <c r="X19" s="2" t="s">
        <v>94</v>
      </c>
      <c r="Z19" s="2" t="s">
        <v>94</v>
      </c>
      <c r="AA19" s="2" t="s">
        <v>1</v>
      </c>
      <c r="AB19" s="2" t="s">
        <v>1</v>
      </c>
      <c r="AC19" s="2" t="s">
        <v>7</v>
      </c>
    </row>
    <row r="20" spans="1:29" x14ac:dyDescent="0.4">
      <c r="A20" s="2" t="s">
        <v>202</v>
      </c>
      <c r="B20" s="2" t="s">
        <v>158</v>
      </c>
      <c r="C20" s="2" t="s">
        <v>159</v>
      </c>
      <c r="D20" s="2" t="s">
        <v>245</v>
      </c>
      <c r="E20" s="2" t="s">
        <v>246</v>
      </c>
      <c r="F20" s="2" t="s">
        <v>247</v>
      </c>
      <c r="G20" s="2" t="s">
        <v>91</v>
      </c>
      <c r="H20" s="2" t="s">
        <v>248</v>
      </c>
      <c r="I20" s="2" t="s">
        <v>93</v>
      </c>
      <c r="K20" s="2" t="s">
        <v>94</v>
      </c>
      <c r="L20" s="2" t="s">
        <v>1</v>
      </c>
      <c r="M20" s="2" t="s">
        <v>7</v>
      </c>
      <c r="N20" s="2" t="s">
        <v>1</v>
      </c>
      <c r="O20" s="2" t="s">
        <v>1</v>
      </c>
      <c r="P20" s="2" t="s">
        <v>1</v>
      </c>
      <c r="Q20" s="2" t="s">
        <v>1</v>
      </c>
      <c r="R20" s="2" t="s">
        <v>1</v>
      </c>
      <c r="S20" s="2" t="s">
        <v>656</v>
      </c>
      <c r="T20" s="2" t="s">
        <v>1</v>
      </c>
      <c r="U20" s="2" t="s">
        <v>1</v>
      </c>
      <c r="V20" s="2" t="s">
        <v>385</v>
      </c>
      <c r="W20" s="2" t="s">
        <v>1</v>
      </c>
      <c r="X20" s="2" t="s">
        <v>94</v>
      </c>
      <c r="Z20" s="2" t="s">
        <v>94</v>
      </c>
      <c r="AA20" s="2" t="s">
        <v>1</v>
      </c>
      <c r="AB20" s="2" t="s">
        <v>1</v>
      </c>
      <c r="AC20" s="2" t="s">
        <v>1</v>
      </c>
    </row>
    <row r="21" spans="1:29" x14ac:dyDescent="0.4">
      <c r="A21" s="2" t="s">
        <v>614</v>
      </c>
      <c r="B21" s="2" t="s">
        <v>87</v>
      </c>
      <c r="C21" s="2" t="s">
        <v>263</v>
      </c>
      <c r="D21" s="2" t="s">
        <v>250</v>
      </c>
      <c r="E21" s="2" t="s">
        <v>265</v>
      </c>
      <c r="F21" s="2" t="s">
        <v>251</v>
      </c>
      <c r="G21" s="2" t="s">
        <v>111</v>
      </c>
      <c r="H21" s="2" t="s">
        <v>252</v>
      </c>
      <c r="I21" s="2" t="s">
        <v>253</v>
      </c>
      <c r="K21" s="2" t="s">
        <v>224</v>
      </c>
      <c r="L21" s="2" t="s">
        <v>544</v>
      </c>
      <c r="M21" s="2" t="s">
        <v>1</v>
      </c>
      <c r="N21" s="2" t="s">
        <v>1</v>
      </c>
      <c r="O21" s="2" t="s">
        <v>1</v>
      </c>
      <c r="P21" s="2" t="s">
        <v>1</v>
      </c>
      <c r="Q21" s="2" t="s">
        <v>1</v>
      </c>
      <c r="R21" s="2" t="s">
        <v>1</v>
      </c>
      <c r="S21" s="2" t="s">
        <v>544</v>
      </c>
      <c r="T21" s="2" t="s">
        <v>617</v>
      </c>
      <c r="U21" s="2" t="s">
        <v>1</v>
      </c>
      <c r="V21" s="2" t="s">
        <v>385</v>
      </c>
      <c r="W21" s="2" t="s">
        <v>1</v>
      </c>
      <c r="X21" s="2" t="s">
        <v>94</v>
      </c>
      <c r="Z21" s="2" t="s">
        <v>94</v>
      </c>
      <c r="AA21" s="2" t="s">
        <v>1</v>
      </c>
      <c r="AB21" s="2" t="s">
        <v>1</v>
      </c>
      <c r="AC21" s="2" t="s">
        <v>1</v>
      </c>
    </row>
    <row r="22" spans="1:29" x14ac:dyDescent="0.4">
      <c r="A22" s="2" t="s">
        <v>203</v>
      </c>
      <c r="B22" s="2" t="s">
        <v>158</v>
      </c>
      <c r="C22" s="2" t="s">
        <v>159</v>
      </c>
      <c r="D22" s="2" t="s">
        <v>255</v>
      </c>
      <c r="E22" s="2" t="s">
        <v>161</v>
      </c>
      <c r="F22" s="2" t="s">
        <v>256</v>
      </c>
      <c r="G22" s="2" t="s">
        <v>111</v>
      </c>
      <c r="H22" s="2" t="s">
        <v>257</v>
      </c>
      <c r="I22" s="2" t="s">
        <v>253</v>
      </c>
      <c r="K22" s="2" t="s">
        <v>94</v>
      </c>
      <c r="L22" s="2" t="s">
        <v>1</v>
      </c>
      <c r="M22" s="2" t="s">
        <v>7</v>
      </c>
      <c r="N22" s="2" t="s">
        <v>1</v>
      </c>
      <c r="O22" s="2" t="s">
        <v>1</v>
      </c>
      <c r="P22" s="2" t="s">
        <v>1</v>
      </c>
      <c r="Q22" s="2" t="s">
        <v>1</v>
      </c>
      <c r="R22" s="2" t="s">
        <v>1</v>
      </c>
      <c r="S22" s="2" t="s">
        <v>704</v>
      </c>
      <c r="T22" s="2" t="s">
        <v>1</v>
      </c>
      <c r="U22" s="2" t="s">
        <v>1</v>
      </c>
      <c r="V22" s="2" t="s">
        <v>385</v>
      </c>
      <c r="W22" s="2" t="s">
        <v>1</v>
      </c>
      <c r="X22" s="2" t="s">
        <v>94</v>
      </c>
      <c r="Z22" s="2" t="s">
        <v>94</v>
      </c>
      <c r="AA22" s="2" t="s">
        <v>1</v>
      </c>
      <c r="AB22" s="2" t="s">
        <v>1</v>
      </c>
      <c r="AC22" s="2" t="s">
        <v>1</v>
      </c>
    </row>
    <row r="23" spans="1:29" x14ac:dyDescent="0.4">
      <c r="A23" s="2" t="s">
        <v>204</v>
      </c>
      <c r="B23" s="2" t="s">
        <v>158</v>
      </c>
      <c r="C23" s="2" t="s">
        <v>159</v>
      </c>
      <c r="D23" s="2" t="s">
        <v>259</v>
      </c>
      <c r="E23" s="2" t="s">
        <v>161</v>
      </c>
      <c r="F23" s="2" t="s">
        <v>260</v>
      </c>
      <c r="G23" s="2" t="s">
        <v>91</v>
      </c>
      <c r="H23" s="2" t="s">
        <v>261</v>
      </c>
      <c r="I23" s="2" t="s">
        <v>93</v>
      </c>
      <c r="K23" s="2" t="s">
        <v>94</v>
      </c>
      <c r="L23" s="2" t="s">
        <v>1</v>
      </c>
      <c r="M23" s="2" t="s">
        <v>7</v>
      </c>
      <c r="N23" s="2" t="s">
        <v>1</v>
      </c>
      <c r="O23" s="2" t="s">
        <v>1</v>
      </c>
      <c r="P23" s="2" t="s">
        <v>1</v>
      </c>
      <c r="Q23" s="2" t="s">
        <v>1</v>
      </c>
      <c r="R23" s="2" t="s">
        <v>1</v>
      </c>
      <c r="S23" s="2" t="s">
        <v>705</v>
      </c>
      <c r="T23" s="2" t="s">
        <v>1</v>
      </c>
      <c r="U23" s="2" t="s">
        <v>1</v>
      </c>
      <c r="V23" s="2" t="s">
        <v>385</v>
      </c>
      <c r="W23" s="2" t="s">
        <v>1</v>
      </c>
      <c r="X23" s="2" t="s">
        <v>94</v>
      </c>
      <c r="Z23" s="2" t="s">
        <v>94</v>
      </c>
      <c r="AA23" s="2" t="s">
        <v>1</v>
      </c>
      <c r="AB23" s="2" t="s">
        <v>1</v>
      </c>
      <c r="AC23" s="2" t="s">
        <v>1</v>
      </c>
    </row>
    <row r="24" spans="1:29" x14ac:dyDescent="0.4">
      <c r="A24" s="2" t="s">
        <v>193</v>
      </c>
      <c r="B24" s="2" t="s">
        <v>87</v>
      </c>
      <c r="C24" s="2" t="s">
        <v>263</v>
      </c>
      <c r="D24" s="2" t="s">
        <v>264</v>
      </c>
      <c r="E24" s="2" t="s">
        <v>265</v>
      </c>
      <c r="F24" s="2" t="s">
        <v>266</v>
      </c>
      <c r="G24" s="2" t="s">
        <v>111</v>
      </c>
      <c r="H24" s="2" t="s">
        <v>267</v>
      </c>
      <c r="I24" s="2" t="s">
        <v>253</v>
      </c>
      <c r="K24" s="2" t="s">
        <v>224</v>
      </c>
      <c r="L24" s="2" t="s">
        <v>547</v>
      </c>
      <c r="M24" s="2" t="s">
        <v>1</v>
      </c>
      <c r="N24" s="2" t="s">
        <v>1</v>
      </c>
      <c r="O24" s="2" t="s">
        <v>1</v>
      </c>
      <c r="P24" s="2" t="s">
        <v>1</v>
      </c>
      <c r="Q24" s="2" t="s">
        <v>1</v>
      </c>
      <c r="R24" s="2" t="s">
        <v>1</v>
      </c>
      <c r="S24" s="2" t="s">
        <v>547</v>
      </c>
      <c r="T24" s="2" t="s">
        <v>269</v>
      </c>
      <c r="U24" s="2" t="s">
        <v>1</v>
      </c>
      <c r="V24" s="2" t="s">
        <v>385</v>
      </c>
      <c r="W24" s="2" t="s">
        <v>1</v>
      </c>
      <c r="X24" s="2" t="s">
        <v>94</v>
      </c>
      <c r="Z24" s="2" t="s">
        <v>94</v>
      </c>
      <c r="AA24" s="2" t="s">
        <v>1</v>
      </c>
      <c r="AB24" s="2" t="s">
        <v>1</v>
      </c>
      <c r="AC24" s="2" t="s">
        <v>1</v>
      </c>
    </row>
    <row r="25" spans="1:29" x14ac:dyDescent="0.4">
      <c r="A25" s="2" t="s">
        <v>195</v>
      </c>
      <c r="B25" s="2" t="s">
        <v>233</v>
      </c>
      <c r="C25" s="2" t="s">
        <v>270</v>
      </c>
      <c r="D25" s="2" t="s">
        <v>618</v>
      </c>
      <c r="E25" s="2" t="s">
        <v>271</v>
      </c>
      <c r="F25" s="2" t="s">
        <v>619</v>
      </c>
      <c r="G25" s="2" t="s">
        <v>106</v>
      </c>
      <c r="H25" s="2" t="s">
        <v>528</v>
      </c>
      <c r="I25" s="2" t="s">
        <v>107</v>
      </c>
      <c r="K25" s="2" t="s">
        <v>94</v>
      </c>
      <c r="L25" s="2" t="s">
        <v>1</v>
      </c>
      <c r="M25" s="2" t="s">
        <v>7</v>
      </c>
      <c r="N25" s="2" t="s">
        <v>1</v>
      </c>
      <c r="O25" s="2" t="s">
        <v>1</v>
      </c>
      <c r="P25" s="2" t="s">
        <v>1</v>
      </c>
      <c r="Q25" s="2" t="s">
        <v>1</v>
      </c>
      <c r="R25" s="2" t="s">
        <v>1</v>
      </c>
      <c r="S25" s="2" t="s">
        <v>659</v>
      </c>
      <c r="T25" s="2" t="s">
        <v>1</v>
      </c>
      <c r="U25" s="2" t="s">
        <v>1</v>
      </c>
      <c r="V25" s="2" t="s">
        <v>385</v>
      </c>
      <c r="W25" s="2" t="s">
        <v>1</v>
      </c>
      <c r="X25" s="2" t="s">
        <v>94</v>
      </c>
      <c r="Z25" s="2" t="s">
        <v>94</v>
      </c>
      <c r="AA25" s="2" t="s">
        <v>1</v>
      </c>
      <c r="AB25" s="2" t="s">
        <v>1</v>
      </c>
      <c r="AC25" s="2" t="s">
        <v>1</v>
      </c>
    </row>
    <row r="26" spans="1:29" x14ac:dyDescent="0.4">
      <c r="A26" s="2" t="s">
        <v>206</v>
      </c>
      <c r="B26" s="2" t="s">
        <v>158</v>
      </c>
      <c r="C26" s="2" t="s">
        <v>159</v>
      </c>
      <c r="D26" s="2" t="s">
        <v>273</v>
      </c>
      <c r="E26" s="2" t="s">
        <v>161</v>
      </c>
      <c r="F26" s="2" t="s">
        <v>274</v>
      </c>
      <c r="G26" s="2" t="s">
        <v>111</v>
      </c>
      <c r="H26" s="2" t="s">
        <v>275</v>
      </c>
      <c r="I26" s="2" t="s">
        <v>2</v>
      </c>
      <c r="K26" s="2" t="s">
        <v>94</v>
      </c>
      <c r="L26" s="2" t="s">
        <v>1</v>
      </c>
      <c r="M26" s="2" t="s">
        <v>7</v>
      </c>
      <c r="N26" s="2" t="s">
        <v>1</v>
      </c>
      <c r="O26" s="2" t="s">
        <v>1</v>
      </c>
      <c r="P26" s="2" t="s">
        <v>1</v>
      </c>
      <c r="Q26" s="2" t="s">
        <v>1</v>
      </c>
      <c r="R26" s="2" t="s">
        <v>1</v>
      </c>
      <c r="S26" s="2" t="s">
        <v>706</v>
      </c>
      <c r="T26" s="2" t="s">
        <v>1</v>
      </c>
      <c r="U26" s="2" t="s">
        <v>1</v>
      </c>
      <c r="V26" s="2" t="s">
        <v>385</v>
      </c>
      <c r="W26" s="2" t="s">
        <v>1</v>
      </c>
      <c r="X26" s="2" t="s">
        <v>94</v>
      </c>
      <c r="Z26" s="2" t="s">
        <v>94</v>
      </c>
      <c r="AA26" s="2" t="s">
        <v>1</v>
      </c>
      <c r="AB26" s="2" t="s">
        <v>1</v>
      </c>
      <c r="AC26" s="2" t="s">
        <v>1</v>
      </c>
    </row>
    <row r="27" spans="1:29" x14ac:dyDescent="0.4">
      <c r="A27" s="2" t="s">
        <v>205</v>
      </c>
      <c r="B27" s="2" t="s">
        <v>158</v>
      </c>
      <c r="C27" s="2" t="s">
        <v>159</v>
      </c>
      <c r="D27" s="2" t="s">
        <v>277</v>
      </c>
      <c r="E27" s="2" t="s">
        <v>161</v>
      </c>
      <c r="F27" s="2" t="s">
        <v>278</v>
      </c>
      <c r="G27" s="2" t="s">
        <v>91</v>
      </c>
      <c r="H27" s="2" t="s">
        <v>279</v>
      </c>
      <c r="I27" s="2" t="s">
        <v>93</v>
      </c>
      <c r="K27" s="2" t="s">
        <v>94</v>
      </c>
      <c r="L27" s="2" t="s">
        <v>1</v>
      </c>
      <c r="M27" s="2" t="s">
        <v>7</v>
      </c>
      <c r="N27" s="2" t="s">
        <v>1</v>
      </c>
      <c r="O27" s="2" t="s">
        <v>1</v>
      </c>
      <c r="P27" s="2" t="s">
        <v>1</v>
      </c>
      <c r="Q27" s="2" t="s">
        <v>1</v>
      </c>
      <c r="R27" s="2" t="s">
        <v>1</v>
      </c>
      <c r="S27" s="2" t="s">
        <v>707</v>
      </c>
      <c r="T27" s="2" t="s">
        <v>1</v>
      </c>
      <c r="U27" s="2" t="s">
        <v>1</v>
      </c>
      <c r="V27" s="2" t="s">
        <v>385</v>
      </c>
      <c r="W27" s="2" t="s">
        <v>1</v>
      </c>
      <c r="X27" s="2" t="s">
        <v>94</v>
      </c>
      <c r="Z27" s="2" t="s">
        <v>94</v>
      </c>
      <c r="AA27" s="2" t="s">
        <v>1</v>
      </c>
      <c r="AB27" s="2" t="s">
        <v>1</v>
      </c>
      <c r="AC27" s="2" t="s">
        <v>1</v>
      </c>
    </row>
    <row r="28" spans="1:29" x14ac:dyDescent="0.4">
      <c r="A28" s="2" t="s">
        <v>196</v>
      </c>
      <c r="B28" s="2" t="s">
        <v>233</v>
      </c>
      <c r="C28" s="2" t="s">
        <v>270</v>
      </c>
      <c r="D28" s="2" t="s">
        <v>281</v>
      </c>
      <c r="E28" s="2" t="s">
        <v>271</v>
      </c>
      <c r="F28" s="2" t="s">
        <v>282</v>
      </c>
      <c r="G28" s="2" t="s">
        <v>111</v>
      </c>
      <c r="H28" s="2" t="s">
        <v>283</v>
      </c>
      <c r="I28" s="2" t="s">
        <v>253</v>
      </c>
      <c r="K28" s="2" t="s">
        <v>94</v>
      </c>
      <c r="L28" s="2" t="s">
        <v>1</v>
      </c>
      <c r="M28" s="2" t="s">
        <v>1</v>
      </c>
      <c r="N28" s="2" t="s">
        <v>1</v>
      </c>
      <c r="O28" s="2" t="s">
        <v>1</v>
      </c>
      <c r="P28" s="2" t="s">
        <v>1</v>
      </c>
      <c r="Q28" s="2" t="s">
        <v>1</v>
      </c>
      <c r="R28" s="2" t="s">
        <v>1</v>
      </c>
      <c r="S28" s="2" t="s">
        <v>550</v>
      </c>
      <c r="T28" s="2" t="s">
        <v>1</v>
      </c>
      <c r="U28" s="2" t="s">
        <v>1</v>
      </c>
      <c r="V28" s="2" t="s">
        <v>385</v>
      </c>
      <c r="W28" s="2" t="s">
        <v>1</v>
      </c>
      <c r="X28" s="2" t="s">
        <v>94</v>
      </c>
      <c r="Z28" s="2" t="s">
        <v>94</v>
      </c>
      <c r="AA28" s="2" t="s">
        <v>1</v>
      </c>
      <c r="AB28" s="2" t="s">
        <v>1</v>
      </c>
      <c r="AC28" s="2" t="s">
        <v>1</v>
      </c>
    </row>
    <row r="29" spans="1:29" x14ac:dyDescent="0.4">
      <c r="A29" s="2" t="s">
        <v>207</v>
      </c>
      <c r="B29" s="2" t="s">
        <v>158</v>
      </c>
      <c r="C29" s="2" t="s">
        <v>159</v>
      </c>
      <c r="D29" s="2" t="s">
        <v>285</v>
      </c>
      <c r="E29" s="2" t="s">
        <v>161</v>
      </c>
      <c r="F29" s="2" t="s">
        <v>286</v>
      </c>
      <c r="G29" s="2" t="s">
        <v>111</v>
      </c>
      <c r="H29" s="2" t="s">
        <v>287</v>
      </c>
      <c r="I29" s="2" t="s">
        <v>253</v>
      </c>
      <c r="K29" s="2" t="s">
        <v>94</v>
      </c>
      <c r="L29" s="2" t="s">
        <v>1</v>
      </c>
      <c r="M29" s="2" t="s">
        <v>7</v>
      </c>
      <c r="N29" s="2" t="s">
        <v>1</v>
      </c>
      <c r="O29" s="2" t="s">
        <v>1</v>
      </c>
      <c r="P29" s="2" t="s">
        <v>1</v>
      </c>
      <c r="Q29" s="2" t="s">
        <v>1</v>
      </c>
      <c r="R29" s="2" t="s">
        <v>1</v>
      </c>
      <c r="S29" s="2" t="s">
        <v>708</v>
      </c>
      <c r="T29" s="2" t="s">
        <v>1</v>
      </c>
      <c r="U29" s="2" t="s">
        <v>1</v>
      </c>
      <c r="V29" s="2" t="s">
        <v>385</v>
      </c>
      <c r="W29" s="2" t="s">
        <v>1</v>
      </c>
      <c r="X29" s="2" t="s">
        <v>94</v>
      </c>
      <c r="Z29" s="2" t="s">
        <v>94</v>
      </c>
      <c r="AA29" s="2" t="s">
        <v>1</v>
      </c>
      <c r="AB29" s="2" t="s">
        <v>1</v>
      </c>
      <c r="AC29" s="2" t="s">
        <v>1</v>
      </c>
    </row>
    <row r="30" spans="1:29" x14ac:dyDescent="0.4">
      <c r="A30" s="2" t="s">
        <v>204</v>
      </c>
      <c r="B30" s="2" t="s">
        <v>158</v>
      </c>
      <c r="C30" s="2" t="s">
        <v>159</v>
      </c>
      <c r="D30" s="2" t="s">
        <v>259</v>
      </c>
      <c r="E30" s="2" t="s">
        <v>161</v>
      </c>
      <c r="F30" s="2" t="s">
        <v>260</v>
      </c>
      <c r="G30" s="2" t="s">
        <v>91</v>
      </c>
      <c r="H30" s="2" t="s">
        <v>261</v>
      </c>
      <c r="I30" s="2" t="s">
        <v>93</v>
      </c>
      <c r="K30" s="2" t="s">
        <v>94</v>
      </c>
      <c r="L30" s="2" t="s">
        <v>1</v>
      </c>
      <c r="M30" s="2" t="s">
        <v>7</v>
      </c>
      <c r="N30" s="2" t="s">
        <v>1</v>
      </c>
      <c r="O30" s="2" t="s">
        <v>1</v>
      </c>
      <c r="P30" s="2" t="s">
        <v>1</v>
      </c>
      <c r="Q30" s="2" t="s">
        <v>1</v>
      </c>
      <c r="R30" s="2" t="s">
        <v>1</v>
      </c>
      <c r="S30" s="2" t="s">
        <v>709</v>
      </c>
      <c r="T30" s="2" t="s">
        <v>1</v>
      </c>
      <c r="U30" s="2" t="s">
        <v>1</v>
      </c>
      <c r="V30" s="2" t="s">
        <v>385</v>
      </c>
      <c r="W30" s="2" t="s">
        <v>1</v>
      </c>
      <c r="X30" s="2" t="s">
        <v>94</v>
      </c>
      <c r="Z30" s="2" t="s">
        <v>94</v>
      </c>
      <c r="AA30" s="2" t="s">
        <v>1</v>
      </c>
      <c r="AB30" s="2" t="s">
        <v>1</v>
      </c>
      <c r="AC30" s="2" t="s">
        <v>1</v>
      </c>
    </row>
    <row r="31" spans="1:29" x14ac:dyDescent="0.4">
      <c r="A31" s="2" t="s">
        <v>208</v>
      </c>
      <c r="B31" s="2" t="s">
        <v>158</v>
      </c>
      <c r="C31" s="2" t="s">
        <v>159</v>
      </c>
      <c r="D31" s="2" t="s">
        <v>290</v>
      </c>
      <c r="E31" s="2" t="s">
        <v>246</v>
      </c>
      <c r="F31" s="2" t="s">
        <v>291</v>
      </c>
      <c r="G31" s="2" t="s">
        <v>91</v>
      </c>
      <c r="H31" s="2" t="s">
        <v>292</v>
      </c>
      <c r="I31" s="2" t="s">
        <v>93</v>
      </c>
      <c r="K31" s="2" t="s">
        <v>94</v>
      </c>
      <c r="L31" s="2" t="s">
        <v>1</v>
      </c>
      <c r="M31" s="2" t="s">
        <v>7</v>
      </c>
      <c r="N31" s="2" t="s">
        <v>1</v>
      </c>
      <c r="O31" s="2" t="s">
        <v>1</v>
      </c>
      <c r="P31" s="2" t="s">
        <v>1</v>
      </c>
      <c r="Q31" s="2" t="s">
        <v>1</v>
      </c>
      <c r="R31" s="2" t="s">
        <v>1</v>
      </c>
      <c r="S31" s="2" t="s">
        <v>664</v>
      </c>
      <c r="T31" s="2" t="s">
        <v>1</v>
      </c>
      <c r="U31" s="2" t="s">
        <v>1</v>
      </c>
      <c r="V31" s="2" t="s">
        <v>385</v>
      </c>
      <c r="W31" s="2" t="s">
        <v>1</v>
      </c>
      <c r="X31" s="2" t="s">
        <v>94</v>
      </c>
      <c r="Z31" s="2" t="s">
        <v>94</v>
      </c>
      <c r="AA31" s="2" t="s">
        <v>1</v>
      </c>
      <c r="AB31" s="2" t="s">
        <v>1</v>
      </c>
      <c r="AC31" s="2" t="s">
        <v>1</v>
      </c>
    </row>
    <row r="32" spans="1:29" x14ac:dyDescent="0.4">
      <c r="A32" s="2" t="s">
        <v>347</v>
      </c>
      <c r="B32" s="2" t="s">
        <v>87</v>
      </c>
      <c r="C32" s="2" t="s">
        <v>350</v>
      </c>
      <c r="D32" s="2" t="s">
        <v>351</v>
      </c>
      <c r="E32" s="2" t="s">
        <v>352</v>
      </c>
      <c r="F32" s="2" t="s">
        <v>353</v>
      </c>
      <c r="G32" s="2" t="s">
        <v>91</v>
      </c>
      <c r="H32" s="2" t="s">
        <v>354</v>
      </c>
      <c r="I32" s="2" t="s">
        <v>93</v>
      </c>
      <c r="K32" s="2" t="s">
        <v>94</v>
      </c>
      <c r="L32" s="2" t="s">
        <v>1</v>
      </c>
      <c r="M32" s="2" t="s">
        <v>1</v>
      </c>
      <c r="N32" s="2" t="s">
        <v>646</v>
      </c>
      <c r="O32" s="2" t="s">
        <v>1</v>
      </c>
      <c r="P32" s="2" t="s">
        <v>1</v>
      </c>
      <c r="Q32" s="2" t="s">
        <v>1</v>
      </c>
      <c r="R32" s="2" t="s">
        <v>1</v>
      </c>
      <c r="S32" s="2" t="s">
        <v>665</v>
      </c>
      <c r="T32" s="2" t="s">
        <v>1</v>
      </c>
      <c r="U32" s="2" t="s">
        <v>1</v>
      </c>
      <c r="V32" s="2" t="s">
        <v>385</v>
      </c>
      <c r="W32" s="2" t="s">
        <v>1</v>
      </c>
      <c r="X32" s="2" t="s">
        <v>94</v>
      </c>
      <c r="Z32" s="2" t="s">
        <v>94</v>
      </c>
      <c r="AA32" s="2" t="s">
        <v>1</v>
      </c>
      <c r="AB32" s="2" t="s">
        <v>1</v>
      </c>
      <c r="AC32" s="2" t="s">
        <v>7</v>
      </c>
    </row>
    <row r="33" spans="1:29" x14ac:dyDescent="0.4">
      <c r="A33" s="2" t="s">
        <v>209</v>
      </c>
      <c r="B33" s="2" t="s">
        <v>158</v>
      </c>
      <c r="C33" s="2" t="s">
        <v>294</v>
      </c>
      <c r="D33" s="2" t="s">
        <v>295</v>
      </c>
      <c r="E33" s="2" t="s">
        <v>296</v>
      </c>
      <c r="F33" s="2" t="s">
        <v>297</v>
      </c>
      <c r="G33" s="2" t="s">
        <v>106</v>
      </c>
      <c r="H33" s="2" t="s">
        <v>528</v>
      </c>
      <c r="I33" s="2" t="s">
        <v>107</v>
      </c>
      <c r="K33" s="2" t="s">
        <v>94</v>
      </c>
      <c r="L33" s="2" t="s">
        <v>1</v>
      </c>
      <c r="M33" s="2" t="s">
        <v>7</v>
      </c>
      <c r="N33" s="2" t="s">
        <v>1</v>
      </c>
      <c r="O33" s="2" t="s">
        <v>1</v>
      </c>
      <c r="P33" s="2" t="s">
        <v>1</v>
      </c>
      <c r="Q33" s="2" t="s">
        <v>1</v>
      </c>
      <c r="R33" s="2" t="s">
        <v>1</v>
      </c>
      <c r="S33" s="2" t="s">
        <v>666</v>
      </c>
      <c r="T33" s="2" t="s">
        <v>1</v>
      </c>
      <c r="U33" s="2" t="s">
        <v>1</v>
      </c>
      <c r="V33" s="2" t="s">
        <v>385</v>
      </c>
      <c r="W33" s="2" t="s">
        <v>1</v>
      </c>
      <c r="X33" s="2" t="s">
        <v>94</v>
      </c>
      <c r="Z33" s="2" t="s">
        <v>94</v>
      </c>
      <c r="AA33" s="2" t="s">
        <v>1</v>
      </c>
      <c r="AB33" s="2" t="s">
        <v>1</v>
      </c>
      <c r="AC33" s="2" t="s">
        <v>1</v>
      </c>
    </row>
    <row r="34" spans="1:29" x14ac:dyDescent="0.4">
      <c r="A34" s="2" t="s">
        <v>210</v>
      </c>
      <c r="B34" s="2" t="s">
        <v>158</v>
      </c>
      <c r="C34" s="2" t="s">
        <v>299</v>
      </c>
      <c r="D34" s="2" t="s">
        <v>300</v>
      </c>
      <c r="E34" s="2" t="s">
        <v>246</v>
      </c>
      <c r="F34" s="2" t="s">
        <v>301</v>
      </c>
      <c r="G34" s="2" t="s">
        <v>91</v>
      </c>
      <c r="H34" s="2" t="s">
        <v>302</v>
      </c>
      <c r="I34" s="2" t="s">
        <v>93</v>
      </c>
      <c r="J34" s="2" t="s">
        <v>724</v>
      </c>
      <c r="K34" s="2" t="s">
        <v>94</v>
      </c>
      <c r="L34" s="2" t="s">
        <v>1</v>
      </c>
      <c r="M34" s="2" t="s">
        <v>7</v>
      </c>
      <c r="N34" s="2" t="s">
        <v>1</v>
      </c>
      <c r="O34" s="2" t="s">
        <v>1</v>
      </c>
      <c r="P34" s="2" t="s">
        <v>1</v>
      </c>
      <c r="Q34" s="2" t="s">
        <v>1</v>
      </c>
      <c r="R34" s="2" t="s">
        <v>1</v>
      </c>
      <c r="S34" s="2" t="s">
        <v>667</v>
      </c>
      <c r="T34" s="2" t="s">
        <v>1</v>
      </c>
      <c r="U34" s="2" t="s">
        <v>1</v>
      </c>
      <c r="V34" s="2" t="s">
        <v>385</v>
      </c>
      <c r="W34" s="2" t="s">
        <v>1</v>
      </c>
      <c r="X34" s="2" t="s">
        <v>94</v>
      </c>
      <c r="Z34" s="2" t="s">
        <v>94</v>
      </c>
      <c r="AA34" s="2" t="s">
        <v>1</v>
      </c>
      <c r="AB34" s="2" t="s">
        <v>1</v>
      </c>
      <c r="AC34" s="2" t="s">
        <v>1</v>
      </c>
    </row>
    <row r="35" spans="1:29" x14ac:dyDescent="0.4">
      <c r="A35" s="2" t="s">
        <v>470</v>
      </c>
      <c r="B35" s="2" t="s">
        <v>87</v>
      </c>
      <c r="C35" s="2" t="s">
        <v>472</v>
      </c>
      <c r="D35" s="2" t="s">
        <v>356</v>
      </c>
      <c r="E35" s="2" t="s">
        <v>473</v>
      </c>
      <c r="F35" s="2" t="s">
        <v>357</v>
      </c>
      <c r="G35" s="2" t="s">
        <v>91</v>
      </c>
      <c r="H35" s="2" t="s">
        <v>358</v>
      </c>
      <c r="I35" s="2" t="s">
        <v>93</v>
      </c>
      <c r="K35" s="2" t="s">
        <v>224</v>
      </c>
      <c r="L35" s="2" t="s">
        <v>710</v>
      </c>
      <c r="M35" s="2" t="s">
        <v>7</v>
      </c>
      <c r="N35" s="2" t="s">
        <v>1</v>
      </c>
      <c r="O35" s="2" t="s">
        <v>1</v>
      </c>
      <c r="P35" s="2" t="s">
        <v>558</v>
      </c>
      <c r="Q35" s="2" t="s">
        <v>1</v>
      </c>
      <c r="R35" s="2" t="s">
        <v>1</v>
      </c>
      <c r="S35" s="2" t="s">
        <v>668</v>
      </c>
      <c r="T35" s="2" t="s">
        <v>475</v>
      </c>
      <c r="U35" s="2" t="s">
        <v>1</v>
      </c>
      <c r="V35" s="2" t="s">
        <v>385</v>
      </c>
      <c r="W35" s="2" t="s">
        <v>1</v>
      </c>
      <c r="X35" s="2" t="s">
        <v>94</v>
      </c>
      <c r="Z35" s="2" t="s">
        <v>94</v>
      </c>
      <c r="AA35" s="2" t="s">
        <v>1</v>
      </c>
      <c r="AB35" s="2" t="s">
        <v>1</v>
      </c>
      <c r="AC35" s="2" t="s">
        <v>1</v>
      </c>
    </row>
    <row r="36" spans="1:29" x14ac:dyDescent="0.4">
      <c r="A36" s="2" t="s">
        <v>487</v>
      </c>
      <c r="B36" s="2" t="s">
        <v>87</v>
      </c>
      <c r="C36" s="2" t="s">
        <v>472</v>
      </c>
      <c r="D36" s="2" t="s">
        <v>476</v>
      </c>
      <c r="E36" s="2" t="s">
        <v>473</v>
      </c>
      <c r="F36" s="2" t="s">
        <v>477</v>
      </c>
      <c r="G36" s="2" t="s">
        <v>91</v>
      </c>
      <c r="H36" s="2" t="s">
        <v>489</v>
      </c>
      <c r="I36" s="2" t="s">
        <v>93</v>
      </c>
      <c r="J36" s="2" t="s">
        <v>725</v>
      </c>
      <c r="K36" s="2" t="s">
        <v>224</v>
      </c>
      <c r="L36" s="2" t="s">
        <v>711</v>
      </c>
      <c r="M36" s="2" t="s">
        <v>7</v>
      </c>
      <c r="N36" s="2" t="s">
        <v>1</v>
      </c>
      <c r="O36" s="2" t="s">
        <v>1</v>
      </c>
      <c r="P36" s="2" t="s">
        <v>558</v>
      </c>
      <c r="Q36" s="2" t="s">
        <v>1</v>
      </c>
      <c r="R36" s="2" t="s">
        <v>1</v>
      </c>
      <c r="S36" s="2" t="s">
        <v>557</v>
      </c>
      <c r="T36" s="2" t="s">
        <v>475</v>
      </c>
      <c r="U36" s="2" t="s">
        <v>1</v>
      </c>
      <c r="V36" s="2" t="s">
        <v>385</v>
      </c>
      <c r="W36" s="2" t="s">
        <v>1</v>
      </c>
      <c r="X36" s="2" t="s">
        <v>94</v>
      </c>
      <c r="Z36" s="2" t="s">
        <v>94</v>
      </c>
      <c r="AA36" s="2" t="s">
        <v>1</v>
      </c>
      <c r="AB36" s="2" t="s">
        <v>1</v>
      </c>
      <c r="AC36" s="2" t="s">
        <v>1</v>
      </c>
    </row>
    <row r="37" spans="1:29" x14ac:dyDescent="0.4">
      <c r="A37" s="2" t="s">
        <v>728</v>
      </c>
      <c r="B37" s="2" t="s">
        <v>87</v>
      </c>
      <c r="C37" s="2" t="s">
        <v>730</v>
      </c>
      <c r="D37" s="2" t="s">
        <v>731</v>
      </c>
      <c r="E37" s="2" t="s">
        <v>732</v>
      </c>
      <c r="F37" s="2" t="s">
        <v>733</v>
      </c>
      <c r="G37" s="2" t="s">
        <v>111</v>
      </c>
      <c r="H37" s="2" t="s">
        <v>734</v>
      </c>
      <c r="I37" s="2" t="s">
        <v>2</v>
      </c>
      <c r="K37" s="2" t="s">
        <v>94</v>
      </c>
      <c r="L37" s="2" t="s">
        <v>1</v>
      </c>
      <c r="M37" s="2" t="s">
        <v>7</v>
      </c>
      <c r="N37" s="2" t="s">
        <v>1</v>
      </c>
      <c r="O37" s="2" t="s">
        <v>1</v>
      </c>
      <c r="P37" s="2" t="s">
        <v>1</v>
      </c>
      <c r="Q37" s="2" t="s">
        <v>1</v>
      </c>
      <c r="R37" s="2" t="s">
        <v>1</v>
      </c>
      <c r="S37" s="2" t="s">
        <v>669</v>
      </c>
      <c r="T37" s="2" t="s">
        <v>1</v>
      </c>
      <c r="U37" s="2" t="s">
        <v>1</v>
      </c>
      <c r="V37" s="2" t="s">
        <v>385</v>
      </c>
      <c r="W37" s="2" t="s">
        <v>1</v>
      </c>
      <c r="X37" s="2" t="s">
        <v>94</v>
      </c>
      <c r="Z37" s="2" t="s">
        <v>94</v>
      </c>
      <c r="AA37" s="2" t="s">
        <v>1</v>
      </c>
      <c r="AB37" s="2" t="s">
        <v>1</v>
      </c>
      <c r="AC37" s="2" t="s">
        <v>1</v>
      </c>
    </row>
    <row r="38" spans="1:29" x14ac:dyDescent="0.4">
      <c r="A38" s="2" t="s">
        <v>212</v>
      </c>
      <c r="B38" s="2" t="s">
        <v>158</v>
      </c>
      <c r="C38" s="2" t="s">
        <v>159</v>
      </c>
      <c r="D38" s="2" t="s">
        <v>305</v>
      </c>
      <c r="E38" s="2" t="s">
        <v>246</v>
      </c>
      <c r="F38" s="2" t="s">
        <v>306</v>
      </c>
      <c r="G38" s="2" t="s">
        <v>111</v>
      </c>
      <c r="H38" s="2" t="s">
        <v>307</v>
      </c>
      <c r="I38" s="2" t="s">
        <v>253</v>
      </c>
      <c r="K38" s="2" t="s">
        <v>94</v>
      </c>
      <c r="L38" s="2" t="s">
        <v>1</v>
      </c>
      <c r="M38" s="2" t="s">
        <v>7</v>
      </c>
      <c r="N38" s="2" t="s">
        <v>1</v>
      </c>
      <c r="O38" s="2" t="s">
        <v>1</v>
      </c>
      <c r="P38" s="2" t="s">
        <v>1</v>
      </c>
      <c r="Q38" s="2" t="s">
        <v>1</v>
      </c>
      <c r="R38" s="2" t="s">
        <v>1</v>
      </c>
      <c r="S38" s="2" t="s">
        <v>670</v>
      </c>
      <c r="T38" s="2" t="s">
        <v>1</v>
      </c>
      <c r="U38" s="2" t="s">
        <v>1</v>
      </c>
      <c r="V38" s="2" t="s">
        <v>385</v>
      </c>
      <c r="W38" s="2" t="s">
        <v>1</v>
      </c>
      <c r="X38" s="2" t="s">
        <v>94</v>
      </c>
      <c r="Z38" s="2" t="s">
        <v>94</v>
      </c>
      <c r="AA38" s="2" t="s">
        <v>1</v>
      </c>
      <c r="AB38" s="2" t="s">
        <v>1</v>
      </c>
      <c r="AC38" s="2" t="s">
        <v>1</v>
      </c>
    </row>
    <row r="39" spans="1:29" x14ac:dyDescent="0.4">
      <c r="A39" s="2" t="s">
        <v>380</v>
      </c>
      <c r="B39" s="2" t="s">
        <v>158</v>
      </c>
      <c r="C39" s="2" t="s">
        <v>360</v>
      </c>
      <c r="D39" s="2" t="s">
        <v>386</v>
      </c>
      <c r="E39" s="2" t="s">
        <v>362</v>
      </c>
      <c r="F39" s="2" t="s">
        <v>387</v>
      </c>
      <c r="G39" s="2" t="s">
        <v>106</v>
      </c>
      <c r="H39" s="2" t="s">
        <v>528</v>
      </c>
      <c r="I39" s="2" t="s">
        <v>107</v>
      </c>
      <c r="K39" s="2" t="s">
        <v>224</v>
      </c>
      <c r="L39" s="2" t="s">
        <v>671</v>
      </c>
      <c r="M39" s="2" t="s">
        <v>7</v>
      </c>
      <c r="N39" s="2" t="s">
        <v>1</v>
      </c>
      <c r="O39" s="2" t="s">
        <v>365</v>
      </c>
      <c r="P39" s="2" t="s">
        <v>366</v>
      </c>
      <c r="Q39" s="2" t="s">
        <v>1</v>
      </c>
      <c r="R39" s="2" t="s">
        <v>1</v>
      </c>
      <c r="S39" s="2" t="s">
        <v>672</v>
      </c>
      <c r="T39" s="2" t="s">
        <v>368</v>
      </c>
      <c r="U39" s="2" t="s">
        <v>1</v>
      </c>
      <c r="V39" s="2" t="s">
        <v>385</v>
      </c>
      <c r="W39" s="2" t="s">
        <v>1</v>
      </c>
      <c r="X39" s="2" t="s">
        <v>94</v>
      </c>
      <c r="Z39" s="2" t="s">
        <v>94</v>
      </c>
      <c r="AA39" s="2" t="s">
        <v>1</v>
      </c>
      <c r="AB39" s="2" t="s">
        <v>1</v>
      </c>
      <c r="AC39" s="2" t="s">
        <v>1</v>
      </c>
    </row>
    <row r="40" spans="1:29" x14ac:dyDescent="0.4">
      <c r="A40" s="2" t="s">
        <v>408</v>
      </c>
      <c r="B40" s="2" t="s">
        <v>158</v>
      </c>
      <c r="C40" s="2" t="s">
        <v>416</v>
      </c>
      <c r="D40" s="2" t="s">
        <v>417</v>
      </c>
      <c r="E40" s="2" t="s">
        <v>418</v>
      </c>
      <c r="F40" s="2" t="s">
        <v>419</v>
      </c>
      <c r="G40" s="2" t="s">
        <v>91</v>
      </c>
      <c r="H40" s="2" t="s">
        <v>420</v>
      </c>
      <c r="I40" s="2" t="s">
        <v>93</v>
      </c>
      <c r="K40" s="2" t="s">
        <v>224</v>
      </c>
      <c r="L40" s="2" t="s">
        <v>673</v>
      </c>
      <c r="M40" s="2" t="s">
        <v>7</v>
      </c>
      <c r="N40" s="2" t="s">
        <v>1</v>
      </c>
      <c r="O40" s="2" t="s">
        <v>421</v>
      </c>
      <c r="P40" s="2" t="s">
        <v>422</v>
      </c>
      <c r="Q40" s="2" t="s">
        <v>1</v>
      </c>
      <c r="R40" s="2" t="s">
        <v>1</v>
      </c>
      <c r="S40" s="2" t="s">
        <v>673</v>
      </c>
      <c r="T40" s="2" t="s">
        <v>424</v>
      </c>
      <c r="U40" s="2" t="s">
        <v>1</v>
      </c>
      <c r="V40" s="2" t="s">
        <v>385</v>
      </c>
      <c r="W40" s="2" t="s">
        <v>1</v>
      </c>
      <c r="X40" s="2" t="s">
        <v>94</v>
      </c>
      <c r="Z40" s="2" t="s">
        <v>94</v>
      </c>
      <c r="AA40" s="2" t="s">
        <v>1</v>
      </c>
      <c r="AB40" s="2" t="s">
        <v>1</v>
      </c>
      <c r="AC40" s="2" t="s">
        <v>1</v>
      </c>
    </row>
    <row r="41" spans="1:29" x14ac:dyDescent="0.4">
      <c r="A41" s="2" t="s">
        <v>349</v>
      </c>
      <c r="B41" s="2" t="s">
        <v>158</v>
      </c>
      <c r="C41" s="2" t="s">
        <v>360</v>
      </c>
      <c r="D41" s="2" t="s">
        <v>361</v>
      </c>
      <c r="E41" s="2" t="s">
        <v>362</v>
      </c>
      <c r="F41" s="2" t="s">
        <v>363</v>
      </c>
      <c r="G41" s="2" t="s">
        <v>91</v>
      </c>
      <c r="H41" s="2" t="s">
        <v>364</v>
      </c>
      <c r="I41" s="2" t="s">
        <v>93</v>
      </c>
      <c r="K41" s="2" t="s">
        <v>224</v>
      </c>
      <c r="L41" s="2" t="s">
        <v>674</v>
      </c>
      <c r="M41" s="2" t="s">
        <v>7</v>
      </c>
      <c r="N41" s="2" t="s">
        <v>1</v>
      </c>
      <c r="O41" s="2" t="s">
        <v>365</v>
      </c>
      <c r="P41" s="2" t="s">
        <v>366</v>
      </c>
      <c r="Q41" s="2" t="s">
        <v>1</v>
      </c>
      <c r="R41" s="2" t="s">
        <v>1</v>
      </c>
      <c r="S41" s="2" t="s">
        <v>675</v>
      </c>
      <c r="T41" s="2" t="s">
        <v>368</v>
      </c>
      <c r="U41" s="2" t="s">
        <v>1</v>
      </c>
      <c r="V41" s="2" t="s">
        <v>385</v>
      </c>
      <c r="W41" s="2" t="s">
        <v>1</v>
      </c>
      <c r="X41" s="2" t="s">
        <v>94</v>
      </c>
      <c r="Z41" s="2" t="s">
        <v>94</v>
      </c>
      <c r="AA41" s="2" t="s">
        <v>1</v>
      </c>
      <c r="AB41" s="2" t="s">
        <v>1</v>
      </c>
      <c r="AC41" s="2" t="s">
        <v>1</v>
      </c>
    </row>
    <row r="42" spans="1:29" x14ac:dyDescent="0.4">
      <c r="A42" s="2" t="s">
        <v>379</v>
      </c>
      <c r="B42" s="2" t="s">
        <v>158</v>
      </c>
      <c r="C42" s="2" t="s">
        <v>360</v>
      </c>
      <c r="D42" s="2" t="s">
        <v>389</v>
      </c>
      <c r="E42" s="2" t="s">
        <v>362</v>
      </c>
      <c r="F42" s="2" t="s">
        <v>390</v>
      </c>
      <c r="G42" s="2" t="s">
        <v>111</v>
      </c>
      <c r="H42" s="2" t="s">
        <v>7</v>
      </c>
      <c r="I42" s="2" t="s">
        <v>2</v>
      </c>
      <c r="K42" s="2" t="s">
        <v>224</v>
      </c>
      <c r="L42" s="2" t="s">
        <v>676</v>
      </c>
      <c r="M42" s="2" t="s">
        <v>7</v>
      </c>
      <c r="N42" s="2" t="s">
        <v>1</v>
      </c>
      <c r="O42" s="2" t="s">
        <v>365</v>
      </c>
      <c r="P42" s="2" t="s">
        <v>366</v>
      </c>
      <c r="Q42" s="2" t="s">
        <v>1</v>
      </c>
      <c r="R42" s="2" t="s">
        <v>1</v>
      </c>
      <c r="S42" s="2" t="s">
        <v>634</v>
      </c>
      <c r="T42" s="2" t="s">
        <v>368</v>
      </c>
      <c r="U42" s="2" t="s">
        <v>1</v>
      </c>
      <c r="V42" s="2" t="s">
        <v>391</v>
      </c>
      <c r="W42" s="2" t="s">
        <v>1</v>
      </c>
      <c r="X42" s="2" t="s">
        <v>94</v>
      </c>
      <c r="Z42" s="2" t="s">
        <v>94</v>
      </c>
      <c r="AA42" s="2" t="s">
        <v>1</v>
      </c>
      <c r="AB42" s="2" t="s">
        <v>1</v>
      </c>
      <c r="AC42" s="2" t="s">
        <v>1</v>
      </c>
    </row>
    <row r="43" spans="1:29" x14ac:dyDescent="0.4">
      <c r="A43" s="2" t="s">
        <v>409</v>
      </c>
      <c r="B43" s="2" t="s">
        <v>425</v>
      </c>
      <c r="C43" s="2" t="s">
        <v>426</v>
      </c>
      <c r="D43" s="2" t="s">
        <v>427</v>
      </c>
      <c r="E43" s="2" t="s">
        <v>1</v>
      </c>
      <c r="F43" s="2" t="s">
        <v>428</v>
      </c>
      <c r="G43" s="2" t="s">
        <v>106</v>
      </c>
      <c r="H43" s="2" t="s">
        <v>528</v>
      </c>
      <c r="I43" s="2" t="s">
        <v>107</v>
      </c>
      <c r="K43" s="2" t="s">
        <v>94</v>
      </c>
      <c r="L43" s="2" t="s">
        <v>1</v>
      </c>
      <c r="M43" s="2" t="s">
        <v>1</v>
      </c>
      <c r="N43" s="2" t="s">
        <v>1</v>
      </c>
      <c r="O43" s="2" t="s">
        <v>1</v>
      </c>
      <c r="P43" s="2" t="s">
        <v>1</v>
      </c>
      <c r="Q43" s="2" t="s">
        <v>1</v>
      </c>
      <c r="R43" s="2" t="s">
        <v>1</v>
      </c>
      <c r="S43" s="2" t="s">
        <v>677</v>
      </c>
      <c r="T43" s="2" t="s">
        <v>1</v>
      </c>
      <c r="U43" s="2" t="s">
        <v>1</v>
      </c>
      <c r="V43" s="2" t="s">
        <v>385</v>
      </c>
      <c r="W43" s="2" t="s">
        <v>1</v>
      </c>
      <c r="X43" s="2" t="s">
        <v>94</v>
      </c>
      <c r="Z43" s="2" t="s">
        <v>94</v>
      </c>
      <c r="AA43" s="2" t="s">
        <v>1</v>
      </c>
      <c r="AB43" s="2" t="s">
        <v>1</v>
      </c>
      <c r="AC43" s="2" t="s">
        <v>1</v>
      </c>
    </row>
    <row r="44" spans="1:29" x14ac:dyDescent="0.4">
      <c r="A44" s="2" t="s">
        <v>410</v>
      </c>
      <c r="B44" s="2" t="s">
        <v>430</v>
      </c>
      <c r="C44" s="2" t="s">
        <v>431</v>
      </c>
      <c r="D44" s="2" t="s">
        <v>432</v>
      </c>
      <c r="E44" s="2" t="s">
        <v>433</v>
      </c>
      <c r="F44" s="2" t="s">
        <v>226</v>
      </c>
      <c r="G44" s="2" t="s">
        <v>91</v>
      </c>
      <c r="H44" s="2" t="s">
        <v>434</v>
      </c>
      <c r="I44" s="2" t="s">
        <v>93</v>
      </c>
      <c r="K44" s="2" t="s">
        <v>94</v>
      </c>
      <c r="L44" s="2" t="s">
        <v>1</v>
      </c>
      <c r="M44" s="2" t="s">
        <v>7</v>
      </c>
      <c r="N44" s="2" t="s">
        <v>1</v>
      </c>
      <c r="O44" s="2" t="s">
        <v>1</v>
      </c>
      <c r="P44" s="2" t="s">
        <v>1</v>
      </c>
      <c r="Q44" s="2" t="s">
        <v>1</v>
      </c>
      <c r="R44" s="2" t="s">
        <v>1</v>
      </c>
      <c r="S44" s="2" t="s">
        <v>566</v>
      </c>
      <c r="T44" s="2" t="s">
        <v>1</v>
      </c>
      <c r="U44" s="2" t="s">
        <v>1</v>
      </c>
      <c r="V44" s="2" t="s">
        <v>385</v>
      </c>
      <c r="W44" s="2" t="s">
        <v>1</v>
      </c>
      <c r="X44" s="2" t="s">
        <v>94</v>
      </c>
      <c r="Z44" s="2" t="s">
        <v>94</v>
      </c>
      <c r="AA44" s="2" t="s">
        <v>1</v>
      </c>
      <c r="AB44" s="2" t="s">
        <v>1</v>
      </c>
      <c r="AC44" s="2" t="s">
        <v>1</v>
      </c>
    </row>
    <row r="45" spans="1:29" x14ac:dyDescent="0.4">
      <c r="A45" s="2" t="s">
        <v>413</v>
      </c>
      <c r="B45" s="2" t="s">
        <v>430</v>
      </c>
      <c r="C45" s="2" t="s">
        <v>431</v>
      </c>
      <c r="D45" s="2" t="s">
        <v>154</v>
      </c>
      <c r="E45" s="2" t="s">
        <v>433</v>
      </c>
      <c r="F45" s="2" t="s">
        <v>442</v>
      </c>
      <c r="G45" s="2" t="s">
        <v>91</v>
      </c>
      <c r="H45" s="2" t="s">
        <v>443</v>
      </c>
      <c r="I45" s="2" t="s">
        <v>93</v>
      </c>
      <c r="K45" s="2" t="s">
        <v>94</v>
      </c>
      <c r="L45" s="2" t="s">
        <v>1</v>
      </c>
      <c r="M45" s="2" t="s">
        <v>1</v>
      </c>
      <c r="N45" s="2" t="s">
        <v>678</v>
      </c>
      <c r="O45" s="2" t="s">
        <v>1</v>
      </c>
      <c r="P45" s="2" t="s">
        <v>1</v>
      </c>
      <c r="Q45" s="2" t="s">
        <v>1</v>
      </c>
      <c r="R45" s="2" t="s">
        <v>1</v>
      </c>
      <c r="S45" s="2" t="s">
        <v>679</v>
      </c>
      <c r="T45" s="2" t="s">
        <v>1</v>
      </c>
      <c r="U45" s="2" t="s">
        <v>1</v>
      </c>
      <c r="V45" s="2" t="s">
        <v>385</v>
      </c>
      <c r="W45" s="2" t="s">
        <v>1</v>
      </c>
      <c r="X45" s="2" t="s">
        <v>94</v>
      </c>
      <c r="Z45" s="2" t="s">
        <v>94</v>
      </c>
      <c r="AA45" s="2" t="s">
        <v>1</v>
      </c>
      <c r="AB45" s="2" t="s">
        <v>437</v>
      </c>
      <c r="AC45" s="2" t="s">
        <v>7</v>
      </c>
    </row>
    <row r="46" spans="1:29" x14ac:dyDescent="0.4">
      <c r="A46" s="2" t="s">
        <v>415</v>
      </c>
      <c r="B46" s="2" t="s">
        <v>430</v>
      </c>
      <c r="C46" s="2" t="s">
        <v>431</v>
      </c>
      <c r="D46" s="2" t="s">
        <v>143</v>
      </c>
      <c r="E46" s="2" t="s">
        <v>433</v>
      </c>
      <c r="F46" s="2" t="s">
        <v>627</v>
      </c>
      <c r="G46" s="2" t="s">
        <v>91</v>
      </c>
      <c r="H46" s="2" t="s">
        <v>628</v>
      </c>
      <c r="I46" s="2" t="s">
        <v>93</v>
      </c>
      <c r="K46" s="2" t="s">
        <v>94</v>
      </c>
      <c r="L46" s="2" t="s">
        <v>1</v>
      </c>
      <c r="M46" s="2" t="s">
        <v>7</v>
      </c>
      <c r="N46" s="2" t="s">
        <v>1</v>
      </c>
      <c r="O46" s="2" t="s">
        <v>1</v>
      </c>
      <c r="P46" s="2" t="s">
        <v>1</v>
      </c>
      <c r="Q46" s="2" t="s">
        <v>1</v>
      </c>
      <c r="R46" s="2" t="s">
        <v>1</v>
      </c>
      <c r="S46" s="2" t="s">
        <v>680</v>
      </c>
      <c r="T46" s="2" t="s">
        <v>1</v>
      </c>
      <c r="U46" s="2" t="s">
        <v>1</v>
      </c>
      <c r="V46" s="2" t="s">
        <v>385</v>
      </c>
      <c r="W46" s="2" t="s">
        <v>1</v>
      </c>
      <c r="X46" s="2" t="s">
        <v>94</v>
      </c>
      <c r="Z46" s="2" t="s">
        <v>94</v>
      </c>
      <c r="AA46" s="2" t="s">
        <v>1</v>
      </c>
      <c r="AB46" s="2" t="s">
        <v>437</v>
      </c>
      <c r="AC46" s="2" t="s">
        <v>1</v>
      </c>
    </row>
    <row r="47" spans="1:29" x14ac:dyDescent="0.4">
      <c r="A47" s="2" t="s">
        <v>412</v>
      </c>
      <c r="B47" s="2" t="s">
        <v>430</v>
      </c>
      <c r="C47" s="2" t="s">
        <v>431</v>
      </c>
      <c r="D47" s="2" t="s">
        <v>438</v>
      </c>
      <c r="E47" s="2" t="s">
        <v>433</v>
      </c>
      <c r="F47" s="2" t="s">
        <v>439</v>
      </c>
      <c r="G47" s="2" t="s">
        <v>91</v>
      </c>
      <c r="H47" s="2" t="s">
        <v>440</v>
      </c>
      <c r="I47" s="2" t="s">
        <v>93</v>
      </c>
      <c r="K47" s="2" t="s">
        <v>94</v>
      </c>
      <c r="L47" s="2" t="s">
        <v>1</v>
      </c>
      <c r="M47" s="2" t="s">
        <v>7</v>
      </c>
      <c r="N47" s="2" t="s">
        <v>1</v>
      </c>
      <c r="O47" s="2" t="s">
        <v>1</v>
      </c>
      <c r="P47" s="2" t="s">
        <v>1</v>
      </c>
      <c r="Q47" s="2" t="s">
        <v>1</v>
      </c>
      <c r="R47" s="2" t="s">
        <v>1</v>
      </c>
      <c r="S47" s="2" t="s">
        <v>681</v>
      </c>
      <c r="T47" s="2" t="s">
        <v>1</v>
      </c>
      <c r="U47" s="2" t="s">
        <v>1</v>
      </c>
      <c r="V47" s="2" t="s">
        <v>385</v>
      </c>
      <c r="W47" s="2" t="s">
        <v>1</v>
      </c>
      <c r="X47" s="2" t="s">
        <v>94</v>
      </c>
      <c r="Z47" s="2" t="s">
        <v>94</v>
      </c>
      <c r="AA47" s="2" t="s">
        <v>1</v>
      </c>
      <c r="AB47" s="2" t="s">
        <v>437</v>
      </c>
      <c r="AC47" s="2" t="s">
        <v>1</v>
      </c>
    </row>
    <row r="48" spans="1:29" x14ac:dyDescent="0.4">
      <c r="A48" s="2" t="s">
        <v>414</v>
      </c>
      <c r="B48" s="2" t="s">
        <v>430</v>
      </c>
      <c r="C48" s="2" t="s">
        <v>431</v>
      </c>
      <c r="D48" s="2" t="s">
        <v>630</v>
      </c>
      <c r="E48" s="2" t="s">
        <v>433</v>
      </c>
      <c r="F48" s="2" t="s">
        <v>631</v>
      </c>
      <c r="G48" s="2" t="s">
        <v>91</v>
      </c>
      <c r="H48" s="2" t="s">
        <v>1</v>
      </c>
      <c r="I48" s="2" t="s">
        <v>93</v>
      </c>
      <c r="K48" s="2" t="s">
        <v>94</v>
      </c>
      <c r="L48" s="2" t="s">
        <v>1</v>
      </c>
      <c r="M48" s="2" t="s">
        <v>7</v>
      </c>
      <c r="N48" s="2" t="s">
        <v>1</v>
      </c>
      <c r="O48" s="2" t="s">
        <v>1</v>
      </c>
      <c r="P48" s="2" t="s">
        <v>1</v>
      </c>
      <c r="Q48" s="2" t="s">
        <v>1</v>
      </c>
      <c r="R48" s="2" t="s">
        <v>1</v>
      </c>
      <c r="S48" s="2" t="s">
        <v>682</v>
      </c>
      <c r="T48" s="2" t="s">
        <v>1</v>
      </c>
      <c r="U48" s="2" t="s">
        <v>1</v>
      </c>
      <c r="V48" s="2" t="s">
        <v>385</v>
      </c>
      <c r="W48" s="2" t="s">
        <v>1</v>
      </c>
      <c r="X48" s="2" t="s">
        <v>94</v>
      </c>
      <c r="Z48" s="2" t="s">
        <v>94</v>
      </c>
      <c r="AA48" s="2" t="s">
        <v>1</v>
      </c>
      <c r="AB48" s="2" t="s">
        <v>437</v>
      </c>
      <c r="AC48" s="2" t="s">
        <v>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BB6C-6CFA-48C6-BD4A-EEB9488CE23A}">
  <dimension ref="A1:C54"/>
  <sheetViews>
    <sheetView workbookViewId="0"/>
  </sheetViews>
  <sheetFormatPr defaultRowHeight="18.75" x14ac:dyDescent="0.4"/>
  <sheetData>
    <row r="1" spans="1:1" x14ac:dyDescent="0.4">
      <c r="A1" s="2" t="s">
        <v>0</v>
      </c>
    </row>
    <row r="2" spans="1:1" x14ac:dyDescent="0.4">
      <c r="A2" s="2" t="s">
        <v>57</v>
      </c>
    </row>
    <row r="3" spans="1:1" x14ac:dyDescent="0.4">
      <c r="A3" s="2" t="s">
        <v>7</v>
      </c>
    </row>
    <row r="11" spans="1:1" x14ac:dyDescent="0.4">
      <c r="A11" s="2" t="s">
        <v>634</v>
      </c>
    </row>
    <row r="12" spans="1:1" x14ac:dyDescent="0.4">
      <c r="A12" s="2" t="s">
        <v>7</v>
      </c>
    </row>
    <row r="13" spans="1:1" x14ac:dyDescent="0.4">
      <c r="A13" s="2" t="s">
        <v>7</v>
      </c>
    </row>
    <row r="14" spans="1:1" x14ac:dyDescent="0.4">
      <c r="A14" s="2" t="s">
        <v>375</v>
      </c>
    </row>
    <row r="15" spans="1:1" x14ac:dyDescent="0.4">
      <c r="A15" s="2" t="s">
        <v>362</v>
      </c>
    </row>
    <row r="16" spans="1:1" x14ac:dyDescent="0.4">
      <c r="A16" s="2" t="s">
        <v>2</v>
      </c>
    </row>
    <row r="17" spans="1:3" x14ac:dyDescent="0.4">
      <c r="A17" s="2" t="s">
        <v>2</v>
      </c>
    </row>
    <row r="18" spans="1:3" x14ac:dyDescent="0.4">
      <c r="A18" s="2" t="s">
        <v>7</v>
      </c>
    </row>
    <row r="19" spans="1:3" x14ac:dyDescent="0.4">
      <c r="A19" s="2" t="s">
        <v>8</v>
      </c>
    </row>
    <row r="20" spans="1:3" x14ac:dyDescent="0.4">
      <c r="A20" s="2" t="s">
        <v>1</v>
      </c>
    </row>
    <row r="31" spans="1:3" x14ac:dyDescent="0.4">
      <c r="A31" s="2" t="s">
        <v>387</v>
      </c>
      <c r="B31" s="2" t="s">
        <v>672</v>
      </c>
      <c r="C31" s="2" t="s">
        <v>2</v>
      </c>
    </row>
    <row r="32" spans="1:3" x14ac:dyDescent="0.4">
      <c r="A32" s="2" t="s">
        <v>363</v>
      </c>
      <c r="B32" s="2" t="s">
        <v>675</v>
      </c>
      <c r="C32" s="2"/>
    </row>
    <row r="33" spans="1:3" x14ac:dyDescent="0.4">
      <c r="A33" s="2" t="s">
        <v>402</v>
      </c>
      <c r="B33" s="2"/>
      <c r="C33" s="2"/>
    </row>
    <row r="34" spans="1:3" x14ac:dyDescent="0.4">
      <c r="A34" s="2" t="s">
        <v>403</v>
      </c>
      <c r="B34" s="2"/>
      <c r="C34" s="2"/>
    </row>
    <row r="35" spans="1:3" x14ac:dyDescent="0.4">
      <c r="A35" s="2" t="s">
        <v>1</v>
      </c>
      <c r="B35" s="2"/>
      <c r="C35" s="2"/>
    </row>
    <row r="36" spans="1:3" x14ac:dyDescent="0.4">
      <c r="A36" s="2" t="s">
        <v>2</v>
      </c>
      <c r="B36" s="2"/>
      <c r="C36" s="2"/>
    </row>
    <row r="37" spans="1:3" x14ac:dyDescent="0.4">
      <c r="A37" s="2" t="s">
        <v>2</v>
      </c>
      <c r="B37" s="2"/>
      <c r="C37" s="2"/>
    </row>
    <row r="38" spans="1:3" x14ac:dyDescent="0.4">
      <c r="A38" s="2" t="s">
        <v>1</v>
      </c>
      <c r="B38" s="2"/>
      <c r="C38" s="2"/>
    </row>
    <row r="39" spans="1:3" x14ac:dyDescent="0.4">
      <c r="A39" t="s">
        <v>613</v>
      </c>
    </row>
    <row r="51" spans="1:1" x14ac:dyDescent="0.4">
      <c r="A51" s="2" t="s">
        <v>739</v>
      </c>
    </row>
    <row r="52" spans="1:1" x14ac:dyDescent="0.4">
      <c r="A52" s="2" t="s">
        <v>1</v>
      </c>
    </row>
    <row r="53" spans="1:1" x14ac:dyDescent="0.4">
      <c r="A53" s="2" t="s">
        <v>1</v>
      </c>
    </row>
    <row r="54" spans="1:1" x14ac:dyDescent="0.4">
      <c r="A54" s="2" t="s">
        <v>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DE0F5-2CBD-4819-B32C-58955A2A94D8}">
  <dimension ref="A1:AE44"/>
  <sheetViews>
    <sheetView tabSelected="1" view="pageBreakPreview" topLeftCell="A2" zoomScaleNormal="100" zoomScaleSheetLayoutView="100" workbookViewId="0">
      <selection activeCell="AG26" sqref="AG26"/>
    </sheetView>
  </sheetViews>
  <sheetFormatPr defaultRowHeight="18.75" x14ac:dyDescent="0.4"/>
  <cols>
    <col min="1" max="1" width="1.625" style="4" customWidth="1"/>
    <col min="2" max="2" width="4.5" style="4" customWidth="1"/>
    <col min="3" max="3" width="2.375" style="4" customWidth="1"/>
    <col min="4" max="4" width="2.75" style="4" customWidth="1"/>
    <col min="5" max="6" width="4.5" style="4" customWidth="1"/>
    <col min="7" max="7" width="2.25" style="4" customWidth="1"/>
    <col min="8" max="8" width="2.625" style="4" customWidth="1"/>
    <col min="9" max="12" width="4.125" style="4" customWidth="1"/>
    <col min="13" max="13" width="4.625" style="4" customWidth="1"/>
    <col min="14" max="14" width="2.375" style="4" customWidth="1"/>
    <col min="15" max="15" width="1.625" style="4" customWidth="1"/>
    <col min="16" max="20" width="4.5" style="4" customWidth="1"/>
    <col min="21" max="21" width="4.625" style="4" customWidth="1"/>
    <col min="22" max="30" width="4.625" style="4" hidden="1" customWidth="1"/>
    <col min="31" max="31" width="1.625" style="4" customWidth="1"/>
    <col min="32" max="32" width="4.625" style="4" customWidth="1"/>
    <col min="33" max="16384" width="9" style="4"/>
  </cols>
  <sheetData>
    <row r="1" spans="1:31" hidden="1" x14ac:dyDescent="0.4"/>
    <row r="2" spans="1:31" ht="30" customHeight="1" x14ac:dyDescent="0.4">
      <c r="I2" s="69" t="s">
        <v>616</v>
      </c>
      <c r="J2" s="69"/>
      <c r="K2" s="69"/>
      <c r="L2" s="69"/>
      <c r="M2" s="69"/>
      <c r="N2" s="69"/>
      <c r="O2" s="69"/>
      <c r="P2" s="69"/>
    </row>
    <row r="3" spans="1:31" ht="15.75" customHeight="1" x14ac:dyDescent="0.4">
      <c r="I3" s="69"/>
      <c r="J3" s="69"/>
      <c r="K3" s="69"/>
      <c r="L3" s="69"/>
      <c r="M3" s="69"/>
      <c r="N3" s="69"/>
      <c r="O3" s="69"/>
      <c r="P3" s="69"/>
    </row>
    <row r="4" spans="1:31" ht="19.5" x14ac:dyDescent="0.4">
      <c r="B4" s="84"/>
      <c r="C4" s="84"/>
      <c r="D4" s="84"/>
      <c r="E4" s="84"/>
      <c r="F4" s="84"/>
      <c r="G4" s="84"/>
      <c r="H4" s="84"/>
      <c r="I4" s="84"/>
      <c r="J4" s="84"/>
      <c r="K4" s="22" t="s">
        <v>460</v>
      </c>
      <c r="L4" s="22"/>
      <c r="M4" s="5"/>
    </row>
    <row r="5" spans="1:31" ht="6.75" customHeight="1" x14ac:dyDescent="0.4"/>
    <row r="6" spans="1:31" ht="15" customHeight="1" x14ac:dyDescent="0.4">
      <c r="B6" s="4" t="s">
        <v>41</v>
      </c>
    </row>
    <row r="7" spans="1:31" ht="15" customHeight="1" x14ac:dyDescent="0.4">
      <c r="B7" s="4" t="s">
        <v>42</v>
      </c>
    </row>
    <row r="8" spans="1:31" ht="6.75" customHeight="1" x14ac:dyDescent="0.4"/>
    <row r="9" spans="1:31" ht="15" customHeight="1" x14ac:dyDescent="0.4">
      <c r="B9" s="67"/>
      <c r="C9" s="67"/>
      <c r="D9" s="67"/>
      <c r="E9" s="58" t="s">
        <v>82</v>
      </c>
      <c r="F9" s="59"/>
      <c r="G9" s="59"/>
      <c r="H9" s="59"/>
      <c r="I9" s="59"/>
      <c r="J9" s="60"/>
      <c r="K9" s="61"/>
      <c r="L9" s="62"/>
      <c r="M9" s="62"/>
      <c r="N9" s="62"/>
      <c r="O9" s="62"/>
      <c r="P9" s="62"/>
      <c r="Q9" s="62"/>
      <c r="R9" s="62"/>
      <c r="S9" s="62"/>
      <c r="T9" s="62"/>
      <c r="U9" s="62"/>
      <c r="V9" s="6"/>
      <c r="W9" s="6"/>
      <c r="X9" s="6"/>
      <c r="Y9" s="6"/>
      <c r="Z9" s="6"/>
      <c r="AA9" s="6"/>
      <c r="AB9" s="6"/>
      <c r="AC9" s="6"/>
      <c r="AD9" s="6"/>
    </row>
    <row r="10" spans="1:31" ht="16.5" customHeight="1" x14ac:dyDescent="0.4">
      <c r="A10" s="7"/>
      <c r="B10" s="35" t="s">
        <v>43</v>
      </c>
      <c r="C10" s="35"/>
      <c r="D10" s="8"/>
      <c r="E10" s="63" t="s">
        <v>81</v>
      </c>
      <c r="F10" s="63"/>
      <c r="G10" s="63"/>
      <c r="H10" s="63"/>
      <c r="I10" s="43"/>
      <c r="J10" s="72" t="str">
        <f>"（ "&amp;" "&amp;V10&amp;" "&amp;"） "</f>
        <v xml:space="preserve">（  ##患者情報.本人情報.性別 ） </v>
      </c>
      <c r="K10" s="73"/>
      <c r="L10" s="73"/>
      <c r="M10" s="77" t="s">
        <v>134</v>
      </c>
      <c r="N10" s="77"/>
      <c r="O10" s="77"/>
      <c r="P10" s="63" t="s">
        <v>136</v>
      </c>
      <c r="Q10" s="63"/>
      <c r="R10" s="63"/>
      <c r="S10" s="63"/>
      <c r="T10" s="63"/>
      <c r="U10" s="63"/>
      <c r="V10" s="9" t="s">
        <v>83</v>
      </c>
      <c r="W10" s="10"/>
      <c r="X10" s="10"/>
      <c r="Y10" s="10"/>
      <c r="Z10" s="10"/>
      <c r="AA10" s="10"/>
      <c r="AB10" s="10"/>
      <c r="AC10" s="10"/>
      <c r="AD10" s="10"/>
      <c r="AE10" s="7"/>
    </row>
    <row r="11" spans="1:31" ht="16.5" customHeight="1" x14ac:dyDescent="0.4">
      <c r="A11" s="7"/>
      <c r="B11" s="35" t="s">
        <v>44</v>
      </c>
      <c r="C11" s="35"/>
      <c r="D11" s="8"/>
      <c r="E11" s="74" t="s">
        <v>85</v>
      </c>
      <c r="F11" s="74"/>
      <c r="G11" s="74"/>
      <c r="H11" s="74"/>
      <c r="I11" s="75"/>
      <c r="J11" s="52" t="str">
        <f>"（"&amp;" "&amp;V11&amp;"　"&amp;"歳"&amp;"）"</f>
        <v>（ ##患者情報.本人情報.年齢　歳）</v>
      </c>
      <c r="K11" s="76"/>
      <c r="L11" s="76"/>
      <c r="M11" s="77" t="s">
        <v>135</v>
      </c>
      <c r="N11" s="77"/>
      <c r="O11" s="77"/>
      <c r="P11" s="63" t="s">
        <v>137</v>
      </c>
      <c r="Q11" s="63"/>
      <c r="R11" s="63"/>
      <c r="S11" s="63"/>
      <c r="T11" s="63"/>
      <c r="U11" s="63"/>
      <c r="V11" s="9" t="s">
        <v>86</v>
      </c>
      <c r="W11" s="11"/>
      <c r="X11" s="10"/>
      <c r="Y11" s="10"/>
      <c r="Z11" s="10"/>
      <c r="AA11" s="10"/>
      <c r="AB11" s="10"/>
      <c r="AC11" s="10"/>
      <c r="AD11" s="10"/>
      <c r="AE11" s="7"/>
    </row>
    <row r="12" spans="1:31" ht="16.5" customHeight="1" x14ac:dyDescent="0.4">
      <c r="A12" s="7"/>
      <c r="B12" s="35" t="s">
        <v>45</v>
      </c>
      <c r="C12" s="35"/>
      <c r="D12" s="8"/>
      <c r="E12" s="63" t="s">
        <v>138</v>
      </c>
      <c r="F12" s="63"/>
      <c r="G12" s="63"/>
      <c r="H12" s="63"/>
      <c r="I12" s="63"/>
      <c r="J12" s="63"/>
      <c r="K12" s="63"/>
      <c r="L12" s="63"/>
      <c r="M12" s="63"/>
      <c r="N12" s="63"/>
      <c r="O12" s="63"/>
      <c r="P12" s="63"/>
      <c r="Q12" s="63"/>
      <c r="R12" s="63"/>
      <c r="S12" s="63"/>
      <c r="T12" s="63"/>
      <c r="U12" s="63"/>
      <c r="V12" s="10"/>
      <c r="W12" s="10"/>
      <c r="X12" s="10"/>
      <c r="Y12" s="10"/>
      <c r="Z12" s="10"/>
      <c r="AA12" s="10"/>
      <c r="AB12" s="10"/>
      <c r="AC12" s="10"/>
      <c r="AD12" s="10"/>
      <c r="AE12" s="7"/>
    </row>
    <row r="13" spans="1:31" ht="6.75" customHeight="1" x14ac:dyDescent="0.4">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row>
    <row r="14" spans="1:31" ht="16.5" customHeight="1" x14ac:dyDescent="0.4">
      <c r="A14" s="7"/>
      <c r="B14" s="35" t="s">
        <v>46</v>
      </c>
      <c r="C14" s="35"/>
      <c r="D14" s="21"/>
      <c r="E14" s="43" t="s">
        <v>139</v>
      </c>
      <c r="F14" s="44"/>
      <c r="G14" s="44"/>
      <c r="H14" s="44"/>
      <c r="I14" s="44"/>
      <c r="J14" s="44"/>
      <c r="K14" s="45"/>
      <c r="L14" s="42" t="s">
        <v>61</v>
      </c>
      <c r="M14" s="42"/>
      <c r="N14" s="12"/>
      <c r="O14" s="50" t="s">
        <v>197</v>
      </c>
      <c r="P14" s="48"/>
      <c r="Q14" s="48"/>
      <c r="R14" s="48"/>
      <c r="S14" s="48"/>
      <c r="T14" s="48"/>
      <c r="U14" s="49"/>
      <c r="V14" s="10"/>
      <c r="W14" s="10"/>
      <c r="X14" s="10"/>
      <c r="Y14" s="10"/>
      <c r="Z14" s="10"/>
      <c r="AA14" s="10"/>
      <c r="AB14" s="10"/>
      <c r="AC14" s="10"/>
      <c r="AD14" s="10"/>
      <c r="AE14" s="7"/>
    </row>
    <row r="15" spans="1:31" ht="16.5" customHeight="1" x14ac:dyDescent="0.4">
      <c r="A15" s="7"/>
      <c r="B15" s="35" t="s">
        <v>47</v>
      </c>
      <c r="C15" s="35"/>
      <c r="D15" s="21"/>
      <c r="E15" s="43" t="str">
        <f>_xlfn.TEXTJOIN("・", TRUE, W15:Z15)</f>
        <v>#・#・指・示</v>
      </c>
      <c r="F15" s="44"/>
      <c r="G15" s="44"/>
      <c r="H15" s="44"/>
      <c r="I15" s="44"/>
      <c r="J15" s="44"/>
      <c r="K15" s="45"/>
      <c r="L15" s="42" t="s">
        <v>62</v>
      </c>
      <c r="M15" s="42"/>
      <c r="N15" s="12"/>
      <c r="O15" s="55" t="s">
        <v>198</v>
      </c>
      <c r="P15" s="56"/>
      <c r="Q15" s="56"/>
      <c r="R15" s="56"/>
      <c r="S15" s="56"/>
      <c r="T15" s="56"/>
      <c r="U15" s="57"/>
      <c r="V15" s="9" t="s">
        <v>140</v>
      </c>
      <c r="W15" s="13" t="str">
        <f>IF(LEN($V15) &gt;= 1, MID($V15, 1, 1), "")</f>
        <v>#</v>
      </c>
      <c r="X15" s="13" t="str">
        <f>IF(LEN($V15) &gt;= 2, MID($V15, 2, 1), "")</f>
        <v>#</v>
      </c>
      <c r="Y15" s="13" t="str">
        <f>IF(LEN($V15) &gt;= 3, MID($V15, 3, 1), "")</f>
        <v>指</v>
      </c>
      <c r="Z15" s="13" t="str">
        <f>IF(LEN($V15) &gt;= 4, MID($V15, 4, 1), "")</f>
        <v>示</v>
      </c>
      <c r="AA15" s="10"/>
      <c r="AB15" s="10"/>
      <c r="AC15" s="10"/>
      <c r="AD15" s="10"/>
      <c r="AE15" s="7"/>
    </row>
    <row r="16" spans="1:31" ht="16.5" customHeight="1" x14ac:dyDescent="0.4">
      <c r="A16" s="7"/>
      <c r="B16" s="35" t="s">
        <v>48</v>
      </c>
      <c r="C16" s="35"/>
      <c r="D16" s="21"/>
      <c r="E16" s="81" t="s">
        <v>185</v>
      </c>
      <c r="F16" s="82"/>
      <c r="G16" s="82"/>
      <c r="H16" s="83" t="s">
        <v>190</v>
      </c>
      <c r="I16" s="83"/>
      <c r="J16" s="51"/>
      <c r="K16" s="52"/>
      <c r="L16" s="42" t="s">
        <v>63</v>
      </c>
      <c r="M16" s="42"/>
      <c r="N16" s="12"/>
      <c r="O16" s="50" t="s">
        <v>199</v>
      </c>
      <c r="P16" s="48"/>
      <c r="Q16" s="48"/>
      <c r="R16" s="48"/>
      <c r="S16" s="48"/>
      <c r="T16" s="48"/>
      <c r="U16" s="49"/>
      <c r="V16" s="13"/>
      <c r="W16" s="10"/>
      <c r="X16" s="10"/>
      <c r="Y16" s="10"/>
      <c r="Z16" s="10"/>
      <c r="AA16" s="10"/>
      <c r="AB16" s="10"/>
      <c r="AC16" s="10"/>
      <c r="AD16" s="10"/>
      <c r="AE16" s="7"/>
    </row>
    <row r="17" spans="1:31" ht="16.5" customHeight="1" x14ac:dyDescent="0.4">
      <c r="A17" s="7"/>
      <c r="B17" s="35" t="s">
        <v>49</v>
      </c>
      <c r="C17" s="35"/>
      <c r="D17" s="68"/>
      <c r="E17" s="43" t="s">
        <v>186</v>
      </c>
      <c r="F17" s="44"/>
      <c r="G17" s="44"/>
      <c r="H17" s="44"/>
      <c r="I17" s="44"/>
      <c r="J17" s="44"/>
      <c r="K17" s="45"/>
      <c r="L17" s="66"/>
      <c r="M17" s="66"/>
      <c r="N17" s="66"/>
      <c r="O17" s="66"/>
      <c r="P17" s="66"/>
      <c r="Q17" s="66"/>
      <c r="R17" s="66"/>
      <c r="S17" s="66"/>
      <c r="T17" s="66"/>
      <c r="U17" s="66"/>
      <c r="V17" s="10"/>
      <c r="W17" s="10"/>
      <c r="X17" s="10"/>
      <c r="Y17" s="10"/>
      <c r="Z17" s="10"/>
      <c r="AA17" s="10"/>
      <c r="AB17" s="10"/>
      <c r="AC17" s="10"/>
      <c r="AD17" s="10"/>
      <c r="AE17" s="7"/>
    </row>
    <row r="18" spans="1:31" ht="16.5" customHeight="1" x14ac:dyDescent="0.4">
      <c r="A18" s="7"/>
      <c r="B18" s="35" t="s">
        <v>50</v>
      </c>
      <c r="C18" s="35"/>
      <c r="D18" s="68"/>
      <c r="E18" s="43" t="s">
        <v>338</v>
      </c>
      <c r="F18" s="44"/>
      <c r="G18" s="44"/>
      <c r="H18" s="44"/>
      <c r="I18" s="44"/>
      <c r="J18" s="44"/>
      <c r="K18" s="45"/>
      <c r="L18" s="42" t="s">
        <v>64</v>
      </c>
      <c r="M18" s="42"/>
      <c r="N18" s="12"/>
      <c r="O18" s="36" t="s">
        <v>201</v>
      </c>
      <c r="P18" s="37"/>
      <c r="Q18" s="37"/>
      <c r="R18" s="37"/>
      <c r="S18" s="46" t="s">
        <v>200</v>
      </c>
      <c r="T18" s="46"/>
      <c r="U18" s="47"/>
      <c r="V18" s="10"/>
      <c r="W18" s="10"/>
      <c r="X18" s="10"/>
      <c r="Y18" s="10"/>
      <c r="Z18" s="10"/>
      <c r="AA18" s="10"/>
      <c r="AB18" s="10"/>
      <c r="AC18" s="10"/>
      <c r="AD18" s="10"/>
      <c r="AE18" s="7"/>
    </row>
    <row r="19" spans="1:31" ht="16.5" customHeight="1" x14ac:dyDescent="0.4">
      <c r="A19" s="7"/>
      <c r="B19" s="35" t="s">
        <v>51</v>
      </c>
      <c r="C19" s="35"/>
      <c r="D19" s="68"/>
      <c r="E19" s="43" t="s">
        <v>340</v>
      </c>
      <c r="F19" s="44"/>
      <c r="G19" s="44"/>
      <c r="H19" s="44"/>
      <c r="I19" s="44"/>
      <c r="J19" s="44"/>
      <c r="K19" s="45"/>
      <c r="L19" s="42" t="s">
        <v>65</v>
      </c>
      <c r="M19" s="42"/>
      <c r="N19" s="12"/>
      <c r="O19" s="50" t="s">
        <v>202</v>
      </c>
      <c r="P19" s="48"/>
      <c r="Q19" s="48"/>
      <c r="R19" s="48"/>
      <c r="S19" s="48"/>
      <c r="T19" s="48"/>
      <c r="U19" s="49"/>
      <c r="V19" s="10"/>
      <c r="W19" s="10"/>
      <c r="X19" s="10"/>
      <c r="Y19" s="10"/>
      <c r="Z19" s="10"/>
      <c r="AA19" s="10"/>
      <c r="AB19" s="10"/>
      <c r="AC19" s="10"/>
      <c r="AD19" s="10"/>
      <c r="AE19" s="7"/>
    </row>
    <row r="20" spans="1:31" ht="16.5" customHeight="1" x14ac:dyDescent="0.4">
      <c r="A20" s="7"/>
      <c r="B20" s="35" t="s">
        <v>52</v>
      </c>
      <c r="C20" s="35"/>
      <c r="D20" s="21"/>
      <c r="E20" s="85" t="s">
        <v>615</v>
      </c>
      <c r="F20" s="86"/>
      <c r="G20" s="86"/>
      <c r="H20" s="20" t="s">
        <v>191</v>
      </c>
      <c r="I20" s="53"/>
      <c r="J20" s="53"/>
      <c r="K20" s="54"/>
      <c r="L20" s="42" t="s">
        <v>66</v>
      </c>
      <c r="M20" s="42"/>
      <c r="N20" s="12"/>
      <c r="O20" s="40" t="s">
        <v>203</v>
      </c>
      <c r="P20" s="41"/>
      <c r="Q20" s="41"/>
      <c r="R20" s="41"/>
      <c r="S20" s="48" t="s">
        <v>204</v>
      </c>
      <c r="T20" s="48"/>
      <c r="U20" s="49"/>
      <c r="V20" s="10"/>
      <c r="W20" s="10"/>
      <c r="X20" s="10"/>
      <c r="Y20" s="10"/>
      <c r="Z20" s="10"/>
      <c r="AA20" s="10"/>
      <c r="AB20" s="10"/>
      <c r="AC20" s="10"/>
      <c r="AD20" s="10"/>
      <c r="AE20" s="7"/>
    </row>
    <row r="21" spans="1:31" ht="16.5" customHeight="1" x14ac:dyDescent="0.4">
      <c r="A21" s="7"/>
      <c r="B21" s="35" t="s">
        <v>53</v>
      </c>
      <c r="C21" s="35"/>
      <c r="D21" s="21"/>
      <c r="E21" s="85" t="s">
        <v>194</v>
      </c>
      <c r="F21" s="86"/>
      <c r="G21" s="86"/>
      <c r="H21" s="20" t="s">
        <v>192</v>
      </c>
      <c r="I21" s="56" t="s">
        <v>195</v>
      </c>
      <c r="J21" s="56"/>
      <c r="K21" s="57"/>
      <c r="L21" s="42" t="s">
        <v>67</v>
      </c>
      <c r="M21" s="42"/>
      <c r="N21" s="12"/>
      <c r="O21" s="36" t="s">
        <v>206</v>
      </c>
      <c r="P21" s="37"/>
      <c r="Q21" s="37"/>
      <c r="R21" s="37"/>
      <c r="S21" s="48" t="s">
        <v>205</v>
      </c>
      <c r="T21" s="48"/>
      <c r="U21" s="49"/>
      <c r="V21" s="10"/>
      <c r="W21" s="10"/>
      <c r="X21" s="10"/>
      <c r="Y21" s="10"/>
      <c r="Z21" s="10"/>
      <c r="AA21" s="10"/>
      <c r="AB21" s="10"/>
      <c r="AC21" s="10"/>
      <c r="AD21" s="10"/>
      <c r="AE21" s="7"/>
    </row>
    <row r="22" spans="1:31" ht="16.5" customHeight="1" x14ac:dyDescent="0.4">
      <c r="A22" s="7"/>
      <c r="B22" s="35" t="s">
        <v>54</v>
      </c>
      <c r="C22" s="35"/>
      <c r="D22" s="68"/>
      <c r="E22" s="85" t="s">
        <v>196</v>
      </c>
      <c r="F22" s="86"/>
      <c r="G22" s="86"/>
      <c r="H22" s="20" t="s">
        <v>191</v>
      </c>
      <c r="I22" s="53"/>
      <c r="J22" s="53"/>
      <c r="K22" s="54"/>
      <c r="L22" s="42" t="s">
        <v>68</v>
      </c>
      <c r="M22" s="42"/>
      <c r="N22" s="12"/>
      <c r="O22" s="40" t="s">
        <v>207</v>
      </c>
      <c r="P22" s="41"/>
      <c r="Q22" s="41"/>
      <c r="R22" s="41"/>
      <c r="S22" s="48" t="s">
        <v>204</v>
      </c>
      <c r="T22" s="48"/>
      <c r="U22" s="49"/>
      <c r="V22" s="10"/>
      <c r="W22" s="10"/>
      <c r="X22" s="10"/>
      <c r="Y22" s="10"/>
      <c r="Z22" s="10"/>
      <c r="AA22" s="10"/>
      <c r="AB22" s="10"/>
      <c r="AC22" s="10"/>
      <c r="AD22" s="10"/>
      <c r="AE22" s="7"/>
    </row>
    <row r="23" spans="1:31" ht="16.5" customHeight="1" x14ac:dyDescent="0.4">
      <c r="A23" s="7"/>
      <c r="B23" s="65"/>
      <c r="C23" s="65"/>
      <c r="D23" s="65"/>
      <c r="E23" s="65"/>
      <c r="F23" s="65"/>
      <c r="G23" s="65"/>
      <c r="H23" s="65"/>
      <c r="I23" s="65"/>
      <c r="J23" s="65"/>
      <c r="K23" s="65"/>
      <c r="L23" s="42" t="s">
        <v>69</v>
      </c>
      <c r="M23" s="42"/>
      <c r="N23" s="12"/>
      <c r="O23" s="50" t="s">
        <v>208</v>
      </c>
      <c r="P23" s="48"/>
      <c r="Q23" s="48"/>
      <c r="R23" s="48"/>
      <c r="S23" s="48"/>
      <c r="T23" s="48"/>
      <c r="U23" s="49"/>
      <c r="V23" s="10"/>
      <c r="W23" s="10"/>
      <c r="X23" s="10"/>
      <c r="Y23" s="10"/>
      <c r="Z23" s="10"/>
      <c r="AA23" s="10"/>
      <c r="AB23" s="10"/>
      <c r="AC23" s="10"/>
      <c r="AD23" s="10"/>
      <c r="AE23" s="7"/>
    </row>
    <row r="24" spans="1:31" ht="16.5" customHeight="1" x14ac:dyDescent="0.4">
      <c r="A24" s="7"/>
      <c r="B24" s="35" t="s">
        <v>55</v>
      </c>
      <c r="C24" s="35"/>
      <c r="D24" s="8"/>
      <c r="E24" s="63" t="s">
        <v>347</v>
      </c>
      <c r="F24" s="63"/>
      <c r="G24" s="63"/>
      <c r="H24" s="63"/>
      <c r="I24" s="63"/>
      <c r="J24" s="63"/>
      <c r="K24" s="63"/>
      <c r="L24" s="42" t="s">
        <v>70</v>
      </c>
      <c r="M24" s="42"/>
      <c r="N24" s="12"/>
      <c r="O24" s="55" t="s">
        <v>209</v>
      </c>
      <c r="P24" s="56"/>
      <c r="Q24" s="56"/>
      <c r="R24" s="56"/>
      <c r="S24" s="56"/>
      <c r="T24" s="56"/>
      <c r="U24" s="57"/>
      <c r="V24" s="10"/>
      <c r="W24" s="10"/>
      <c r="X24" s="10"/>
      <c r="Y24" s="10"/>
      <c r="Z24" s="10"/>
      <c r="AA24" s="10"/>
      <c r="AB24" s="10"/>
      <c r="AC24" s="10"/>
      <c r="AD24" s="10"/>
      <c r="AE24" s="7"/>
    </row>
    <row r="25" spans="1:31" ht="16.5" customHeight="1" x14ac:dyDescent="0.4">
      <c r="A25" s="7"/>
      <c r="B25" s="35" t="s">
        <v>56</v>
      </c>
      <c r="C25" s="35"/>
      <c r="D25" s="8"/>
      <c r="E25" s="63" t="str">
        <f>V25&amp;" "&amp;W25</f>
        <v>##患者情報.感染症(+)(-)(不明).感染症 ##患者情報.感染症(+)(-)(不明).感染症結果</v>
      </c>
      <c r="F25" s="63"/>
      <c r="G25" s="63"/>
      <c r="H25" s="63"/>
      <c r="I25" s="64" t="str">
        <f>X25&amp;" "&amp;Y25</f>
        <v xml:space="preserve"> </v>
      </c>
      <c r="J25" s="64"/>
      <c r="K25" s="64"/>
      <c r="L25" s="42" t="s">
        <v>71</v>
      </c>
      <c r="M25" s="42"/>
      <c r="N25" s="12"/>
      <c r="O25" s="50" t="s">
        <v>210</v>
      </c>
      <c r="P25" s="48"/>
      <c r="Q25" s="48"/>
      <c r="R25" s="48"/>
      <c r="S25" s="48"/>
      <c r="T25" s="48"/>
      <c r="U25" s="49"/>
      <c r="V25" s="9" t="s">
        <v>470</v>
      </c>
      <c r="W25" s="9" t="s">
        <v>488</v>
      </c>
      <c r="X25" s="10"/>
      <c r="Y25" s="10"/>
      <c r="Z25" s="10"/>
      <c r="AA25" s="10"/>
      <c r="AB25" s="10"/>
      <c r="AC25" s="10"/>
      <c r="AD25" s="10"/>
      <c r="AE25" s="7"/>
    </row>
    <row r="26" spans="1:31" ht="16.5" customHeight="1" x14ac:dyDescent="0.4">
      <c r="A26" s="7"/>
      <c r="B26" s="70"/>
      <c r="C26" s="70"/>
      <c r="D26" s="87"/>
      <c r="E26" s="63" t="str">
        <f t="shared" ref="E26:E27" si="0">V26&amp;" "&amp;W26</f>
        <v xml:space="preserve"> </v>
      </c>
      <c r="F26" s="63"/>
      <c r="G26" s="63"/>
      <c r="H26" s="63"/>
      <c r="I26" s="64" t="str">
        <f t="shared" ref="I26:I27" si="1">X26&amp;" "&amp;Y26</f>
        <v xml:space="preserve"> </v>
      </c>
      <c r="J26" s="64"/>
      <c r="K26" s="64"/>
      <c r="L26" s="42" t="s">
        <v>72</v>
      </c>
      <c r="M26" s="42"/>
      <c r="N26" s="12"/>
      <c r="O26" s="36" t="s">
        <v>729</v>
      </c>
      <c r="P26" s="37"/>
      <c r="Q26" s="37"/>
      <c r="R26" s="37"/>
      <c r="S26" s="37"/>
      <c r="T26" s="38"/>
      <c r="U26" s="39"/>
      <c r="V26" s="10"/>
      <c r="W26" s="10"/>
      <c r="X26" s="10"/>
      <c r="Y26" s="10"/>
      <c r="Z26" s="10"/>
      <c r="AA26" s="10"/>
      <c r="AB26" s="10"/>
      <c r="AC26" s="10"/>
      <c r="AD26" s="10"/>
      <c r="AE26" s="7"/>
    </row>
    <row r="27" spans="1:31" ht="16.5" customHeight="1" x14ac:dyDescent="0.4">
      <c r="A27" s="7"/>
      <c r="B27" s="70"/>
      <c r="C27" s="70"/>
      <c r="D27" s="87"/>
      <c r="E27" s="63" t="str">
        <f t="shared" si="0"/>
        <v xml:space="preserve"> </v>
      </c>
      <c r="F27" s="63"/>
      <c r="G27" s="63"/>
      <c r="H27" s="63"/>
      <c r="I27" s="64" t="str">
        <f t="shared" si="1"/>
        <v xml:space="preserve"> </v>
      </c>
      <c r="J27" s="64"/>
      <c r="K27" s="64"/>
      <c r="L27" s="42" t="s">
        <v>73</v>
      </c>
      <c r="M27" s="42"/>
      <c r="N27" s="12"/>
      <c r="O27" s="40" t="s">
        <v>212</v>
      </c>
      <c r="P27" s="41"/>
      <c r="Q27" s="41"/>
      <c r="R27" s="41"/>
      <c r="S27" s="41"/>
      <c r="T27" s="38"/>
      <c r="U27" s="39"/>
      <c r="V27" s="10"/>
      <c r="W27" s="10"/>
      <c r="X27" s="10"/>
      <c r="Y27" s="10"/>
      <c r="Z27" s="10"/>
      <c r="AA27" s="10"/>
      <c r="AB27" s="10"/>
      <c r="AC27" s="10"/>
      <c r="AD27" s="10"/>
      <c r="AE27" s="7"/>
    </row>
    <row r="28" spans="1:31" ht="6" customHeight="1" x14ac:dyDescent="0.4">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row>
    <row r="29" spans="1:31" ht="15" customHeight="1" x14ac:dyDescent="0.4">
      <c r="B29" s="88" t="s">
        <v>74</v>
      </c>
      <c r="C29" s="89"/>
      <c r="D29" s="89"/>
      <c r="E29" s="89"/>
      <c r="F29" s="89"/>
      <c r="G29" s="89"/>
      <c r="H29" s="90"/>
      <c r="I29" s="30"/>
      <c r="J29" s="30"/>
      <c r="K29" s="30"/>
      <c r="L29" s="30"/>
      <c r="N29" s="88" t="s">
        <v>75</v>
      </c>
      <c r="O29" s="89"/>
      <c r="P29" s="89"/>
      <c r="Q29" s="89"/>
      <c r="R29" s="89"/>
      <c r="S29" s="89"/>
      <c r="T29" s="89"/>
      <c r="U29" s="90"/>
      <c r="V29" s="6"/>
      <c r="W29" s="6"/>
      <c r="X29" s="6"/>
      <c r="Y29" s="6"/>
      <c r="Z29" s="6"/>
      <c r="AA29" s="6"/>
      <c r="AB29" s="6"/>
      <c r="AC29" s="6"/>
      <c r="AD29" s="6"/>
    </row>
    <row r="30" spans="1:31" ht="18" customHeight="1" x14ac:dyDescent="0.4">
      <c r="B30" s="30"/>
      <c r="C30" s="30"/>
      <c r="D30" s="30"/>
      <c r="E30" s="30"/>
      <c r="F30" s="30"/>
      <c r="G30" s="30"/>
      <c r="H30" s="30"/>
      <c r="I30" s="23" t="s">
        <v>380</v>
      </c>
      <c r="J30" s="14"/>
      <c r="K30" s="14"/>
      <c r="L30" s="14"/>
      <c r="N30" s="78" t="s">
        <v>408</v>
      </c>
      <c r="O30" s="79"/>
      <c r="P30" s="79"/>
      <c r="Q30" s="79"/>
      <c r="R30" s="79"/>
      <c r="S30" s="79"/>
      <c r="T30" s="79"/>
      <c r="U30" s="80"/>
      <c r="V30" s="6"/>
      <c r="W30" s="6"/>
      <c r="X30" s="6"/>
      <c r="Y30" s="6"/>
      <c r="Z30" s="6"/>
      <c r="AA30" s="6"/>
      <c r="AB30" s="6"/>
      <c r="AC30" s="6"/>
      <c r="AD30" s="6"/>
    </row>
    <row r="31" spans="1:31" ht="18" customHeight="1" x14ac:dyDescent="0.4">
      <c r="B31" s="91" t="s">
        <v>378</v>
      </c>
      <c r="C31" s="91"/>
      <c r="D31" s="91"/>
      <c r="E31" s="91"/>
      <c r="F31" s="91"/>
      <c r="G31" s="91"/>
      <c r="H31" s="91"/>
      <c r="I31" s="15" t="s">
        <v>379</v>
      </c>
      <c r="J31" s="16"/>
      <c r="K31" s="16"/>
      <c r="L31" s="16"/>
      <c r="N31" s="27"/>
      <c r="O31" s="28"/>
      <c r="P31" s="28"/>
      <c r="Q31" s="28"/>
      <c r="R31" s="28"/>
      <c r="S31" s="28"/>
      <c r="T31" s="28"/>
      <c r="U31" s="29"/>
      <c r="V31" s="6"/>
      <c r="W31" s="6"/>
      <c r="X31" s="6"/>
      <c r="Y31" s="6"/>
      <c r="Z31" s="6"/>
      <c r="AA31" s="6"/>
      <c r="AB31" s="6"/>
      <c r="AC31" s="6"/>
      <c r="AD31" s="6"/>
    </row>
    <row r="32" spans="1:31" ht="18" customHeight="1" x14ac:dyDescent="0.4">
      <c r="B32" s="30"/>
      <c r="C32" s="30"/>
      <c r="D32" s="30"/>
      <c r="E32" s="30"/>
      <c r="F32" s="30"/>
      <c r="G32" s="30"/>
      <c r="H32" s="30"/>
      <c r="I32" s="16"/>
      <c r="J32" s="16"/>
      <c r="K32" s="16"/>
      <c r="L32" s="16"/>
      <c r="N32" s="27"/>
      <c r="O32" s="28"/>
      <c r="P32" s="28"/>
      <c r="Q32" s="28"/>
      <c r="R32" s="28"/>
      <c r="S32" s="28"/>
      <c r="T32" s="28"/>
      <c r="U32" s="29"/>
      <c r="V32" s="6"/>
      <c r="W32" s="6"/>
      <c r="X32" s="6"/>
      <c r="Y32" s="6"/>
      <c r="Z32" s="6"/>
      <c r="AA32" s="6"/>
      <c r="AB32" s="6"/>
      <c r="AC32" s="6"/>
      <c r="AD32" s="6"/>
    </row>
    <row r="33" spans="2:30" ht="18" customHeight="1" x14ac:dyDescent="0.4">
      <c r="B33" s="30"/>
      <c r="C33" s="30"/>
      <c r="D33" s="30"/>
      <c r="E33" s="30"/>
      <c r="F33" s="30"/>
      <c r="G33" s="30"/>
      <c r="H33" s="30"/>
      <c r="I33" s="16"/>
      <c r="J33" s="16"/>
      <c r="K33" s="16"/>
      <c r="L33" s="16"/>
      <c r="N33" s="27"/>
      <c r="O33" s="28"/>
      <c r="P33" s="28"/>
      <c r="Q33" s="28"/>
      <c r="R33" s="28"/>
      <c r="S33" s="28"/>
      <c r="T33" s="28"/>
      <c r="U33" s="29"/>
      <c r="V33" s="6"/>
      <c r="W33" s="6"/>
      <c r="X33" s="6"/>
      <c r="Y33" s="6"/>
      <c r="Z33" s="6"/>
      <c r="AA33" s="6"/>
      <c r="AB33" s="6"/>
      <c r="AC33" s="6"/>
      <c r="AD33" s="6"/>
    </row>
    <row r="34" spans="2:30" ht="18" customHeight="1" x14ac:dyDescent="0.4">
      <c r="B34" s="30"/>
      <c r="C34" s="30"/>
      <c r="D34" s="30"/>
      <c r="E34" s="30"/>
      <c r="F34" s="30"/>
      <c r="G34" s="30"/>
      <c r="H34" s="30"/>
      <c r="I34" s="16"/>
      <c r="J34" s="16"/>
      <c r="K34" s="16"/>
      <c r="L34" s="16"/>
      <c r="N34" s="27"/>
      <c r="O34" s="28"/>
      <c r="P34" s="28"/>
      <c r="Q34" s="28"/>
      <c r="R34" s="28"/>
      <c r="S34" s="28"/>
      <c r="T34" s="28"/>
      <c r="U34" s="29"/>
      <c r="V34" s="6"/>
      <c r="W34" s="6"/>
      <c r="X34" s="6"/>
      <c r="Y34" s="6"/>
      <c r="Z34" s="6"/>
      <c r="AA34" s="6"/>
      <c r="AB34" s="6"/>
      <c r="AC34" s="6"/>
      <c r="AD34" s="6"/>
    </row>
    <row r="35" spans="2:30" ht="18" customHeight="1" x14ac:dyDescent="0.4">
      <c r="B35" s="30"/>
      <c r="C35" s="30"/>
      <c r="D35" s="30"/>
      <c r="E35" s="30"/>
      <c r="F35" s="30"/>
      <c r="G35" s="30"/>
      <c r="H35" s="30"/>
      <c r="I35" s="16"/>
      <c r="J35" s="16"/>
      <c r="K35" s="16"/>
      <c r="L35" s="16"/>
      <c r="N35" s="27"/>
      <c r="O35" s="28"/>
      <c r="P35" s="28"/>
      <c r="Q35" s="28"/>
      <c r="R35" s="28"/>
      <c r="S35" s="28"/>
      <c r="T35" s="28"/>
      <c r="U35" s="29"/>
      <c r="V35" s="6"/>
      <c r="W35" s="6"/>
      <c r="X35" s="6"/>
      <c r="Y35" s="6"/>
      <c r="Z35" s="6"/>
      <c r="AA35" s="6"/>
      <c r="AB35" s="6"/>
      <c r="AC35" s="6"/>
      <c r="AD35" s="6"/>
    </row>
    <row r="36" spans="2:30" ht="18" customHeight="1" x14ac:dyDescent="0.4">
      <c r="B36" s="30"/>
      <c r="C36" s="30"/>
      <c r="D36" s="30"/>
      <c r="E36" s="30"/>
      <c r="F36" s="30"/>
      <c r="G36" s="30"/>
      <c r="H36" s="30"/>
      <c r="I36" s="16"/>
      <c r="J36" s="16"/>
      <c r="K36" s="16"/>
      <c r="L36" s="16"/>
      <c r="N36" s="27"/>
      <c r="O36" s="28"/>
      <c r="P36" s="28"/>
      <c r="Q36" s="28"/>
      <c r="R36" s="28"/>
      <c r="S36" s="28"/>
      <c r="T36" s="28"/>
      <c r="U36" s="29"/>
      <c r="V36" s="6"/>
      <c r="W36" s="6"/>
      <c r="X36" s="6"/>
      <c r="Y36" s="6"/>
      <c r="Z36" s="6"/>
      <c r="AA36" s="6"/>
      <c r="AB36" s="6"/>
      <c r="AC36" s="6"/>
      <c r="AD36" s="6"/>
    </row>
    <row r="37" spans="2:30" ht="18" customHeight="1" x14ac:dyDescent="0.4">
      <c r="B37" s="30"/>
      <c r="C37" s="30"/>
      <c r="D37" s="30"/>
      <c r="E37" s="30"/>
      <c r="F37" s="30"/>
      <c r="G37" s="30"/>
      <c r="H37" s="30"/>
      <c r="I37" s="16"/>
      <c r="J37" s="16"/>
      <c r="K37" s="16"/>
      <c r="L37" s="16"/>
      <c r="N37" s="27"/>
      <c r="O37" s="28"/>
      <c r="P37" s="28"/>
      <c r="Q37" s="28"/>
      <c r="R37" s="28"/>
      <c r="S37" s="28"/>
      <c r="T37" s="28"/>
      <c r="U37" s="29"/>
      <c r="V37" s="6"/>
      <c r="W37" s="6"/>
      <c r="X37" s="6"/>
      <c r="Y37" s="6"/>
      <c r="Z37" s="6"/>
      <c r="AA37" s="6"/>
      <c r="AB37" s="6"/>
      <c r="AC37" s="6"/>
      <c r="AD37" s="6"/>
    </row>
    <row r="38" spans="2:30" ht="18" customHeight="1" x14ac:dyDescent="0.4">
      <c r="B38" s="30"/>
      <c r="C38" s="30"/>
      <c r="D38" s="30"/>
      <c r="E38" s="30"/>
      <c r="F38" s="30"/>
      <c r="G38" s="30"/>
      <c r="H38" s="30"/>
      <c r="I38" s="16"/>
      <c r="J38" s="16"/>
      <c r="K38" s="16"/>
      <c r="L38" s="16"/>
      <c r="N38" s="27"/>
      <c r="O38" s="28"/>
      <c r="P38" s="28"/>
      <c r="Q38" s="28"/>
      <c r="R38" s="28"/>
      <c r="S38" s="28"/>
      <c r="T38" s="28"/>
      <c r="U38" s="29"/>
      <c r="V38" s="6"/>
      <c r="W38" s="6"/>
      <c r="X38" s="6"/>
      <c r="Y38" s="6"/>
      <c r="Z38" s="6"/>
      <c r="AA38" s="6"/>
      <c r="AB38" s="6"/>
      <c r="AC38" s="6"/>
      <c r="AD38" s="6"/>
    </row>
    <row r="39" spans="2:30" ht="18" customHeight="1" x14ac:dyDescent="0.4">
      <c r="B39" s="30"/>
      <c r="C39" s="30"/>
      <c r="D39" s="30"/>
      <c r="E39" s="30"/>
      <c r="F39" s="30"/>
      <c r="G39" s="30"/>
      <c r="H39" s="30"/>
      <c r="I39" s="16"/>
      <c r="J39" s="16"/>
      <c r="K39" s="16"/>
      <c r="L39" s="16"/>
      <c r="N39" s="27"/>
      <c r="O39" s="28"/>
      <c r="P39" s="28"/>
      <c r="Q39" s="28"/>
      <c r="R39" s="28"/>
      <c r="S39" s="28"/>
      <c r="T39" s="28"/>
      <c r="U39" s="29"/>
      <c r="V39" s="6"/>
      <c r="W39" s="6"/>
      <c r="X39" s="6"/>
      <c r="Y39" s="6"/>
      <c r="Z39" s="6"/>
      <c r="AA39" s="6"/>
      <c r="AB39" s="6"/>
      <c r="AC39" s="6"/>
      <c r="AD39" s="6"/>
    </row>
    <row r="40" spans="2:30" ht="18" customHeight="1" x14ac:dyDescent="0.4">
      <c r="B40" s="30"/>
      <c r="C40" s="30"/>
      <c r="D40" s="30"/>
      <c r="E40" s="30"/>
      <c r="F40" s="30"/>
      <c r="G40" s="30"/>
      <c r="H40" s="30"/>
      <c r="I40" s="16"/>
      <c r="J40" s="16"/>
      <c r="K40" s="16"/>
      <c r="L40" s="16"/>
      <c r="N40" s="71"/>
      <c r="O40" s="71"/>
      <c r="P40" s="71"/>
      <c r="Q40" s="71"/>
      <c r="R40" s="71"/>
      <c r="S40" s="71"/>
      <c r="T40" s="71"/>
      <c r="U40" s="71"/>
      <c r="V40" s="6"/>
      <c r="W40" s="6"/>
      <c r="X40" s="6"/>
      <c r="Y40" s="6"/>
      <c r="Z40" s="6"/>
      <c r="AA40" s="6"/>
      <c r="AB40" s="6"/>
      <c r="AC40" s="6"/>
      <c r="AD40" s="6"/>
    </row>
    <row r="41" spans="2:30" ht="14.25" customHeight="1" x14ac:dyDescent="0.4">
      <c r="B41" s="27"/>
      <c r="C41" s="28"/>
      <c r="D41" s="28"/>
      <c r="E41" s="28"/>
      <c r="F41" s="28"/>
      <c r="G41" s="28"/>
      <c r="H41" s="28"/>
      <c r="I41" s="28"/>
      <c r="J41" s="28"/>
      <c r="K41" s="28"/>
      <c r="L41" s="29"/>
      <c r="N41" s="67"/>
      <c r="O41" s="67"/>
      <c r="P41" s="67"/>
      <c r="Q41" s="67"/>
      <c r="R41" s="67"/>
      <c r="S41" s="67"/>
      <c r="T41" s="67"/>
      <c r="U41" s="67"/>
      <c r="V41" s="6"/>
      <c r="W41" s="6"/>
      <c r="X41" s="6"/>
      <c r="Y41" s="6"/>
      <c r="Z41" s="6"/>
      <c r="AA41" s="6"/>
      <c r="AB41" s="6"/>
      <c r="AC41" s="6"/>
      <c r="AD41" s="6"/>
    </row>
    <row r="42" spans="2:30" ht="20.25" x14ac:dyDescent="0.4">
      <c r="B42" s="32" t="s">
        <v>76</v>
      </c>
      <c r="C42" s="32"/>
      <c r="D42" s="32"/>
      <c r="E42" s="32"/>
      <c r="F42" s="32"/>
      <c r="G42" s="32"/>
      <c r="H42" s="32"/>
      <c r="I42" s="32"/>
      <c r="J42" s="32"/>
      <c r="K42" s="32"/>
      <c r="L42" s="32"/>
      <c r="M42" s="24" t="s">
        <v>77</v>
      </c>
      <c r="N42" s="24"/>
      <c r="O42" s="24"/>
      <c r="P42" s="25" t="s">
        <v>409</v>
      </c>
      <c r="Q42" s="25"/>
      <c r="R42" s="25"/>
      <c r="S42" s="25"/>
      <c r="T42" s="25"/>
      <c r="U42" s="25"/>
      <c r="V42" s="6"/>
      <c r="W42" s="6"/>
      <c r="X42" s="6"/>
      <c r="Y42" s="6"/>
      <c r="Z42" s="6"/>
      <c r="AA42" s="6"/>
      <c r="AB42" s="6"/>
      <c r="AC42" s="6"/>
      <c r="AD42" s="6"/>
    </row>
    <row r="43" spans="2:30" x14ac:dyDescent="0.4">
      <c r="B43" s="26" t="s">
        <v>410</v>
      </c>
      <c r="C43" s="26"/>
      <c r="D43" s="26"/>
      <c r="E43" s="26"/>
      <c r="F43" s="26"/>
      <c r="G43" s="31" t="str">
        <f>V43&amp;" "&amp;W43</f>
        <v>〒 ##施設.施設情報.郵便番号</v>
      </c>
      <c r="H43" s="31"/>
      <c r="I43" s="33" t="s">
        <v>413</v>
      </c>
      <c r="J43" s="33"/>
      <c r="K43" s="33"/>
      <c r="L43" s="33"/>
      <c r="M43" s="33"/>
      <c r="N43" s="33"/>
      <c r="O43" s="33"/>
      <c r="P43" s="33"/>
      <c r="Q43" s="33"/>
      <c r="R43" s="17" t="s">
        <v>78</v>
      </c>
      <c r="S43" s="34" t="s">
        <v>415</v>
      </c>
      <c r="T43" s="34"/>
      <c r="U43" s="34"/>
      <c r="V43" s="6" t="s">
        <v>411</v>
      </c>
      <c r="W43" s="18" t="s">
        <v>412</v>
      </c>
      <c r="X43" s="18"/>
      <c r="Y43" s="19"/>
      <c r="Z43" s="6"/>
      <c r="AA43" s="6"/>
      <c r="AB43" s="6"/>
      <c r="AC43" s="6"/>
      <c r="AD43" s="6"/>
    </row>
    <row r="44" spans="2:30" x14ac:dyDescent="0.4">
      <c r="R44" s="17" t="s">
        <v>79</v>
      </c>
      <c r="S44" s="34" t="s">
        <v>414</v>
      </c>
      <c r="T44" s="34"/>
      <c r="U44" s="34"/>
      <c r="V44" s="6"/>
      <c r="W44" s="6"/>
      <c r="X44" s="6"/>
      <c r="Y44" s="6"/>
      <c r="Z44" s="6"/>
      <c r="AA44" s="6"/>
      <c r="AB44" s="6"/>
      <c r="AC44" s="6"/>
      <c r="AD44" s="6"/>
    </row>
  </sheetData>
  <mergeCells count="120">
    <mergeCell ref="S44:U44"/>
    <mergeCell ref="E20:G20"/>
    <mergeCell ref="E21:G21"/>
    <mergeCell ref="E22:G22"/>
    <mergeCell ref="I27:K27"/>
    <mergeCell ref="L27:M27"/>
    <mergeCell ref="B26:D27"/>
    <mergeCell ref="L26:M26"/>
    <mergeCell ref="E24:K24"/>
    <mergeCell ref="E25:H25"/>
    <mergeCell ref="I25:K25"/>
    <mergeCell ref="E26:H26"/>
    <mergeCell ref="O24:U24"/>
    <mergeCell ref="N31:U31"/>
    <mergeCell ref="N32:U32"/>
    <mergeCell ref="N33:U33"/>
    <mergeCell ref="B29:H29"/>
    <mergeCell ref="O23:U23"/>
    <mergeCell ref="B31:H31"/>
    <mergeCell ref="B32:H32"/>
    <mergeCell ref="B33:H33"/>
    <mergeCell ref="N29:U29"/>
    <mergeCell ref="L25:M25"/>
    <mergeCell ref="B20:C20"/>
    <mergeCell ref="I2:P3"/>
    <mergeCell ref="A13:AE13"/>
    <mergeCell ref="A28:AE28"/>
    <mergeCell ref="N40:U41"/>
    <mergeCell ref="B10:C10"/>
    <mergeCell ref="B11:C11"/>
    <mergeCell ref="B12:C12"/>
    <mergeCell ref="B14:C14"/>
    <mergeCell ref="B15:C15"/>
    <mergeCell ref="B16:C16"/>
    <mergeCell ref="E10:I10"/>
    <mergeCell ref="J10:L10"/>
    <mergeCell ref="E11:I11"/>
    <mergeCell ref="J11:L11"/>
    <mergeCell ref="M10:O10"/>
    <mergeCell ref="M11:O11"/>
    <mergeCell ref="L14:M14"/>
    <mergeCell ref="I29:L29"/>
    <mergeCell ref="B30:H30"/>
    <mergeCell ref="N30:U30"/>
    <mergeCell ref="E16:G16"/>
    <mergeCell ref="H16:I16"/>
    <mergeCell ref="L23:M23"/>
    <mergeCell ref="B4:J4"/>
    <mergeCell ref="E9:J9"/>
    <mergeCell ref="K9:U9"/>
    <mergeCell ref="L21:M21"/>
    <mergeCell ref="E27:H27"/>
    <mergeCell ref="I26:K26"/>
    <mergeCell ref="P11:U11"/>
    <mergeCell ref="P10:U10"/>
    <mergeCell ref="E12:U12"/>
    <mergeCell ref="O21:R21"/>
    <mergeCell ref="S21:U21"/>
    <mergeCell ref="O22:R22"/>
    <mergeCell ref="S22:U22"/>
    <mergeCell ref="B23:K23"/>
    <mergeCell ref="I21:K21"/>
    <mergeCell ref="I22:K22"/>
    <mergeCell ref="L19:M19"/>
    <mergeCell ref="L17:U17"/>
    <mergeCell ref="O25:U25"/>
    <mergeCell ref="B9:D9"/>
    <mergeCell ref="L22:M22"/>
    <mergeCell ref="B17:D17"/>
    <mergeCell ref="B18:D18"/>
    <mergeCell ref="B19:D19"/>
    <mergeCell ref="B22:D22"/>
    <mergeCell ref="E14:K14"/>
    <mergeCell ref="E15:K15"/>
    <mergeCell ref="L15:M15"/>
    <mergeCell ref="O18:R18"/>
    <mergeCell ref="O20:R20"/>
    <mergeCell ref="S18:U18"/>
    <mergeCell ref="S20:U20"/>
    <mergeCell ref="O19:U19"/>
    <mergeCell ref="J16:K16"/>
    <mergeCell ref="I20:K20"/>
    <mergeCell ref="E17:K17"/>
    <mergeCell ref="E18:K18"/>
    <mergeCell ref="L16:M16"/>
    <mergeCell ref="L18:M18"/>
    <mergeCell ref="O14:U14"/>
    <mergeCell ref="O15:U15"/>
    <mergeCell ref="O16:U16"/>
    <mergeCell ref="E19:K19"/>
    <mergeCell ref="L20:M20"/>
    <mergeCell ref="B21:C21"/>
    <mergeCell ref="B24:C24"/>
    <mergeCell ref="B25:C25"/>
    <mergeCell ref="O26:S26"/>
    <mergeCell ref="T26:U26"/>
    <mergeCell ref="O27:S27"/>
    <mergeCell ref="T27:U27"/>
    <mergeCell ref="L24:M24"/>
    <mergeCell ref="N39:U39"/>
    <mergeCell ref="M42:O42"/>
    <mergeCell ref="P42:U42"/>
    <mergeCell ref="B43:F43"/>
    <mergeCell ref="N34:U34"/>
    <mergeCell ref="N35:U35"/>
    <mergeCell ref="N36:U36"/>
    <mergeCell ref="N37:U37"/>
    <mergeCell ref="N38:U38"/>
    <mergeCell ref="B41:L41"/>
    <mergeCell ref="B36:H36"/>
    <mergeCell ref="B37:H37"/>
    <mergeCell ref="B38:H38"/>
    <mergeCell ref="B39:H39"/>
    <mergeCell ref="B40:H40"/>
    <mergeCell ref="B34:H34"/>
    <mergeCell ref="B35:H35"/>
    <mergeCell ref="G43:H43"/>
    <mergeCell ref="B42:L42"/>
    <mergeCell ref="I43:Q43"/>
    <mergeCell ref="S43:U43"/>
  </mergeCells>
  <phoneticPr fontId="1"/>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FA6D4543145724180696487D743FC46" ma:contentTypeVersion="16" ma:contentTypeDescription="新しいドキュメントを作成します。" ma:contentTypeScope="" ma:versionID="15f4f4717138a03f16807162298d82b8">
  <xsd:schema xmlns:xsd="http://www.w3.org/2001/XMLSchema" xmlns:xs="http://www.w3.org/2001/XMLSchema" xmlns:p="http://schemas.microsoft.com/office/2006/metadata/properties" xmlns:ns2="69bd1c32-15f9-417b-a931-9141d9ec92c0" xmlns:ns3="c150e9fd-535a-4b9a-a5f4-a818706e335b" targetNamespace="http://schemas.microsoft.com/office/2006/metadata/properties" ma:root="true" ma:fieldsID="815784c6b291c32c3f18a55b98f2dce2" ns2:_="" ns3:_="">
    <xsd:import namespace="69bd1c32-15f9-417b-a931-9141d9ec92c0"/>
    <xsd:import namespace="c150e9fd-535a-4b9a-a5f4-a818706e335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_x5fa9__x5143__x5143_"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d1c32-15f9-417b-a931-9141d9ec92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0fc917cd-6125-4706-a086-2559fd5842b0" ma:termSetId="09814cd3-568e-fe90-9814-8d621ff8fb84" ma:anchorId="fba54fb3-c3e1-fe81-a776-ca4b69148c4d" ma:open="true" ma:isKeyword="false">
      <xsd:complexType>
        <xsd:sequence>
          <xsd:element ref="pc:Terms" minOccurs="0" maxOccurs="1"/>
        </xsd:sequence>
      </xsd:complexType>
    </xsd:element>
    <xsd:element name="_x5fa9__x5143__x5143_" ma:index="21" nillable="true" ma:displayName="復元元" ma:format="Dropdown" ma:internalName="_x5fa9__x5143__x5143_">
      <xsd:simpleType>
        <xsd:restriction base="dms:Text">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50e9fd-535a-4b9a-a5f4-a818706e335b"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ae8a858-461c-404a-bfdb-6bc61694b6af}" ma:internalName="TaxCatchAll" ma:showField="CatchAllData" ma:web="c150e9fd-535a-4b9a-a5f4-a818706e33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9bd1c32-15f9-417b-a931-9141d9ec92c0">
      <Terms xmlns="http://schemas.microsoft.com/office/infopath/2007/PartnerControls"/>
    </lcf76f155ced4ddcb4097134ff3c332f>
    <TaxCatchAll xmlns="c150e9fd-535a-4b9a-a5f4-a818706e335b" xsi:nil="true"/>
    <_x5fa9__x5143__x5143_ xmlns="69bd1c32-15f9-417b-a931-9141d9ec92c0" xsi:nil="true"/>
  </documentManagement>
</p:properties>
</file>

<file path=customXml/itemProps1.xml><?xml version="1.0" encoding="utf-8"?>
<ds:datastoreItem xmlns:ds="http://schemas.openxmlformats.org/officeDocument/2006/customXml" ds:itemID="{B4834E1F-5013-4F88-AE69-56277A2894B4}"/>
</file>

<file path=customXml/itemProps2.xml><?xml version="1.0" encoding="utf-8"?>
<ds:datastoreItem xmlns:ds="http://schemas.openxmlformats.org/officeDocument/2006/customXml" ds:itemID="{384F0C76-3B53-49C8-AF49-E40F891215E1}"/>
</file>

<file path=customXml/itemProps3.xml><?xml version="1.0" encoding="utf-8"?>
<ds:datastoreItem xmlns:ds="http://schemas.openxmlformats.org/officeDocument/2006/customXml" ds:itemID="{D565502E-B49C-4E98-82B8-3EA183C17B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レイアウト</vt:lpstr>
      <vt:lpstr>レイアウト!Print_Area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内野 裕輝</dc:creator>
  <cp:lastModifiedBy>内野 裕輝</cp:lastModifiedBy>
  <cp:lastPrinted>2025-10-16T02:24:47Z</cp:lastPrinted>
  <dcterms:created xsi:type="dcterms:W3CDTF">2025-06-20T03:17:56Z</dcterms:created>
  <dcterms:modified xsi:type="dcterms:W3CDTF">2025-10-21T01:22:15Z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0x0101007FA6D4543145724180696487D743FC46</vt:lpwstr>
  </property>
</Properties>
</file>