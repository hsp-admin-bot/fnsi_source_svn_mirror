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3D5A7719-C36A-47FE-BA93-AF79E2A70598}" xr6:coauthVersionLast="47" xr6:coauthVersionMax="47" xr10:uidLastSave="{00000000-0000-0000-0000-000000000000}"/>
  <bookViews>
    <workbookView xWindow="-120" yWindow="-120" windowWidth="29040" windowHeight="17520" firstSheet="4" activeTab="4" xr2:uid="{945CD85B-7CD4-4BF1-A6A1-15AA63198D2C}"/>
  </bookViews>
  <sheets>
    <sheet name="更新履歴" sheetId="6" state="veryHidden" r:id="rId1"/>
    <sheet name="グループ" sheetId="5" state="veryHidden" r:id="rId2"/>
    <sheet name="パラメータ" sheetId="4" state="veryHidden" r:id="rId3"/>
    <sheet name="設定" sheetId="3" state="veryHidden" r:id="rId4"/>
    <sheet name="レイアウト" sheetId="2" r:id="rId5"/>
  </sheets>
  <definedNames>
    <definedName name="_xlnm.Print_Area" localSheetId="4">レイアウト!$A$1:$T$31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6" i="2"/>
  <c r="D17" i="2"/>
  <c r="D18" i="2"/>
  <c r="D19" i="2"/>
  <c r="D20" i="2"/>
  <c r="D21" i="2"/>
  <c r="D14" i="2"/>
  <c r="M14" i="2"/>
  <c r="O3" i="2"/>
  <c r="M21" i="2"/>
  <c r="M20" i="2"/>
  <c r="M19" i="2"/>
  <c r="M18" i="2"/>
  <c r="M17" i="2"/>
  <c r="M16" i="2"/>
  <c r="M15" i="2"/>
</calcChain>
</file>

<file path=xl/sharedStrings.xml><?xml version="1.0" encoding="utf-8"?>
<sst xmlns="http://schemas.openxmlformats.org/spreadsheetml/2006/main" count="1041" uniqueCount="253">
  <si>
    <t>120386</t>
  </si>
  <si>
    <t>2025/02/04 15:50:24</t>
  </si>
  <si>
    <t>帳票設定</t>
  </si>
  <si>
    <t/>
  </si>
  <si>
    <t xml:space="preserve">有り_x000D_
</t>
  </si>
  <si>
    <t>2025/02/04 16:44:34</t>
  </si>
  <si>
    <t>##処方.処方情報.保険医名称</t>
  </si>
  <si>
    <t>K5:O5</t>
  </si>
  <si>
    <t xml:space="preserve">新規追加_x000D_
改頁しない_x000D_
プレビューデータ:日機装　太郎_x000D_
書式:G/標準_x000D_
縮小しない_x000D_
テンプレート内外:_x000D_
</t>
  </si>
  <si>
    <t>##患者情報.本人情報.患者名</t>
  </si>
  <si>
    <t>C7:E7</t>
  </si>
  <si>
    <t>##患者情報.本人情報.生年月日</t>
  </si>
  <si>
    <t>H7:K7</t>
  </si>
  <si>
    <t xml:space="preserve">新規追加_x000D_
改頁しない_x000D_
プレビューデータ:2025/02/04_x000D_
書式:yyyy/mm/dd_x000D_
縮小しない_x000D_
テンプレート内外:_x000D_
</t>
  </si>
  <si>
    <t>##患者情報.本人情報.性別</t>
  </si>
  <si>
    <t>N7:O7</t>
  </si>
  <si>
    <t xml:space="preserve">新規追加_x000D_
改頁しない_x000D_
プレビューデータ:男性_x000D_
書式:G/標準_x000D_
データ変換:&lt;convTable cls="性別"&gt;&lt;conv code="0" item="不明" disp="不明" /&gt;&lt;conv code="1" item="男性" disp="男性" /&gt;&lt;conv code="2" item="女性" disp="女性" /&gt;&lt;/convTable&gt;_x000D_
縮小しない_x000D_
テンプレート内外:_x000D_
</t>
  </si>
  <si>
    <t>##処方.処方箋情報.交付日</t>
  </si>
  <si>
    <t>C8:E8</t>
  </si>
  <si>
    <t>##処方.処方箋情報.使用期限</t>
  </si>
  <si>
    <t>K8:O8</t>
  </si>
  <si>
    <t>##処方.処方情報.公費負担者番号1</t>
  </si>
  <si>
    <t>C10:E10</t>
  </si>
  <si>
    <t xml:space="preserve">新規追加_x000D_
改頁しない_x000D_
プレビューデータ:xxxxxxx_x000D_
書式:G/標準_x000D_
縮小しない_x000D_
テンプレート内外:_x000D_
</t>
  </si>
  <si>
    <t>##処方.処方情報.保険者番号</t>
  </si>
  <si>
    <t>K10:O10</t>
  </si>
  <si>
    <t xml:space="preserve">新規追加_x000D_
改頁しない_x000D_
プレビューデータ:123456789_x000D_
書式:G/標準_x000D_
縮小しない_x000D_
テンプレート内外:_x000D_
</t>
  </si>
  <si>
    <t>##処方.処方情報.公費負担受給者番号1</t>
  </si>
  <si>
    <t>C11:E11</t>
  </si>
  <si>
    <t xml:space="preserve">新規追加_x000D_
改頁しない_x000D_
プレビューデータ:xxxxx_x000D_
書式:G/標準_x000D_
縮小しない_x000D_
テンプレート内外:_x000D_
</t>
  </si>
  <si>
    <t>##処方.処方情報.被保険者証番号</t>
  </si>
  <si>
    <t>K11:O11</t>
  </si>
  <si>
    <t xml:space="preserve">新規追加_x000D_
改頁しない_x000D_
プレビューデータ:1234567_x000D_
書式:G/標準_x000D_
縮小しない_x000D_
テンプレート内外:_x000D_
</t>
  </si>
  <si>
    <t>##処方.薬剤情報.薬剤名</t>
  </si>
  <si>
    <t>B14:C14</t>
  </si>
  <si>
    <t xml:space="preserve">新規追加_x000D_
表示文字数:42_x000D_
改頁しない_x000D_
繰返場所:B14:C14,B15:C15,B16:C16,B17:C17,B18:C18,B19:C19,B20:C20,B21:C21_x000D_
グループ名:処方.薬剤情報_x000D_
プレビューデータ:薬剤名_x000D_
書式:G/標準_x000D_
縮小しない_x000D_
テンプレート内外:_x000D_
</t>
  </si>
  <si>
    <t>##処方.薬剤情報.用量</t>
  </si>
  <si>
    <t>E14</t>
  </si>
  <si>
    <t xml:space="preserve">新規追加_x000D_
改頁しない_x000D_
繰返場所:E14,E15,E16,E17,E18,E19,E20,E21_x000D_
グループ名:処方.薬剤情報_x000D_
プレビューデータ:1_x000D_
書式:G/標準_x000D_
縮小しない_x000D_
テンプレート内外:_x000D_
</t>
  </si>
  <si>
    <t>##処方.薬剤情報.単位</t>
  </si>
  <si>
    <t>F14</t>
  </si>
  <si>
    <t xml:space="preserve">新規追加_x000D_
改頁しない_x000D_
繰返場所:F14,F15,F16,F17,F18,F19,F20,F21_x000D_
グループ名:処方.薬剤情報_x000D_
プレビューデータ:日分_x000D_
書式:G/標準_x000D_
縮小しない_x000D_
テンプレート内外:_x000D_
</t>
  </si>
  <si>
    <t>##処方.処方（詳細）.調剤指示名</t>
  </si>
  <si>
    <t>G14:I14</t>
  </si>
  <si>
    <t xml:space="preserve">新規追加_x000D_
改頁しない_x000D_
繰返場所:G14:I14,G15:I15,G16:I16,G17:I17,G18:I18,G19:I19,G20:I20,G21:I21_x000D_
グループ名:処方.処方（詳細）_x000D_
プレビューデータ:調剤指示名_x000D_
書式:G/標準_x000D_
縮小しない_x000D_
テンプレート内外:_x000D_
</t>
  </si>
  <si>
    <t>##処方.薬剤情報.用法</t>
  </si>
  <si>
    <t>J14:L14</t>
  </si>
  <si>
    <t xml:space="preserve">新規追加_x000D_
表示文字数:22_x000D_
改頁しない_x000D_
繰返場所:J14:L14,J15:L15,J16:L16,J17:L17,J18:L18,J19:L19,J20:L20,J21:L21_x000D_
グループ名:処方.薬剤情報_x000D_
プレビューデータ:舌下_x000D_
書式:G/標準_x000D_
縮小しない_x000D_
テンプレート内外:_x000D_
</t>
  </si>
  <si>
    <t>##処方.処方（詳細）.日数・回数</t>
  </si>
  <si>
    <t>M14:N14</t>
  </si>
  <si>
    <t xml:space="preserve">新規追加_x000D_
改頁しない_x000D_
繰返場所:M14:N14,M15:N15,M16:N16,M17:N17,M18:N18,M19:N19,M20:N20,M21:N21_x000D_
グループ名:処方.処方（詳細）_x000D_
プレビューデータ:7_x000D_
書式:0_x000D_
縮小しない_x000D_
テンプレート内外:_x000D_
</t>
  </si>
  <si>
    <t>##処方.処方（詳細）.調剤単位</t>
  </si>
  <si>
    <t>O14</t>
  </si>
  <si>
    <t xml:space="preserve">新規追加_x000D_
改頁しない_x000D_
繰返場所:O14,O15,O16,O17,O18,O19,O20,O21_x000D_
グループ名:処方.処方（詳細）_x000D_
プレビューデータ:日分_x000D_
書式:G/標準_x000D_
縮小しない_x000D_
テンプレート内外:_x000D_
</t>
  </si>
  <si>
    <t>##処方.処方情報.備考欄情報</t>
  </si>
  <si>
    <t>B24:O24</t>
  </si>
  <si>
    <t xml:space="preserve">新規追加_x000D_
表示文字数:117_x000D_
改頁しない_x000D_
プレビューデータ:なし_x000D_
書式:G/標準_x000D_
縮小しない_x000D_
テンプレート内外:_x000D_
</t>
  </si>
  <si>
    <t>##処方.処方情報.公費負担者番号2</t>
  </si>
  <si>
    <t>C26:D26</t>
  </si>
  <si>
    <t>##処方.処方情報.公費負担受給者番号2</t>
  </si>
  <si>
    <t>C27:D27</t>
  </si>
  <si>
    <t>処方.薬剤情報.処方.薬剤情報.B14:C14</t>
  </si>
  <si>
    <t>グループ</t>
  </si>
  <si>
    <t xml:space="preserve">改頁しない_x000D_
</t>
  </si>
  <si>
    <t>処方.処方（詳細）.処方.処方（詳細）.D14:F14</t>
  </si>
  <si>
    <t>2025/02/04 16:44:35</t>
  </si>
  <si>
    <t>集計設定</t>
  </si>
  <si>
    <t xml:space="preserve">縦の合計: ⇒ 0_x000D_
横の合計: ⇒ 0_x000D_
</t>
  </si>
  <si>
    <t>2025/02/04 16:49:09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</si>
  <si>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cls="性別"&gt;&lt;conv code="0" item="不明" disp="不明" /&gt;&lt;conv code="1" item="男性" disp="男性" /&gt;&lt;conv code="2" item="女性" disp="女性" /&gt;&lt;/convTable&gt;_x000D_
</t>
  </si>
  <si>
    <t>##処方.処方（詳細）.用法詳細</t>
  </si>
  <si>
    <t xml:space="preserve">設定変更_x000D_
表示文字数:22 ⇒ _x000D_
グループ名:処方.薬剤情報 ⇒ 処方.処方（詳細）_x000D_
プレビューデータ:舌下 ⇒ 用法詳細_x000D_
縮小しない_x000D_
</t>
  </si>
  <si>
    <t>2025/02/04 16:52:27</t>
  </si>
  <si>
    <t xml:space="preserve">設定変更_x000D_
グループ名:処方.薬剤情報 ⇒ 処方_x000D_
</t>
  </si>
  <si>
    <t xml:space="preserve">設定変更_x000D_
グループ名:処方.処方（詳細） ⇒ 処方_x000D_
</t>
  </si>
  <si>
    <t>処方.薬剤情報.処方.B14:C14</t>
  </si>
  <si>
    <t>削除</t>
  </si>
  <si>
    <t>2025/02/04 17:00:14</t>
  </si>
  <si>
    <t>2025/02/04 17:01:22</t>
  </si>
  <si>
    <t>2025/02/04 17:01:47</t>
  </si>
  <si>
    <t>2025/02/04 17:04:52</t>
  </si>
  <si>
    <t>2025/02/04 17:05:06</t>
  </si>
  <si>
    <t>2025/02/04 17:05:30</t>
  </si>
  <si>
    <t xml:space="preserve">設定変更_x000D_
表示文字数:42 ⇒ _x000D_
縮小しない_x000D_
</t>
  </si>
  <si>
    <t>C26:E26</t>
  </si>
  <si>
    <t>C27:E27</t>
  </si>
  <si>
    <t>2025/02/04 17:07:38</t>
  </si>
  <si>
    <t>2025/02/04 17:11:05</t>
  </si>
  <si>
    <t>2025/02/05 08:51:50</t>
  </si>
  <si>
    <t>P14</t>
  </si>
  <si>
    <t xml:space="preserve">新規追加_x000D_
改頁しない_x000D_
繰返場所:P14,P15,P16,P17,P18,P19,P20,P21_x000D_
グループ名:処方_x000D_
プレビューデータ:1_x000D_
書式:G/標準_x000D_
縮小しない_x000D_
テンプレート内外:_x000D_
</t>
  </si>
  <si>
    <t>Q14</t>
  </si>
  <si>
    <t xml:space="preserve">新規追加_x000D_
改頁しない_x000D_
繰返場所:Q14,Q15,Q16,Q17,Q18,Q19,Q20,Q21_x000D_
グループ名:処方_x000D_
プレビューデータ:日分_x000D_
書式:G/標準_x000D_
縮小しない_x000D_
テンプレート内外:_x000D_
</t>
  </si>
  <si>
    <t>R14</t>
  </si>
  <si>
    <t xml:space="preserve">新規追加_x000D_
改頁しない_x000D_
繰返場所:R14,R15,R16,R17,R18,R19,R20,R21_x000D_
グループ名:処方_x000D_
プレビューデータ:7_x000D_
書式:G/標準_x000D_
縮小しない_x000D_
テンプレート内外:_x000D_
</t>
  </si>
  <si>
    <t>S14</t>
  </si>
  <si>
    <t xml:space="preserve">新規追加_x000D_
改頁しない_x000D_
繰返場所:S14,S15,S16,S17,S18,S19,S20,S21_x000D_
グループ名:処方_x000D_
プレビューデータ:日分_x000D_
書式:G/標準_x000D_
縮小しない_x000D_
テンプレート内外:_x000D_
</t>
  </si>
  <si>
    <t>2025/02/05 09:06:34</t>
  </si>
  <si>
    <t>##=[##印刷情報.共通情報.単位ページ番号]&amp;"/"&amp;[##印刷情報.共通情報.単位ページ総数]</t>
  </si>
  <si>
    <t>O3</t>
  </si>
  <si>
    <t xml:space="preserve">新規追加_x000D_
改頁しない_x000D_
プレビューデータ:0_x000D_
書式:G/標準_x000D_
縮小しない_x000D_
テンプレート内外:_x000D_
</t>
  </si>
  <si>
    <t>2025/02/05 09:08:00</t>
  </si>
  <si>
    <t>##印刷情報.共通情報.単位ページ番号</t>
  </si>
  <si>
    <t>P3</t>
  </si>
  <si>
    <t xml:space="preserve">新規追加_x000D_
改頁しない_x000D_
プレビューデータ:1_x000D_
書式:G/標準_x000D_
縮小しない_x000D_
テンプレート内外:_x000D_
</t>
  </si>
  <si>
    <t>##印刷情報.共通情報.単位ページ総数</t>
  </si>
  <si>
    <t>Q3</t>
  </si>
  <si>
    <t>GroupPath</t>
  </si>
  <si>
    <t>DataCategory</t>
  </si>
  <si>
    <t>DataClass</t>
  </si>
  <si>
    <t>GroupName</t>
  </si>
  <si>
    <t>IsNewPage</t>
  </si>
  <si>
    <t>FilterData</t>
  </si>
  <si>
    <t>FilterType</t>
  </si>
  <si>
    <t>RepeatCount</t>
  </si>
  <si>
    <t>IsInTemplete</t>
  </si>
  <si>
    <t>処方</t>
  </si>
  <si>
    <t>薬剤情報</t>
  </si>
  <si>
    <t>1</t>
  </si>
  <si>
    <t>8</t>
  </si>
  <si>
    <t>DataPath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</si>
  <si>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</si>
  <si>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</si>
  <si>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</si>
  <si>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</si>
  <si>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</si>
  <si>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</si>
  <si>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</si>
  <si>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</si>
  <si>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</si>
  <si>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</si>
  <si>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</si>
  <si>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LabelItem</t>
  </si>
  <si>
    <t>CellAddress</t>
  </si>
  <si>
    <t>FilterState</t>
  </si>
  <si>
    <t>ParticularInfo</t>
  </si>
  <si>
    <t>IsCalcResult</t>
  </si>
  <si>
    <t>IsImage</t>
  </si>
  <si>
    <t>RowCount</t>
  </si>
  <si>
    <t>印刷情報</t>
  </si>
  <si>
    <t>共通情報</t>
  </si>
  <si>
    <t>単位ページ番号</t>
  </si>
  <si>
    <t>currentPage</t>
  </si>
  <si>
    <t>string</t>
  </si>
  <si>
    <t>G/標準</t>
  </si>
  <si>
    <t>False</t>
  </si>
  <si>
    <t>単位ページ総数</t>
  </si>
  <si>
    <t>totalPages</t>
  </si>
  <si>
    <t>処方情報</t>
  </si>
  <si>
    <t>保険医名称</t>
  </si>
  <si>
    <t>137</t>
  </si>
  <si>
    <t>insu_dr_name</t>
  </si>
  <si>
    <t>日機装　太郎</t>
  </si>
  <si>
    <t>患者情報</t>
  </si>
  <si>
    <t>本人情報</t>
  </si>
  <si>
    <t>患者名</t>
  </si>
  <si>
    <t>pat_name</t>
  </si>
  <si>
    <t>生年月日</t>
  </si>
  <si>
    <t>pat_birthday</t>
  </si>
  <si>
    <t>DateTime</t>
  </si>
  <si>
    <t>2025/02/04</t>
  </si>
  <si>
    <t>yyyy/mm/dd</t>
  </si>
  <si>
    <t>性別</t>
  </si>
  <si>
    <t>pat_sex</t>
  </si>
  <si>
    <t>男性</t>
  </si>
  <si>
    <t>処方箋情報</t>
  </si>
  <si>
    <t>交付日</t>
  </si>
  <si>
    <t>231</t>
  </si>
  <si>
    <t>issue_date</t>
  </si>
  <si>
    <t>使用期限</t>
  </si>
  <si>
    <t>expiration_date</t>
  </si>
  <si>
    <t>公費負担者番号1</t>
  </si>
  <si>
    <t>218</t>
  </si>
  <si>
    <t>insu_pub1_no</t>
  </si>
  <si>
    <t>xxxxxxx</t>
  </si>
  <si>
    <t>保険者番号</t>
  </si>
  <si>
    <t>insu_no</t>
  </si>
  <si>
    <t>123456789</t>
  </si>
  <si>
    <t>公費負担受給者番号1</t>
  </si>
  <si>
    <t>insu_pub1_pat_no</t>
  </si>
  <si>
    <t>xxxxx</t>
  </si>
  <si>
    <t>被保険者証番号</t>
  </si>
  <si>
    <t>insu_pat_no</t>
  </si>
  <si>
    <t>1234567</t>
  </si>
  <si>
    <t>薬剤名</t>
  </si>
  <si>
    <t>201</t>
  </si>
  <si>
    <t>medicine_name</t>
  </si>
  <si>
    <t>True</t>
  </si>
  <si>
    <t>B14:C14,B15:C15,B16:C16,B17:C17,B18:C18,B19:C19,B20:C20,B21:C21</t>
  </si>
  <si>
    <t>処方（詳細）</t>
  </si>
  <si>
    <t>調剤指示名</t>
  </si>
  <si>
    <t>issue_name</t>
  </si>
  <si>
    <t>G14:I14,G15:I15,G16:I16,G17:I17,G18:I18,G19:I19,G20:I20,G21:I21</t>
  </si>
  <si>
    <t>用法詳細</t>
  </si>
  <si>
    <t>usage_detail</t>
  </si>
  <si>
    <t>J14:L14,J15:L15,J16:L16,J17:L17,J18:L18,J19:L19,J20:L20,J21:L21</t>
  </si>
  <si>
    <t>用量</t>
  </si>
  <si>
    <t>F5</t>
  </si>
  <si>
    <t>P14,P15,P16,P17,P18,P19,P20,P21</t>
  </si>
  <si>
    <t>単位</t>
  </si>
  <si>
    <t>F6</t>
  </si>
  <si>
    <t>日分</t>
  </si>
  <si>
    <t>Q14,Q15,Q16,Q17,Q18,Q19,Q20,Q21</t>
  </si>
  <si>
    <t>日数・回数</t>
  </si>
  <si>
    <t>day_count</t>
  </si>
  <si>
    <t>decimal</t>
  </si>
  <si>
    <t>7</t>
  </si>
  <si>
    <t>R14,R15,R16,R17,R18,R19,R20,R21</t>
  </si>
  <si>
    <t>調剤単位</t>
  </si>
  <si>
    <t>day_count_unit</t>
  </si>
  <si>
    <t>S14,S15,S16,S17,S18,S19,S20,S21</t>
  </si>
  <si>
    <t>備考欄情報</t>
  </si>
  <si>
    <t>remarks</t>
  </si>
  <si>
    <t>なし</t>
  </si>
  <si>
    <t>117</t>
  </si>
  <si>
    <t>公費負担者番号2</t>
  </si>
  <si>
    <t>insu_pub2_no</t>
  </si>
  <si>
    <t>公費負担受給者番号2</t>
  </si>
  <si>
    <t>insu_pub2_pat_no</t>
  </si>
  <si>
    <t>OnePatient</t>
  </si>
  <si>
    <t>0</t>
  </si>
  <si>
    <t>N</t>
  </si>
  <si>
    <t>【簡易処方箋】</t>
    <rPh sb="1" eb="6">
      <t>カンイショホウセン</t>
    </rPh>
    <phoneticPr fontId="1"/>
  </si>
  <si>
    <t>処方者</t>
    <rPh sb="0" eb="3">
      <t>ショホウシャ</t>
    </rPh>
    <phoneticPr fontId="1"/>
  </si>
  <si>
    <t>患者氏名</t>
    <rPh sb="0" eb="4">
      <t>カンジャシメイ</t>
    </rPh>
    <phoneticPr fontId="1"/>
  </si>
  <si>
    <t>生年月日</t>
    <rPh sb="0" eb="4">
      <t>セイネンガッピ</t>
    </rPh>
    <phoneticPr fontId="1"/>
  </si>
  <si>
    <t>性別</t>
    <rPh sb="0" eb="2">
      <t>セイベツ</t>
    </rPh>
    <phoneticPr fontId="1"/>
  </si>
  <si>
    <t>交付日</t>
    <rPh sb="0" eb="3">
      <t>コウフビ</t>
    </rPh>
    <phoneticPr fontId="1"/>
  </si>
  <si>
    <t>使用期間</t>
    <rPh sb="0" eb="4">
      <t>シヨウキカン</t>
    </rPh>
    <phoneticPr fontId="1"/>
  </si>
  <si>
    <t>公費負担者番号</t>
    <rPh sb="0" eb="7">
      <t>コウヒフタンシャバンゴウ</t>
    </rPh>
    <phoneticPr fontId="1"/>
  </si>
  <si>
    <t>保険者番号</t>
    <rPh sb="0" eb="5">
      <t>ホケンシャバンゴウ</t>
    </rPh>
    <phoneticPr fontId="1"/>
  </si>
  <si>
    <t>公費負担者医療の
受給者番号</t>
    <rPh sb="0" eb="7">
      <t>コウヒフタンシャイリョウ</t>
    </rPh>
    <rPh sb="9" eb="14">
      <t>ジュキュウシャバンゴウ</t>
    </rPh>
    <phoneticPr fontId="1"/>
  </si>
  <si>
    <t>被保険者証・被保険者
手帳の記号番号</t>
    <rPh sb="0" eb="5">
      <t>ヒホケンシャショウ</t>
    </rPh>
    <rPh sb="6" eb="10">
      <t>ヒホケンシャ</t>
    </rPh>
    <rPh sb="11" eb="13">
      <t>テチョウ</t>
    </rPh>
    <rPh sb="14" eb="18">
      <t>キゴウバンゴウ</t>
    </rPh>
    <phoneticPr fontId="1"/>
  </si>
  <si>
    <t>薬剤</t>
    <rPh sb="0" eb="2">
      <t>ヤクザイ</t>
    </rPh>
    <phoneticPr fontId="1"/>
  </si>
  <si>
    <t>分量</t>
    <rPh sb="0" eb="2">
      <t>ブンリョウ</t>
    </rPh>
    <phoneticPr fontId="1"/>
  </si>
  <si>
    <t>用量</t>
    <rPh sb="0" eb="2">
      <t>ヨウリョウ</t>
    </rPh>
    <phoneticPr fontId="1"/>
  </si>
  <si>
    <t>用法</t>
    <rPh sb="0" eb="2">
      <t>ヨウホウ</t>
    </rPh>
    <phoneticPr fontId="1"/>
  </si>
  <si>
    <t>調剤日数</t>
    <rPh sb="0" eb="4">
      <t>チョウザイニッスウ</t>
    </rPh>
    <phoneticPr fontId="1"/>
  </si>
  <si>
    <t>##処方.処方（詳細）.用法詳細</t>
    <phoneticPr fontId="1"/>
  </si>
  <si>
    <t>備考</t>
    <rPh sb="0" eb="2">
      <t>ビコウ</t>
    </rPh>
    <phoneticPr fontId="1"/>
  </si>
  <si>
    <t>&lt;convTable cls=""&gt;&lt;conv code="0" item="不明" disp="不明" /&gt;&lt;conv code="1" item="男性" disp="男" /&gt;&lt;conv code="2" item="女性" disp="女" /&gt;&lt;/convTable&gt;</t>
  </si>
  <si>
    <t>staff0002</t>
  </si>
  <si>
    <t>2025/06/05 17:12:21</t>
  </si>
  <si>
    <t xml:space="preserve">設定変更_x000D_
データ変換:&lt;convTable cls=""&gt;&lt;conv code="0" item="不明" disp="不明" /&gt;&lt;conv code="1" item="男性" disp="男性" /&gt;&lt;conv code="2" item="女性" disp="女性" /&gt;&lt;/convTable&gt; ⇒ &lt;convTable cls=""&gt;&lt;conv code="0" item="不明" disp="不明" /&gt;&lt;conv code="1" item="男性" disp="男" /&gt;&lt;conv code="2" item="女性" disp="女" /&gt;&lt;/convTable&gt;_x000D_
</t>
  </si>
  <si>
    <t>2025/06/06 08:43:04</t>
  </si>
  <si>
    <t xml:space="preserve">設定変更_x000D_
書式:G/標準 ⇒ 0_ _x000D_
</t>
  </si>
  <si>
    <t>2025/06/06 08:43:39</t>
  </si>
  <si>
    <t xml:space="preserve">設定変更_x000D_
書式:0_  ⇒ G/標準_x000D_
</t>
  </si>
  <si>
    <t>CanBarCode</t>
  </si>
  <si>
    <t>BarCode</t>
  </si>
  <si>
    <t>2026/06/08 19:09:24</t>
  </si>
  <si>
    <t xml:space="preserve">出力値のない列は省略する設定: ⇒ 0_x000D_
出力値のない行は省略する設定: ⇒ 0_x000D_
</t>
  </si>
  <si>
    <t>35153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</si>
</sst>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20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 shrinkToFit="1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 shrinkToFit="1"/>
    </xf>
    <xf numFmtId="0" fontId="2" fillId="3" borderId="0" xfId="0" applyFont="1" applyFill="1" applyAlignment="1">
      <alignment vertical="center" shrinkToFit="1"/>
    </xf>
    <xf numFmtId="0" fontId="2" fillId="0" borderId="0" xfId="0" applyFont="1" applyAlignment="1">
      <alignment horizontal="left" vertical="center" indent="1" shrinkToFit="1"/>
    </xf>
    <xf numFmtId="0" fontId="4" fillId="2" borderId="1" xfId="0" applyFont="1" applyFill="1" applyBorder="1" applyAlignment="1">
      <alignment horizontal="left" vertical="center" indent="1"/>
    </xf>
    <xf numFmtId="176" fontId="2" fillId="0" borderId="0" xfId="0" applyNumberFormat="1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wrapText="1" indent="1"/>
    </xf>
    <xf numFmtId="0" fontId="2" fillId="3" borderId="0" xfId="0" applyNumberFormat="1" applyFont="1" applyFill="1" applyAlignment="1">
      <alignment horizontal="left" vertical="center" shrinkToFit="1"/>
    </xf>
    <xf numFmtId="0" fontId="2" fillId="3" borderId="0" xfId="0" applyFont="1" applyFill="1" applyAlignment="1">
      <alignment horizontal="left" vertical="center" shrinkToFit="1"/>
    </xf>
    <xf numFmtId="0" fontId="2" fillId="3" borderId="0" xfId="0" applyNumberFormat="1" applyFont="1" applyFill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indent="1" shrinkToFit="1"/>
    </xf>
    <xf numFmtId="0" fontId="2" fillId="0" borderId="1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center" indent="1"/>
    </xf>
    <xf numFmtId="0" fontId="2" fillId="2" borderId="1" xfId="0" applyFont="1" applyFill="1" applyBorder="1" applyAlignment="1">
      <alignment horizontal="left" vertical="center" indent="1"/>
    </xf>
    <xf numFmtId="0" fontId="3" fillId="0" borderId="0" xfId="0" applyFont="1" applyAlignment="1">
      <alignment vertical="center"/>
    </xf>
    <xf numFmtId="176" fontId="4" fillId="0" borderId="1" xfId="0" applyNumberFormat="1" applyFont="1" applyBorder="1" applyAlignment="1">
      <alignment horizontal="left" vertical="center" indent="1" shrinkToFit="1"/>
    </xf>
    <xf numFmtId="0" fontId="4" fillId="2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 shrinkToFit="1"/>
    </xf>
    <xf numFmtId="0" fontId="4" fillId="0" borderId="2" xfId="0" applyFont="1" applyBorder="1" applyAlignment="1">
      <alignment horizontal="left" vertical="center" indent="1" shrinkToFit="1"/>
    </xf>
    <xf numFmtId="0" fontId="4" fillId="0" borderId="4" xfId="0" applyFont="1" applyBorder="1" applyAlignment="1">
      <alignment horizontal="left" vertical="center" indent="1" shrinkToFit="1"/>
    </xf>
    <xf numFmtId="0" fontId="4" fillId="0" borderId="3" xfId="0" applyFont="1" applyBorder="1" applyAlignment="1">
      <alignment horizontal="left" vertical="center" indent="1" shrinkToFit="1"/>
    </xf>
    <xf numFmtId="176" fontId="4" fillId="0" borderId="2" xfId="0" applyNumberFormat="1" applyFont="1" applyBorder="1" applyAlignment="1">
      <alignment horizontal="left" vertical="center" indent="1"/>
    </xf>
    <xf numFmtId="176" fontId="4" fillId="0" borderId="3" xfId="0" applyNumberFormat="1" applyFont="1" applyBorder="1" applyAlignment="1">
      <alignment horizontal="left" vertical="center" indent="1"/>
    </xf>
    <xf numFmtId="176" fontId="4" fillId="0" borderId="4" xfId="0" applyNumberFormat="1" applyFont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indent="1" shrinkToFit="1"/>
    </xf>
    <xf numFmtId="1" fontId="2" fillId="0" borderId="0" xfId="0" applyNumberFormat="1" applyFont="1" applyAlignment="1">
      <alignment horizontal="left" vertical="center" indent="1" shrinkToFit="1"/>
    </xf>
    <xf numFmtId="0" fontId="2" fillId="0" borderId="0" xfId="0" applyFont="1" applyAlignment="1">
      <alignment horizontal="left" vertical="center" indent="1" shrinkToFit="1"/>
    </xf>
    <xf numFmtId="1" fontId="4" fillId="0" borderId="0" xfId="0" applyNumberFormat="1" applyFont="1" applyAlignment="1">
      <alignment horizontal="left" vertical="center" indent="1" shrinkToFit="1"/>
    </xf>
  </cellXfs>
  <cellStyles count="1">
    <cellStyle name="標準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DA6F9-8F9A-4D70-A481-633D913A61A6}">
  <dimension ref="A1:E66"/>
  <sheetViews>
    <sheetView workbookViewId="0"/>
  </sheetViews>
  <sheetFormatPr defaultRowHeight="18.75" x14ac:dyDescent="0.4"/>
  <cols>
    <col min="1" max="16384" width="9" style="1"/>
  </cols>
  <sheetData>
    <row r="1" spans="1:5" ht="37.5" x14ac:dyDescent="0.4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</row>
    <row r="2" spans="1:5" ht="300" x14ac:dyDescent="0.4">
      <c r="A2" s="1" t="s">
        <v>0</v>
      </c>
      <c r="B2" s="1" t="s">
        <v>5</v>
      </c>
      <c r="C2" s="1" t="s">
        <v>6</v>
      </c>
      <c r="D2" s="1" t="s">
        <v>7</v>
      </c>
      <c r="E2" s="3" t="s">
        <v>8</v>
      </c>
    </row>
    <row r="3" spans="1:5" ht="300" x14ac:dyDescent="0.4">
      <c r="A3" s="1" t="s">
        <v>0</v>
      </c>
      <c r="B3" s="1" t="s">
        <v>5</v>
      </c>
      <c r="C3" s="1" t="s">
        <v>9</v>
      </c>
      <c r="D3" s="1" t="s">
        <v>10</v>
      </c>
      <c r="E3" s="3" t="s">
        <v>8</v>
      </c>
    </row>
    <row r="4" spans="1:5" ht="318.75" x14ac:dyDescent="0.4">
      <c r="A4" s="1" t="s">
        <v>0</v>
      </c>
      <c r="B4" s="1" t="s">
        <v>5</v>
      </c>
      <c r="C4" s="1" t="s">
        <v>11</v>
      </c>
      <c r="D4" s="1" t="s">
        <v>12</v>
      </c>
      <c r="E4" s="3" t="s">
        <v>13</v>
      </c>
    </row>
    <row r="5" spans="1:5" ht="409.5" x14ac:dyDescent="0.4">
      <c r="A5" s="1" t="s">
        <v>0</v>
      </c>
      <c r="B5" s="1" t="s">
        <v>5</v>
      </c>
      <c r="C5" s="1" t="s">
        <v>14</v>
      </c>
      <c r="D5" s="1" t="s">
        <v>15</v>
      </c>
      <c r="E5" s="3" t="s">
        <v>16</v>
      </c>
    </row>
    <row r="6" spans="1:5" ht="318.75" x14ac:dyDescent="0.4">
      <c r="A6" s="1" t="s">
        <v>0</v>
      </c>
      <c r="B6" s="1" t="s">
        <v>5</v>
      </c>
      <c r="C6" s="1" t="s">
        <v>17</v>
      </c>
      <c r="D6" s="1" t="s">
        <v>18</v>
      </c>
      <c r="E6" s="3" t="s">
        <v>13</v>
      </c>
    </row>
    <row r="7" spans="1:5" ht="318.75" x14ac:dyDescent="0.4">
      <c r="A7" s="1" t="s">
        <v>0</v>
      </c>
      <c r="B7" s="1" t="s">
        <v>5</v>
      </c>
      <c r="C7" s="1" t="s">
        <v>19</v>
      </c>
      <c r="D7" s="1" t="s">
        <v>20</v>
      </c>
      <c r="E7" s="3" t="s">
        <v>13</v>
      </c>
    </row>
    <row r="8" spans="1:5" ht="300" x14ac:dyDescent="0.4">
      <c r="A8" s="1" t="s">
        <v>0</v>
      </c>
      <c r="B8" s="1" t="s">
        <v>5</v>
      </c>
      <c r="C8" s="1" t="s">
        <v>21</v>
      </c>
      <c r="D8" s="1" t="s">
        <v>22</v>
      </c>
      <c r="E8" s="3" t="s">
        <v>23</v>
      </c>
    </row>
    <row r="9" spans="1:5" ht="300" x14ac:dyDescent="0.4">
      <c r="A9" s="1" t="s">
        <v>0</v>
      </c>
      <c r="B9" s="1" t="s">
        <v>5</v>
      </c>
      <c r="C9" s="1" t="s">
        <v>24</v>
      </c>
      <c r="D9" s="1" t="s">
        <v>25</v>
      </c>
      <c r="E9" s="3" t="s">
        <v>26</v>
      </c>
    </row>
    <row r="10" spans="1:5" ht="281.25" x14ac:dyDescent="0.4">
      <c r="A10" s="1" t="s">
        <v>0</v>
      </c>
      <c r="B10" s="1" t="s">
        <v>5</v>
      </c>
      <c r="C10" s="1" t="s">
        <v>27</v>
      </c>
      <c r="D10" s="1" t="s">
        <v>28</v>
      </c>
      <c r="E10" s="3" t="s">
        <v>29</v>
      </c>
    </row>
    <row r="11" spans="1:5" ht="300" x14ac:dyDescent="0.4">
      <c r="A11" s="1" t="s">
        <v>0</v>
      </c>
      <c r="B11" s="1" t="s">
        <v>5</v>
      </c>
      <c r="C11" s="1" t="s">
        <v>30</v>
      </c>
      <c r="D11" s="1" t="s">
        <v>31</v>
      </c>
      <c r="E11" s="3" t="s">
        <v>32</v>
      </c>
    </row>
    <row r="12" spans="1:5" ht="409.5" x14ac:dyDescent="0.4">
      <c r="A12" s="1" t="s">
        <v>0</v>
      </c>
      <c r="B12" s="1" t="s">
        <v>5</v>
      </c>
      <c r="C12" s="1" t="s">
        <v>33</v>
      </c>
      <c r="D12" s="1" t="s">
        <v>34</v>
      </c>
      <c r="E12" s="3" t="s">
        <v>35</v>
      </c>
    </row>
    <row r="13" spans="1:5" ht="409.5" x14ac:dyDescent="0.4">
      <c r="A13" s="1" t="s">
        <v>0</v>
      </c>
      <c r="B13" s="1" t="s">
        <v>5</v>
      </c>
      <c r="C13" s="1" t="s">
        <v>36</v>
      </c>
      <c r="D13" s="1" t="s">
        <v>37</v>
      </c>
      <c r="E13" s="3" t="s">
        <v>38</v>
      </c>
    </row>
    <row r="14" spans="1:5" ht="409.5" x14ac:dyDescent="0.4">
      <c r="A14" s="1" t="s">
        <v>0</v>
      </c>
      <c r="B14" s="1" t="s">
        <v>5</v>
      </c>
      <c r="C14" s="1" t="s">
        <v>39</v>
      </c>
      <c r="D14" s="1" t="s">
        <v>40</v>
      </c>
      <c r="E14" s="3" t="s">
        <v>41</v>
      </c>
    </row>
    <row r="15" spans="1:5" ht="409.5" x14ac:dyDescent="0.4">
      <c r="A15" s="1" t="s">
        <v>0</v>
      </c>
      <c r="B15" s="1" t="s">
        <v>5</v>
      </c>
      <c r="C15" s="1" t="s">
        <v>42</v>
      </c>
      <c r="D15" s="1" t="s">
        <v>43</v>
      </c>
      <c r="E15" s="3" t="s">
        <v>44</v>
      </c>
    </row>
    <row r="16" spans="1:5" ht="409.5" x14ac:dyDescent="0.4">
      <c r="A16" s="1" t="s">
        <v>0</v>
      </c>
      <c r="B16" s="1" t="s">
        <v>5</v>
      </c>
      <c r="C16" s="1" t="s">
        <v>45</v>
      </c>
      <c r="D16" s="1" t="s">
        <v>46</v>
      </c>
      <c r="E16" s="3" t="s">
        <v>47</v>
      </c>
    </row>
    <row r="17" spans="1:5" ht="409.5" x14ac:dyDescent="0.4">
      <c r="A17" s="1" t="s">
        <v>0</v>
      </c>
      <c r="B17" s="1" t="s">
        <v>5</v>
      </c>
      <c r="C17" s="1" t="s">
        <v>48</v>
      </c>
      <c r="D17" s="1" t="s">
        <v>49</v>
      </c>
      <c r="E17" s="3" t="s">
        <v>50</v>
      </c>
    </row>
    <row r="18" spans="1:5" ht="409.5" x14ac:dyDescent="0.4">
      <c r="A18" s="1" t="s">
        <v>0</v>
      </c>
      <c r="B18" s="1" t="s">
        <v>5</v>
      </c>
      <c r="C18" s="1" t="s">
        <v>51</v>
      </c>
      <c r="D18" s="1" t="s">
        <v>52</v>
      </c>
      <c r="E18" s="3" t="s">
        <v>53</v>
      </c>
    </row>
    <row r="19" spans="1:5" ht="318.75" x14ac:dyDescent="0.4">
      <c r="A19" s="1" t="s">
        <v>0</v>
      </c>
      <c r="B19" s="1" t="s">
        <v>5</v>
      </c>
      <c r="C19" s="1" t="s">
        <v>54</v>
      </c>
      <c r="D19" s="1" t="s">
        <v>55</v>
      </c>
      <c r="E19" s="3" t="s">
        <v>56</v>
      </c>
    </row>
    <row r="20" spans="1:5" ht="300" x14ac:dyDescent="0.4">
      <c r="A20" s="1" t="s">
        <v>0</v>
      </c>
      <c r="B20" s="1" t="s">
        <v>5</v>
      </c>
      <c r="C20" s="1" t="s">
        <v>57</v>
      </c>
      <c r="D20" s="1" t="s">
        <v>58</v>
      </c>
      <c r="E20" s="3" t="s">
        <v>23</v>
      </c>
    </row>
    <row r="21" spans="1:5" ht="281.25" x14ac:dyDescent="0.4">
      <c r="A21" s="1" t="s">
        <v>0</v>
      </c>
      <c r="B21" s="1" t="s">
        <v>5</v>
      </c>
      <c r="C21" s="1" t="s">
        <v>59</v>
      </c>
      <c r="D21" s="1" t="s">
        <v>60</v>
      </c>
      <c r="E21" s="3" t="s">
        <v>29</v>
      </c>
    </row>
    <row r="22" spans="1:5" ht="56.25" x14ac:dyDescent="0.4">
      <c r="A22" s="1" t="s">
        <v>0</v>
      </c>
      <c r="B22" s="1" t="s">
        <v>5</v>
      </c>
      <c r="C22" s="1" t="s">
        <v>61</v>
      </c>
      <c r="D22" s="1" t="s">
        <v>62</v>
      </c>
      <c r="E22" s="3" t="s">
        <v>63</v>
      </c>
    </row>
    <row r="23" spans="1:5" ht="56.25" x14ac:dyDescent="0.4">
      <c r="A23" s="1" t="s">
        <v>0</v>
      </c>
      <c r="B23" s="1" t="s">
        <v>5</v>
      </c>
      <c r="C23" s="1" t="s">
        <v>64</v>
      </c>
      <c r="D23" s="1" t="s">
        <v>62</v>
      </c>
      <c r="E23" s="3" t="s">
        <v>63</v>
      </c>
    </row>
    <row r="24" spans="1:5" ht="93.75" x14ac:dyDescent="0.4">
      <c r="A24" s="1" t="s">
        <v>0</v>
      </c>
      <c r="B24" s="1" t="s">
        <v>65</v>
      </c>
      <c r="C24" s="1" t="s">
        <v>66</v>
      </c>
      <c r="D24" s="1" t="s">
        <v>3</v>
      </c>
      <c r="E24" s="3" t="s">
        <v>67</v>
      </c>
    </row>
    <row r="25" spans="1:5" ht="409.5" x14ac:dyDescent="0.4">
      <c r="A25" s="1" t="s">
        <v>0</v>
      </c>
      <c r="B25" s="1" t="s">
        <v>68</v>
      </c>
      <c r="C25" s="1" t="s">
        <v>14</v>
      </c>
      <c r="D25" s="1" t="s">
        <v>15</v>
      </c>
      <c r="E25" s="3" t="s">
        <v>69</v>
      </c>
    </row>
    <row r="26" spans="1:5" ht="318.75" x14ac:dyDescent="0.4">
      <c r="A26" s="1" t="s">
        <v>0</v>
      </c>
      <c r="B26" s="1" t="s">
        <v>68</v>
      </c>
      <c r="C26" s="1" t="s">
        <v>70</v>
      </c>
      <c r="D26" s="1" t="s">
        <v>46</v>
      </c>
      <c r="E26" s="3" t="s">
        <v>71</v>
      </c>
    </row>
    <row r="27" spans="1:5" ht="409.5" x14ac:dyDescent="0.4">
      <c r="A27" s="1" t="s">
        <v>0</v>
      </c>
      <c r="B27" s="1" t="s">
        <v>72</v>
      </c>
      <c r="C27" s="1" t="s">
        <v>14</v>
      </c>
      <c r="D27" s="1" t="s">
        <v>15</v>
      </c>
      <c r="E27" s="3" t="s">
        <v>69</v>
      </c>
    </row>
    <row r="28" spans="1:5" ht="112.5" x14ac:dyDescent="0.4">
      <c r="A28" s="1" t="s">
        <v>0</v>
      </c>
      <c r="B28" s="1" t="s">
        <v>72</v>
      </c>
      <c r="C28" s="1" t="s">
        <v>33</v>
      </c>
      <c r="D28" s="1" t="s">
        <v>34</v>
      </c>
      <c r="E28" s="3" t="s">
        <v>73</v>
      </c>
    </row>
    <row r="29" spans="1:5" ht="112.5" x14ac:dyDescent="0.4">
      <c r="A29" s="1" t="s">
        <v>0</v>
      </c>
      <c r="B29" s="1" t="s">
        <v>72</v>
      </c>
      <c r="C29" s="1" t="s">
        <v>36</v>
      </c>
      <c r="D29" s="1" t="s">
        <v>37</v>
      </c>
      <c r="E29" s="3" t="s">
        <v>73</v>
      </c>
    </row>
    <row r="30" spans="1:5" ht="112.5" x14ac:dyDescent="0.4">
      <c r="A30" s="1" t="s">
        <v>0</v>
      </c>
      <c r="B30" s="1" t="s">
        <v>72</v>
      </c>
      <c r="C30" s="1" t="s">
        <v>39</v>
      </c>
      <c r="D30" s="1" t="s">
        <v>40</v>
      </c>
      <c r="E30" s="3" t="s">
        <v>73</v>
      </c>
    </row>
    <row r="31" spans="1:5" ht="131.25" x14ac:dyDescent="0.4">
      <c r="A31" s="1" t="s">
        <v>0</v>
      </c>
      <c r="B31" s="1" t="s">
        <v>72</v>
      </c>
      <c r="C31" s="1" t="s">
        <v>42</v>
      </c>
      <c r="D31" s="1" t="s">
        <v>43</v>
      </c>
      <c r="E31" s="3" t="s">
        <v>74</v>
      </c>
    </row>
    <row r="32" spans="1:5" ht="131.25" x14ac:dyDescent="0.4">
      <c r="A32" s="1" t="s">
        <v>0</v>
      </c>
      <c r="B32" s="1" t="s">
        <v>72</v>
      </c>
      <c r="C32" s="1" t="s">
        <v>70</v>
      </c>
      <c r="D32" s="1" t="s">
        <v>46</v>
      </c>
      <c r="E32" s="3" t="s">
        <v>74</v>
      </c>
    </row>
    <row r="33" spans="1:5" ht="131.25" x14ac:dyDescent="0.4">
      <c r="A33" s="1" t="s">
        <v>0</v>
      </c>
      <c r="B33" s="1" t="s">
        <v>72</v>
      </c>
      <c r="C33" s="1" t="s">
        <v>48</v>
      </c>
      <c r="D33" s="1" t="s">
        <v>49</v>
      </c>
      <c r="E33" s="3" t="s">
        <v>74</v>
      </c>
    </row>
    <row r="34" spans="1:5" ht="131.25" x14ac:dyDescent="0.4">
      <c r="A34" s="1" t="s">
        <v>0</v>
      </c>
      <c r="B34" s="1" t="s">
        <v>72</v>
      </c>
      <c r="C34" s="1" t="s">
        <v>51</v>
      </c>
      <c r="D34" s="1" t="s">
        <v>52</v>
      </c>
      <c r="E34" s="3" t="s">
        <v>74</v>
      </c>
    </row>
    <row r="35" spans="1:5" ht="56.25" x14ac:dyDescent="0.4">
      <c r="A35" s="1" t="s">
        <v>0</v>
      </c>
      <c r="B35" s="1" t="s">
        <v>72</v>
      </c>
      <c r="C35" s="1" t="s">
        <v>75</v>
      </c>
      <c r="D35" s="1" t="s">
        <v>62</v>
      </c>
      <c r="E35" s="3" t="s">
        <v>63</v>
      </c>
    </row>
    <row r="36" spans="1:5" x14ac:dyDescent="0.4">
      <c r="A36" s="1" t="s">
        <v>0</v>
      </c>
      <c r="B36" s="1" t="s">
        <v>72</v>
      </c>
      <c r="C36" s="1" t="s">
        <v>61</v>
      </c>
      <c r="D36" s="1" t="s">
        <v>62</v>
      </c>
      <c r="E36" s="1" t="s">
        <v>76</v>
      </c>
    </row>
    <row r="37" spans="1:5" x14ac:dyDescent="0.4">
      <c r="A37" s="1" t="s">
        <v>0</v>
      </c>
      <c r="B37" s="1" t="s">
        <v>72</v>
      </c>
      <c r="C37" s="1" t="s">
        <v>64</v>
      </c>
      <c r="D37" s="1" t="s">
        <v>62</v>
      </c>
      <c r="E37" s="1" t="s">
        <v>76</v>
      </c>
    </row>
    <row r="38" spans="1:5" ht="409.5" x14ac:dyDescent="0.4">
      <c r="A38" s="1" t="s">
        <v>0</v>
      </c>
      <c r="B38" s="1" t="s">
        <v>77</v>
      </c>
      <c r="C38" s="1" t="s">
        <v>14</v>
      </c>
      <c r="D38" s="1" t="s">
        <v>15</v>
      </c>
      <c r="E38" s="3" t="s">
        <v>69</v>
      </c>
    </row>
    <row r="39" spans="1:5" ht="409.5" x14ac:dyDescent="0.4">
      <c r="A39" s="1" t="s">
        <v>0</v>
      </c>
      <c r="B39" s="1" t="s">
        <v>78</v>
      </c>
      <c r="C39" s="1" t="s">
        <v>14</v>
      </c>
      <c r="D39" s="1" t="s">
        <v>15</v>
      </c>
      <c r="E39" s="3" t="s">
        <v>69</v>
      </c>
    </row>
    <row r="40" spans="1:5" ht="409.5" x14ac:dyDescent="0.4">
      <c r="A40" s="1" t="s">
        <v>0</v>
      </c>
      <c r="B40" s="1" t="s">
        <v>79</v>
      </c>
      <c r="C40" s="1" t="s">
        <v>14</v>
      </c>
      <c r="D40" s="1" t="s">
        <v>15</v>
      </c>
      <c r="E40" s="3" t="s">
        <v>69</v>
      </c>
    </row>
    <row r="41" spans="1:5" ht="409.5" x14ac:dyDescent="0.4">
      <c r="A41" s="1" t="s">
        <v>0</v>
      </c>
      <c r="B41" s="1" t="s">
        <v>80</v>
      </c>
      <c r="C41" s="1" t="s">
        <v>14</v>
      </c>
      <c r="D41" s="1" t="s">
        <v>15</v>
      </c>
      <c r="E41" s="3" t="s">
        <v>69</v>
      </c>
    </row>
    <row r="42" spans="1:5" ht="409.5" x14ac:dyDescent="0.4">
      <c r="A42" s="1" t="s">
        <v>0</v>
      </c>
      <c r="B42" s="1" t="s">
        <v>81</v>
      </c>
      <c r="C42" s="1" t="s">
        <v>14</v>
      </c>
      <c r="D42" s="1" t="s">
        <v>15</v>
      </c>
      <c r="E42" s="3" t="s">
        <v>69</v>
      </c>
    </row>
    <row r="43" spans="1:5" ht="409.5" x14ac:dyDescent="0.4">
      <c r="A43" s="1" t="s">
        <v>0</v>
      </c>
      <c r="B43" s="1" t="s">
        <v>82</v>
      </c>
      <c r="C43" s="1" t="s">
        <v>14</v>
      </c>
      <c r="D43" s="1" t="s">
        <v>15</v>
      </c>
      <c r="E43" s="3" t="s">
        <v>69</v>
      </c>
    </row>
    <row r="44" spans="1:5" ht="112.5" x14ac:dyDescent="0.4">
      <c r="A44" s="1" t="s">
        <v>0</v>
      </c>
      <c r="B44" s="1" t="s">
        <v>82</v>
      </c>
      <c r="C44" s="1" t="s">
        <v>33</v>
      </c>
      <c r="D44" s="1" t="s">
        <v>34</v>
      </c>
      <c r="E44" s="3" t="s">
        <v>83</v>
      </c>
    </row>
    <row r="45" spans="1:5" ht="300" x14ac:dyDescent="0.4">
      <c r="A45" s="1" t="s">
        <v>0</v>
      </c>
      <c r="B45" s="1" t="s">
        <v>82</v>
      </c>
      <c r="C45" s="1" t="s">
        <v>57</v>
      </c>
      <c r="D45" s="1" t="s">
        <v>84</v>
      </c>
      <c r="E45" s="3" t="s">
        <v>23</v>
      </c>
    </row>
    <row r="46" spans="1:5" ht="281.25" x14ac:dyDescent="0.4">
      <c r="A46" s="1" t="s">
        <v>0</v>
      </c>
      <c r="B46" s="1" t="s">
        <v>82</v>
      </c>
      <c r="C46" s="1" t="s">
        <v>59</v>
      </c>
      <c r="D46" s="1" t="s">
        <v>85</v>
      </c>
      <c r="E46" s="3" t="s">
        <v>29</v>
      </c>
    </row>
    <row r="47" spans="1:5" x14ac:dyDescent="0.4">
      <c r="A47" s="1" t="s">
        <v>0</v>
      </c>
      <c r="B47" s="1" t="s">
        <v>82</v>
      </c>
      <c r="C47" s="1" t="s">
        <v>57</v>
      </c>
      <c r="D47" s="1" t="s">
        <v>58</v>
      </c>
      <c r="E47" s="1" t="s">
        <v>76</v>
      </c>
    </row>
    <row r="48" spans="1:5" x14ac:dyDescent="0.4">
      <c r="A48" s="1" t="s">
        <v>0</v>
      </c>
      <c r="B48" s="1" t="s">
        <v>82</v>
      </c>
      <c r="C48" s="1" t="s">
        <v>59</v>
      </c>
      <c r="D48" s="1" t="s">
        <v>60</v>
      </c>
      <c r="E48" s="1" t="s">
        <v>76</v>
      </c>
    </row>
    <row r="49" spans="1:5" ht="409.5" x14ac:dyDescent="0.4">
      <c r="A49" s="1" t="s">
        <v>0</v>
      </c>
      <c r="B49" s="1" t="s">
        <v>86</v>
      </c>
      <c r="C49" s="1" t="s">
        <v>14</v>
      </c>
      <c r="D49" s="1" t="s">
        <v>15</v>
      </c>
      <c r="E49" s="3" t="s">
        <v>69</v>
      </c>
    </row>
    <row r="50" spans="1:5" ht="409.5" x14ac:dyDescent="0.4">
      <c r="A50" s="1" t="s">
        <v>0</v>
      </c>
      <c r="B50" s="1" t="s">
        <v>87</v>
      </c>
      <c r="C50" s="1" t="s">
        <v>14</v>
      </c>
      <c r="D50" s="1" t="s">
        <v>15</v>
      </c>
      <c r="E50" s="3" t="s">
        <v>69</v>
      </c>
    </row>
    <row r="51" spans="1:5" ht="409.5" x14ac:dyDescent="0.4">
      <c r="A51" s="1" t="s">
        <v>0</v>
      </c>
      <c r="B51" s="1" t="s">
        <v>88</v>
      </c>
      <c r="C51" s="1" t="s">
        <v>36</v>
      </c>
      <c r="D51" s="1" t="s">
        <v>89</v>
      </c>
      <c r="E51" s="3" t="s">
        <v>90</v>
      </c>
    </row>
    <row r="52" spans="1:5" ht="409.5" x14ac:dyDescent="0.4">
      <c r="A52" s="1" t="s">
        <v>0</v>
      </c>
      <c r="B52" s="1" t="s">
        <v>88</v>
      </c>
      <c r="C52" s="1" t="s">
        <v>39</v>
      </c>
      <c r="D52" s="1" t="s">
        <v>91</v>
      </c>
      <c r="E52" s="3" t="s">
        <v>92</v>
      </c>
    </row>
    <row r="53" spans="1:5" ht="409.5" x14ac:dyDescent="0.4">
      <c r="A53" s="1" t="s">
        <v>0</v>
      </c>
      <c r="B53" s="1" t="s">
        <v>88</v>
      </c>
      <c r="C53" s="1" t="s">
        <v>48</v>
      </c>
      <c r="D53" s="1" t="s">
        <v>93</v>
      </c>
      <c r="E53" s="3" t="s">
        <v>94</v>
      </c>
    </row>
    <row r="54" spans="1:5" ht="409.5" x14ac:dyDescent="0.4">
      <c r="A54" s="1" t="s">
        <v>0</v>
      </c>
      <c r="B54" s="1" t="s">
        <v>88</v>
      </c>
      <c r="C54" s="1" t="s">
        <v>51</v>
      </c>
      <c r="D54" s="1" t="s">
        <v>95</v>
      </c>
      <c r="E54" s="3" t="s">
        <v>96</v>
      </c>
    </row>
    <row r="55" spans="1:5" x14ac:dyDescent="0.4">
      <c r="A55" s="1" t="s">
        <v>0</v>
      </c>
      <c r="B55" s="1" t="s">
        <v>88</v>
      </c>
      <c r="C55" s="1" t="s">
        <v>36</v>
      </c>
      <c r="D55" s="1" t="s">
        <v>37</v>
      </c>
      <c r="E55" s="1" t="s">
        <v>76</v>
      </c>
    </row>
    <row r="56" spans="1:5" x14ac:dyDescent="0.4">
      <c r="A56" s="1" t="s">
        <v>0</v>
      </c>
      <c r="B56" s="1" t="s">
        <v>88</v>
      </c>
      <c r="C56" s="1" t="s">
        <v>39</v>
      </c>
      <c r="D56" s="1" t="s">
        <v>40</v>
      </c>
      <c r="E56" s="1" t="s">
        <v>76</v>
      </c>
    </row>
    <row r="57" spans="1:5" x14ac:dyDescent="0.4">
      <c r="A57" s="1" t="s">
        <v>0</v>
      </c>
      <c r="B57" s="1" t="s">
        <v>88</v>
      </c>
      <c r="C57" s="1" t="s">
        <v>48</v>
      </c>
      <c r="D57" s="1" t="s">
        <v>49</v>
      </c>
      <c r="E57" s="1" t="s">
        <v>76</v>
      </c>
    </row>
    <row r="58" spans="1:5" x14ac:dyDescent="0.4">
      <c r="A58" s="1" t="s">
        <v>0</v>
      </c>
      <c r="B58" s="1" t="s">
        <v>88</v>
      </c>
      <c r="C58" s="1" t="s">
        <v>51</v>
      </c>
      <c r="D58" s="1" t="s">
        <v>52</v>
      </c>
      <c r="E58" s="1" t="s">
        <v>76</v>
      </c>
    </row>
    <row r="59" spans="1:5" ht="262.5" x14ac:dyDescent="0.4">
      <c r="A59" s="1" t="s">
        <v>0</v>
      </c>
      <c r="B59" s="1" t="s">
        <v>97</v>
      </c>
      <c r="C59" s="1" t="s">
        <v>98</v>
      </c>
      <c r="D59" s="1" t="s">
        <v>99</v>
      </c>
      <c r="E59" s="3" t="s">
        <v>100</v>
      </c>
    </row>
    <row r="60" spans="1:5" ht="262.5" x14ac:dyDescent="0.4">
      <c r="A60" s="1" t="s">
        <v>0</v>
      </c>
      <c r="B60" s="1" t="s">
        <v>101</v>
      </c>
      <c r="C60" s="1" t="s">
        <v>102</v>
      </c>
      <c r="D60" s="1" t="s">
        <v>103</v>
      </c>
      <c r="E60" s="3" t="s">
        <v>104</v>
      </c>
    </row>
    <row r="61" spans="1:5" ht="262.5" x14ac:dyDescent="0.4">
      <c r="A61" s="1" t="s">
        <v>0</v>
      </c>
      <c r="B61" s="1" t="s">
        <v>101</v>
      </c>
      <c r="C61" s="1" t="s">
        <v>105</v>
      </c>
      <c r="D61" s="1" t="s">
        <v>106</v>
      </c>
      <c r="E61" s="3" t="s">
        <v>104</v>
      </c>
    </row>
    <row r="62" spans="1:5" x14ac:dyDescent="0.4">
      <c r="A62" s="1" t="s">
        <v>0</v>
      </c>
      <c r="B62" s="1" t="s">
        <v>101</v>
      </c>
      <c r="C62" s="1" t="s">
        <v>98</v>
      </c>
      <c r="D62" s="1" t="s">
        <v>99</v>
      </c>
      <c r="E62" s="1" t="s">
        <v>76</v>
      </c>
    </row>
    <row r="63" spans="1:5" ht="409.5" x14ac:dyDescent="0.4">
      <c r="A63" s="1" t="s">
        <v>241</v>
      </c>
      <c r="B63" s="1" t="s">
        <v>242</v>
      </c>
      <c r="C63" s="1" t="s">
        <v>14</v>
      </c>
      <c r="D63" s="1" t="s">
        <v>15</v>
      </c>
      <c r="E63" s="3" t="s">
        <v>243</v>
      </c>
    </row>
    <row r="64" spans="1:5" ht="75" x14ac:dyDescent="0.4">
      <c r="A64" s="1" t="s">
        <v>241</v>
      </c>
      <c r="B64" s="1" t="s">
        <v>244</v>
      </c>
      <c r="C64" s="1" t="s">
        <v>36</v>
      </c>
      <c r="D64" s="1" t="s">
        <v>89</v>
      </c>
      <c r="E64" s="3" t="s">
        <v>245</v>
      </c>
    </row>
    <row r="65" spans="1:5" ht="75" x14ac:dyDescent="0.4">
      <c r="A65" s="1" t="s">
        <v>241</v>
      </c>
      <c r="B65" s="1" t="s">
        <v>246</v>
      </c>
      <c r="C65" s="1" t="s">
        <v>36</v>
      </c>
      <c r="D65" s="1" t="s">
        <v>89</v>
      </c>
      <c r="E65" s="3" t="s">
        <v>247</v>
      </c>
    </row>
    <row r="66" spans="1:5" ht="168.75" x14ac:dyDescent="0.4">
      <c r="A66" s="1" t="s">
        <v>0</v>
      </c>
      <c r="B66" s="1" t="s">
        <v>250</v>
      </c>
      <c r="C66" s="1" t="s">
        <v>66</v>
      </c>
      <c r="D66" s="1" t="s">
        <v>3</v>
      </c>
      <c r="E66" s="3" t="s">
        <v>251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882E-A3F1-4DE1-8852-3AA212433768}">
  <dimension ref="A1:I2"/>
  <sheetViews>
    <sheetView workbookViewId="0"/>
  </sheetViews>
  <sheetFormatPr defaultRowHeight="18.75" x14ac:dyDescent="0.4"/>
  <cols>
    <col min="1" max="16384" width="9" style="2"/>
  </cols>
  <sheetData>
    <row r="1" spans="1:9" x14ac:dyDescent="0.4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</row>
    <row r="2" spans="1:9" x14ac:dyDescent="0.4">
      <c r="A2" s="2" t="s">
        <v>75</v>
      </c>
      <c r="B2" s="2" t="s">
        <v>116</v>
      </c>
      <c r="C2" s="2" t="s">
        <v>117</v>
      </c>
      <c r="D2" s="2" t="s">
        <v>116</v>
      </c>
      <c r="E2" s="2" t="s">
        <v>118</v>
      </c>
      <c r="F2" s="2" t="s">
        <v>3</v>
      </c>
      <c r="G2" s="2" t="s">
        <v>3</v>
      </c>
      <c r="H2" s="2" t="s">
        <v>119</v>
      </c>
      <c r="I2" s="2" t="s">
        <v>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F24FB-ADB9-4942-8168-437C64B7DF2D}">
  <dimension ref="A1:AB23"/>
  <sheetViews>
    <sheetView workbookViewId="0"/>
  </sheetViews>
  <sheetFormatPr defaultRowHeight="18.75" x14ac:dyDescent="0.4"/>
  <cols>
    <col min="1" max="16384" width="9" style="2"/>
  </cols>
  <sheetData>
    <row r="1" spans="1:28" x14ac:dyDescent="0.4">
      <c r="A1" s="2" t="s">
        <v>120</v>
      </c>
      <c r="B1" s="2" t="s">
        <v>108</v>
      </c>
      <c r="C1" s="2" t="s">
        <v>109</v>
      </c>
      <c r="D1" s="2" t="s">
        <v>121</v>
      </c>
      <c r="E1" s="2" t="s">
        <v>122</v>
      </c>
      <c r="F1" s="2" t="s">
        <v>123</v>
      </c>
      <c r="G1" s="2" t="s">
        <v>124</v>
      </c>
      <c r="H1" s="2" t="s">
        <v>125</v>
      </c>
      <c r="I1" s="2" t="s">
        <v>126</v>
      </c>
      <c r="J1" s="2" t="s">
        <v>127</v>
      </c>
      <c r="K1" s="2" t="s">
        <v>128</v>
      </c>
      <c r="L1" s="2" t="s">
        <v>129</v>
      </c>
      <c r="M1" s="2" t="s">
        <v>130</v>
      </c>
      <c r="N1" s="2" t="s">
        <v>131</v>
      </c>
      <c r="O1" s="2" t="s">
        <v>112</v>
      </c>
      <c r="P1" s="2" t="s">
        <v>113</v>
      </c>
      <c r="Q1" s="2" t="s">
        <v>111</v>
      </c>
      <c r="R1" s="2" t="s">
        <v>132</v>
      </c>
      <c r="S1" s="2" t="s">
        <v>133</v>
      </c>
      <c r="T1" s="2" t="s">
        <v>110</v>
      </c>
      <c r="U1" s="2" t="s">
        <v>134</v>
      </c>
      <c r="V1" s="2" t="s">
        <v>115</v>
      </c>
      <c r="W1" s="2" t="s">
        <v>135</v>
      </c>
      <c r="X1" s="2" t="s">
        <v>136</v>
      </c>
      <c r="Y1" s="2" t="s">
        <v>248</v>
      </c>
      <c r="Z1" s="2" t="s">
        <v>249</v>
      </c>
      <c r="AA1" s="2" t="s">
        <v>137</v>
      </c>
      <c r="AB1" s="2" t="s">
        <v>138</v>
      </c>
    </row>
    <row r="2" spans="1:28" x14ac:dyDescent="0.4">
      <c r="A2" s="2" t="s">
        <v>102</v>
      </c>
      <c r="B2" s="2" t="s">
        <v>139</v>
      </c>
      <c r="C2" s="2" t="s">
        <v>140</v>
      </c>
      <c r="D2" s="2" t="s">
        <v>141</v>
      </c>
      <c r="E2" s="2" t="s">
        <v>3</v>
      </c>
      <c r="F2" s="2" t="s">
        <v>142</v>
      </c>
      <c r="G2" s="2" t="s">
        <v>143</v>
      </c>
      <c r="H2" s="2" t="s">
        <v>118</v>
      </c>
      <c r="I2" s="2" t="s">
        <v>144</v>
      </c>
      <c r="K2" s="2" t="s">
        <v>145</v>
      </c>
      <c r="L2" s="2" t="s">
        <v>3</v>
      </c>
      <c r="M2" s="2" t="s">
        <v>118</v>
      </c>
      <c r="N2" s="2" t="s">
        <v>3</v>
      </c>
      <c r="O2" s="2" t="s">
        <v>3</v>
      </c>
      <c r="P2" s="2" t="s">
        <v>3</v>
      </c>
      <c r="Q2" s="2" t="s">
        <v>3</v>
      </c>
      <c r="R2" s="2" t="s">
        <v>3</v>
      </c>
      <c r="S2" s="2" t="s">
        <v>103</v>
      </c>
      <c r="T2" s="2" t="s">
        <v>3</v>
      </c>
      <c r="U2" s="2" t="s">
        <v>3</v>
      </c>
      <c r="V2" s="2" t="s">
        <v>3</v>
      </c>
      <c r="W2" s="2" t="s">
        <v>3</v>
      </c>
      <c r="X2" s="2" t="s">
        <v>145</v>
      </c>
      <c r="Y2" s="2" t="s">
        <v>145</v>
      </c>
      <c r="Z2" s="2" t="s">
        <v>3</v>
      </c>
      <c r="AA2" s="2" t="s">
        <v>3</v>
      </c>
      <c r="AB2" s="2" t="s">
        <v>3</v>
      </c>
    </row>
    <row r="3" spans="1:28" x14ac:dyDescent="0.4">
      <c r="A3" s="2" t="s">
        <v>105</v>
      </c>
      <c r="B3" s="2" t="s">
        <v>139</v>
      </c>
      <c r="C3" s="2" t="s">
        <v>140</v>
      </c>
      <c r="D3" s="2" t="s">
        <v>146</v>
      </c>
      <c r="E3" s="2" t="s">
        <v>3</v>
      </c>
      <c r="F3" s="2" t="s">
        <v>147</v>
      </c>
      <c r="G3" s="2" t="s">
        <v>143</v>
      </c>
      <c r="H3" s="2" t="s">
        <v>118</v>
      </c>
      <c r="I3" s="2" t="s">
        <v>144</v>
      </c>
      <c r="K3" s="2" t="s">
        <v>145</v>
      </c>
      <c r="L3" s="2" t="s">
        <v>3</v>
      </c>
      <c r="M3" s="2" t="s">
        <v>118</v>
      </c>
      <c r="N3" s="2" t="s">
        <v>3</v>
      </c>
      <c r="O3" s="2" t="s">
        <v>3</v>
      </c>
      <c r="P3" s="2" t="s">
        <v>3</v>
      </c>
      <c r="Q3" s="2" t="s">
        <v>3</v>
      </c>
      <c r="R3" s="2" t="s">
        <v>3</v>
      </c>
      <c r="S3" s="2" t="s">
        <v>106</v>
      </c>
      <c r="T3" s="2" t="s">
        <v>3</v>
      </c>
      <c r="U3" s="2" t="s">
        <v>3</v>
      </c>
      <c r="V3" s="2" t="s">
        <v>3</v>
      </c>
      <c r="W3" s="2" t="s">
        <v>3</v>
      </c>
      <c r="X3" s="2" t="s">
        <v>145</v>
      </c>
      <c r="Y3" s="2" t="s">
        <v>145</v>
      </c>
      <c r="Z3" s="2" t="s">
        <v>3</v>
      </c>
      <c r="AA3" s="2" t="s">
        <v>3</v>
      </c>
      <c r="AB3" s="2" t="s">
        <v>3</v>
      </c>
    </row>
    <row r="4" spans="1:28" x14ac:dyDescent="0.4">
      <c r="A4" s="2" t="s">
        <v>6</v>
      </c>
      <c r="B4" s="2" t="s">
        <v>116</v>
      </c>
      <c r="C4" s="2" t="s">
        <v>148</v>
      </c>
      <c r="D4" s="2" t="s">
        <v>149</v>
      </c>
      <c r="E4" s="2" t="s">
        <v>150</v>
      </c>
      <c r="F4" s="2" t="s">
        <v>151</v>
      </c>
      <c r="G4" s="2" t="s">
        <v>143</v>
      </c>
      <c r="H4" s="2" t="s">
        <v>152</v>
      </c>
      <c r="I4" s="2" t="s">
        <v>144</v>
      </c>
      <c r="K4" s="2" t="s">
        <v>145</v>
      </c>
      <c r="L4" s="2" t="s">
        <v>3</v>
      </c>
      <c r="M4" s="2" t="s">
        <v>118</v>
      </c>
      <c r="N4" s="2" t="s">
        <v>3</v>
      </c>
      <c r="O4" s="2" t="s">
        <v>3</v>
      </c>
      <c r="P4" s="2" t="s">
        <v>3</v>
      </c>
      <c r="Q4" s="2" t="s">
        <v>3</v>
      </c>
      <c r="R4" s="2" t="s">
        <v>3</v>
      </c>
      <c r="S4" s="2" t="s">
        <v>7</v>
      </c>
      <c r="T4" s="2" t="s">
        <v>3</v>
      </c>
      <c r="U4" s="2" t="s">
        <v>3</v>
      </c>
      <c r="V4" s="2" t="s">
        <v>3</v>
      </c>
      <c r="W4" s="2" t="s">
        <v>3</v>
      </c>
      <c r="X4" s="2" t="s">
        <v>145</v>
      </c>
      <c r="Y4" s="2" t="s">
        <v>145</v>
      </c>
      <c r="Z4" s="2" t="s">
        <v>3</v>
      </c>
      <c r="AA4" s="2" t="s">
        <v>3</v>
      </c>
      <c r="AB4" s="2" t="s">
        <v>3</v>
      </c>
    </row>
    <row r="5" spans="1:28" x14ac:dyDescent="0.4">
      <c r="A5" s="2" t="s">
        <v>9</v>
      </c>
      <c r="B5" s="2" t="s">
        <v>153</v>
      </c>
      <c r="C5" s="2" t="s">
        <v>154</v>
      </c>
      <c r="D5" s="2" t="s">
        <v>155</v>
      </c>
      <c r="E5" s="2" t="s">
        <v>118</v>
      </c>
      <c r="F5" s="2" t="s">
        <v>156</v>
      </c>
      <c r="G5" s="2" t="s">
        <v>143</v>
      </c>
      <c r="H5" s="2" t="s">
        <v>152</v>
      </c>
      <c r="I5" s="2" t="s">
        <v>144</v>
      </c>
      <c r="K5" s="2" t="s">
        <v>145</v>
      </c>
      <c r="L5" s="2" t="s">
        <v>3</v>
      </c>
      <c r="M5" s="2" t="s">
        <v>118</v>
      </c>
      <c r="N5" s="2" t="s">
        <v>3</v>
      </c>
      <c r="O5" s="2" t="s">
        <v>3</v>
      </c>
      <c r="P5" s="2" t="s">
        <v>3</v>
      </c>
      <c r="Q5" s="2" t="s">
        <v>3</v>
      </c>
      <c r="R5" s="2" t="s">
        <v>3</v>
      </c>
      <c r="S5" s="2" t="s">
        <v>10</v>
      </c>
      <c r="T5" s="2" t="s">
        <v>3</v>
      </c>
      <c r="U5" s="2" t="s">
        <v>3</v>
      </c>
      <c r="V5" s="2" t="s">
        <v>3</v>
      </c>
      <c r="W5" s="2" t="s">
        <v>3</v>
      </c>
      <c r="X5" s="2" t="s">
        <v>145</v>
      </c>
      <c r="Y5" s="2" t="s">
        <v>145</v>
      </c>
      <c r="Z5" s="2" t="s">
        <v>3</v>
      </c>
      <c r="AA5" s="2" t="s">
        <v>3</v>
      </c>
      <c r="AB5" s="2" t="s">
        <v>3</v>
      </c>
    </row>
    <row r="6" spans="1:28" x14ac:dyDescent="0.4">
      <c r="A6" s="2" t="s">
        <v>11</v>
      </c>
      <c r="B6" s="2" t="s">
        <v>153</v>
      </c>
      <c r="C6" s="2" t="s">
        <v>154</v>
      </c>
      <c r="D6" s="2" t="s">
        <v>157</v>
      </c>
      <c r="E6" s="2" t="s">
        <v>118</v>
      </c>
      <c r="F6" s="2" t="s">
        <v>158</v>
      </c>
      <c r="G6" s="2" t="s">
        <v>159</v>
      </c>
      <c r="H6" s="2" t="s">
        <v>160</v>
      </c>
      <c r="I6" s="2" t="s">
        <v>161</v>
      </c>
      <c r="K6" s="2" t="s">
        <v>145</v>
      </c>
      <c r="L6" s="2" t="s">
        <v>3</v>
      </c>
      <c r="M6" s="2" t="s">
        <v>118</v>
      </c>
      <c r="N6" s="2" t="s">
        <v>3</v>
      </c>
      <c r="O6" s="2" t="s">
        <v>3</v>
      </c>
      <c r="P6" s="2" t="s">
        <v>3</v>
      </c>
      <c r="Q6" s="2" t="s">
        <v>3</v>
      </c>
      <c r="R6" s="2" t="s">
        <v>3</v>
      </c>
      <c r="S6" s="2" t="s">
        <v>12</v>
      </c>
      <c r="T6" s="2" t="s">
        <v>3</v>
      </c>
      <c r="U6" s="2" t="s">
        <v>3</v>
      </c>
      <c r="V6" s="2" t="s">
        <v>3</v>
      </c>
      <c r="W6" s="2" t="s">
        <v>3</v>
      </c>
      <c r="X6" s="2" t="s">
        <v>145</v>
      </c>
      <c r="Y6" s="2" t="s">
        <v>145</v>
      </c>
      <c r="Z6" s="2" t="s">
        <v>3</v>
      </c>
      <c r="AA6" s="2" t="s">
        <v>3</v>
      </c>
      <c r="AB6" s="2" t="s">
        <v>3</v>
      </c>
    </row>
    <row r="7" spans="1:28" x14ac:dyDescent="0.4">
      <c r="A7" s="2" t="s">
        <v>14</v>
      </c>
      <c r="B7" s="2" t="s">
        <v>153</v>
      </c>
      <c r="C7" s="2" t="s">
        <v>154</v>
      </c>
      <c r="D7" s="2" t="s">
        <v>162</v>
      </c>
      <c r="E7" s="2" t="s">
        <v>118</v>
      </c>
      <c r="F7" s="2" t="s">
        <v>163</v>
      </c>
      <c r="G7" s="2" t="s">
        <v>143</v>
      </c>
      <c r="H7" s="2" t="s">
        <v>164</v>
      </c>
      <c r="I7" s="2" t="s">
        <v>144</v>
      </c>
      <c r="J7" s="2" t="s">
        <v>240</v>
      </c>
      <c r="K7" s="2" t="s">
        <v>145</v>
      </c>
      <c r="L7" s="2" t="s">
        <v>3</v>
      </c>
      <c r="M7" s="2" t="s">
        <v>118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 t="s">
        <v>15</v>
      </c>
      <c r="T7" s="2" t="s">
        <v>3</v>
      </c>
      <c r="U7" s="2" t="s">
        <v>3</v>
      </c>
      <c r="V7" s="2" t="s">
        <v>3</v>
      </c>
      <c r="W7" s="2" t="s">
        <v>3</v>
      </c>
      <c r="X7" s="2" t="s">
        <v>145</v>
      </c>
      <c r="Y7" s="2" t="s">
        <v>145</v>
      </c>
      <c r="Z7" s="2" t="s">
        <v>3</v>
      </c>
      <c r="AA7" s="2" t="s">
        <v>3</v>
      </c>
      <c r="AB7" s="2" t="s">
        <v>3</v>
      </c>
    </row>
    <row r="8" spans="1:28" x14ac:dyDescent="0.4">
      <c r="A8" s="2" t="s">
        <v>17</v>
      </c>
      <c r="B8" s="2" t="s">
        <v>116</v>
      </c>
      <c r="C8" s="2" t="s">
        <v>165</v>
      </c>
      <c r="D8" s="2" t="s">
        <v>166</v>
      </c>
      <c r="E8" s="2" t="s">
        <v>167</v>
      </c>
      <c r="F8" s="2" t="s">
        <v>168</v>
      </c>
      <c r="G8" s="2" t="s">
        <v>159</v>
      </c>
      <c r="H8" s="2" t="s">
        <v>160</v>
      </c>
      <c r="I8" s="2" t="s">
        <v>161</v>
      </c>
      <c r="K8" s="2" t="s">
        <v>145</v>
      </c>
      <c r="L8" s="2" t="s">
        <v>3</v>
      </c>
      <c r="M8" s="2" t="s">
        <v>3</v>
      </c>
      <c r="N8" s="2" t="s">
        <v>3</v>
      </c>
      <c r="O8" s="2" t="s">
        <v>3</v>
      </c>
      <c r="P8" s="2" t="s">
        <v>3</v>
      </c>
      <c r="Q8" s="2" t="s">
        <v>3</v>
      </c>
      <c r="R8" s="2" t="s">
        <v>3</v>
      </c>
      <c r="S8" s="2" t="s">
        <v>18</v>
      </c>
      <c r="T8" s="2" t="s">
        <v>3</v>
      </c>
      <c r="U8" s="2" t="s">
        <v>3</v>
      </c>
      <c r="V8" s="2" t="s">
        <v>3</v>
      </c>
      <c r="W8" s="2" t="s">
        <v>3</v>
      </c>
      <c r="X8" s="2" t="s">
        <v>145</v>
      </c>
      <c r="Y8" s="2" t="s">
        <v>145</v>
      </c>
      <c r="Z8" s="2" t="s">
        <v>3</v>
      </c>
      <c r="AA8" s="2" t="s">
        <v>3</v>
      </c>
      <c r="AB8" s="2" t="s">
        <v>3</v>
      </c>
    </row>
    <row r="9" spans="1:28" x14ac:dyDescent="0.4">
      <c r="A9" s="2" t="s">
        <v>19</v>
      </c>
      <c r="B9" s="2" t="s">
        <v>116</v>
      </c>
      <c r="C9" s="2" t="s">
        <v>165</v>
      </c>
      <c r="D9" s="2" t="s">
        <v>169</v>
      </c>
      <c r="E9" s="2" t="s">
        <v>167</v>
      </c>
      <c r="F9" s="2" t="s">
        <v>170</v>
      </c>
      <c r="G9" s="2" t="s">
        <v>159</v>
      </c>
      <c r="H9" s="2" t="s">
        <v>160</v>
      </c>
      <c r="I9" s="2" t="s">
        <v>161</v>
      </c>
      <c r="K9" s="2" t="s">
        <v>145</v>
      </c>
      <c r="L9" s="2" t="s">
        <v>3</v>
      </c>
      <c r="M9" s="2" t="s">
        <v>3</v>
      </c>
      <c r="N9" s="2" t="s">
        <v>3</v>
      </c>
      <c r="O9" s="2" t="s">
        <v>3</v>
      </c>
      <c r="P9" s="2" t="s">
        <v>3</v>
      </c>
      <c r="Q9" s="2" t="s">
        <v>3</v>
      </c>
      <c r="R9" s="2" t="s">
        <v>3</v>
      </c>
      <c r="S9" s="2" t="s">
        <v>20</v>
      </c>
      <c r="T9" s="2" t="s">
        <v>3</v>
      </c>
      <c r="U9" s="2" t="s">
        <v>3</v>
      </c>
      <c r="V9" s="2" t="s">
        <v>3</v>
      </c>
      <c r="W9" s="2" t="s">
        <v>3</v>
      </c>
      <c r="X9" s="2" t="s">
        <v>145</v>
      </c>
      <c r="Y9" s="2" t="s">
        <v>145</v>
      </c>
      <c r="Z9" s="2" t="s">
        <v>3</v>
      </c>
      <c r="AA9" s="2" t="s">
        <v>3</v>
      </c>
      <c r="AB9" s="2" t="s">
        <v>3</v>
      </c>
    </row>
    <row r="10" spans="1:28" x14ac:dyDescent="0.4">
      <c r="A10" s="2" t="s">
        <v>21</v>
      </c>
      <c r="B10" s="2" t="s">
        <v>116</v>
      </c>
      <c r="C10" s="2" t="s">
        <v>148</v>
      </c>
      <c r="D10" s="2" t="s">
        <v>171</v>
      </c>
      <c r="E10" s="2" t="s">
        <v>172</v>
      </c>
      <c r="F10" s="2" t="s">
        <v>173</v>
      </c>
      <c r="G10" s="2" t="s">
        <v>143</v>
      </c>
      <c r="H10" s="2" t="s">
        <v>174</v>
      </c>
      <c r="I10" s="2" t="s">
        <v>144</v>
      </c>
      <c r="K10" s="2" t="s">
        <v>145</v>
      </c>
      <c r="L10" s="2" t="s">
        <v>3</v>
      </c>
      <c r="M10" s="2" t="s">
        <v>118</v>
      </c>
      <c r="N10" s="2" t="s">
        <v>3</v>
      </c>
      <c r="O10" s="2" t="s">
        <v>3</v>
      </c>
      <c r="P10" s="2" t="s">
        <v>3</v>
      </c>
      <c r="Q10" s="2" t="s">
        <v>3</v>
      </c>
      <c r="R10" s="2" t="s">
        <v>3</v>
      </c>
      <c r="S10" s="2" t="s">
        <v>22</v>
      </c>
      <c r="T10" s="2" t="s">
        <v>3</v>
      </c>
      <c r="U10" s="2" t="s">
        <v>3</v>
      </c>
      <c r="V10" s="2" t="s">
        <v>3</v>
      </c>
      <c r="W10" s="2" t="s">
        <v>3</v>
      </c>
      <c r="X10" s="2" t="s">
        <v>145</v>
      </c>
      <c r="Y10" s="2" t="s">
        <v>145</v>
      </c>
      <c r="Z10" s="2" t="s">
        <v>3</v>
      </c>
      <c r="AA10" s="2" t="s">
        <v>3</v>
      </c>
      <c r="AB10" s="2" t="s">
        <v>3</v>
      </c>
    </row>
    <row r="11" spans="1:28" x14ac:dyDescent="0.4">
      <c r="A11" s="2" t="s">
        <v>24</v>
      </c>
      <c r="B11" s="2" t="s">
        <v>116</v>
      </c>
      <c r="C11" s="2" t="s">
        <v>148</v>
      </c>
      <c r="D11" s="2" t="s">
        <v>175</v>
      </c>
      <c r="E11" s="2" t="s">
        <v>172</v>
      </c>
      <c r="F11" s="2" t="s">
        <v>176</v>
      </c>
      <c r="G11" s="2" t="s">
        <v>143</v>
      </c>
      <c r="H11" s="2" t="s">
        <v>177</v>
      </c>
      <c r="I11" s="2" t="s">
        <v>144</v>
      </c>
      <c r="K11" s="2" t="s">
        <v>145</v>
      </c>
      <c r="L11" s="2" t="s">
        <v>3</v>
      </c>
      <c r="M11" s="2" t="s">
        <v>118</v>
      </c>
      <c r="N11" s="2" t="s">
        <v>3</v>
      </c>
      <c r="O11" s="2" t="s">
        <v>3</v>
      </c>
      <c r="P11" s="2" t="s">
        <v>3</v>
      </c>
      <c r="Q11" s="2" t="s">
        <v>3</v>
      </c>
      <c r="R11" s="2" t="s">
        <v>3</v>
      </c>
      <c r="S11" s="2" t="s">
        <v>25</v>
      </c>
      <c r="T11" s="2" t="s">
        <v>3</v>
      </c>
      <c r="U11" s="2" t="s">
        <v>3</v>
      </c>
      <c r="V11" s="2" t="s">
        <v>3</v>
      </c>
      <c r="W11" s="2" t="s">
        <v>3</v>
      </c>
      <c r="X11" s="2" t="s">
        <v>145</v>
      </c>
      <c r="Y11" s="2" t="s">
        <v>145</v>
      </c>
      <c r="Z11" s="2" t="s">
        <v>3</v>
      </c>
      <c r="AA11" s="2" t="s">
        <v>3</v>
      </c>
      <c r="AB11" s="2" t="s">
        <v>3</v>
      </c>
    </row>
    <row r="12" spans="1:28" x14ac:dyDescent="0.4">
      <c r="A12" s="2" t="s">
        <v>27</v>
      </c>
      <c r="B12" s="2" t="s">
        <v>116</v>
      </c>
      <c r="C12" s="2" t="s">
        <v>148</v>
      </c>
      <c r="D12" s="2" t="s">
        <v>178</v>
      </c>
      <c r="E12" s="2" t="s">
        <v>172</v>
      </c>
      <c r="F12" s="2" t="s">
        <v>179</v>
      </c>
      <c r="G12" s="2" t="s">
        <v>143</v>
      </c>
      <c r="H12" s="2" t="s">
        <v>180</v>
      </c>
      <c r="I12" s="2" t="s">
        <v>144</v>
      </c>
      <c r="K12" s="2" t="s">
        <v>145</v>
      </c>
      <c r="L12" s="2" t="s">
        <v>3</v>
      </c>
      <c r="M12" s="2" t="s">
        <v>118</v>
      </c>
      <c r="N12" s="2" t="s">
        <v>3</v>
      </c>
      <c r="O12" s="2" t="s">
        <v>3</v>
      </c>
      <c r="P12" s="2" t="s">
        <v>3</v>
      </c>
      <c r="Q12" s="2" t="s">
        <v>3</v>
      </c>
      <c r="R12" s="2" t="s">
        <v>3</v>
      </c>
      <c r="S12" s="2" t="s">
        <v>28</v>
      </c>
      <c r="T12" s="2" t="s">
        <v>3</v>
      </c>
      <c r="U12" s="2" t="s">
        <v>3</v>
      </c>
      <c r="V12" s="2" t="s">
        <v>3</v>
      </c>
      <c r="W12" s="2" t="s">
        <v>3</v>
      </c>
      <c r="X12" s="2" t="s">
        <v>145</v>
      </c>
      <c r="Y12" s="2" t="s">
        <v>145</v>
      </c>
      <c r="Z12" s="2" t="s">
        <v>3</v>
      </c>
      <c r="AA12" s="2" t="s">
        <v>3</v>
      </c>
      <c r="AB12" s="2" t="s">
        <v>3</v>
      </c>
    </row>
    <row r="13" spans="1:28" x14ac:dyDescent="0.4">
      <c r="A13" s="2" t="s">
        <v>30</v>
      </c>
      <c r="B13" s="2" t="s">
        <v>116</v>
      </c>
      <c r="C13" s="2" t="s">
        <v>148</v>
      </c>
      <c r="D13" s="2" t="s">
        <v>181</v>
      </c>
      <c r="E13" s="2" t="s">
        <v>172</v>
      </c>
      <c r="F13" s="2" t="s">
        <v>182</v>
      </c>
      <c r="G13" s="2" t="s">
        <v>143</v>
      </c>
      <c r="H13" s="2" t="s">
        <v>183</v>
      </c>
      <c r="I13" s="2" t="s">
        <v>144</v>
      </c>
      <c r="K13" s="2" t="s">
        <v>145</v>
      </c>
      <c r="L13" s="2" t="s">
        <v>3</v>
      </c>
      <c r="M13" s="2" t="s">
        <v>118</v>
      </c>
      <c r="N13" s="2" t="s">
        <v>3</v>
      </c>
      <c r="O13" s="2" t="s">
        <v>3</v>
      </c>
      <c r="P13" s="2" t="s">
        <v>3</v>
      </c>
      <c r="Q13" s="2" t="s">
        <v>3</v>
      </c>
      <c r="R13" s="2" t="s">
        <v>3</v>
      </c>
      <c r="S13" s="2" t="s">
        <v>31</v>
      </c>
      <c r="T13" s="2" t="s">
        <v>3</v>
      </c>
      <c r="U13" s="2" t="s">
        <v>3</v>
      </c>
      <c r="V13" s="2" t="s">
        <v>3</v>
      </c>
      <c r="W13" s="2" t="s">
        <v>3</v>
      </c>
      <c r="X13" s="2" t="s">
        <v>145</v>
      </c>
      <c r="Y13" s="2" t="s">
        <v>145</v>
      </c>
      <c r="Z13" s="2" t="s">
        <v>3</v>
      </c>
      <c r="AA13" s="2" t="s">
        <v>3</v>
      </c>
      <c r="AB13" s="2" t="s">
        <v>3</v>
      </c>
    </row>
    <row r="14" spans="1:28" x14ac:dyDescent="0.4">
      <c r="A14" s="2" t="s">
        <v>33</v>
      </c>
      <c r="B14" s="2" t="s">
        <v>116</v>
      </c>
      <c r="C14" s="2" t="s">
        <v>117</v>
      </c>
      <c r="D14" s="2" t="s">
        <v>184</v>
      </c>
      <c r="E14" s="2" t="s">
        <v>185</v>
      </c>
      <c r="F14" s="2" t="s">
        <v>186</v>
      </c>
      <c r="G14" s="2" t="s">
        <v>143</v>
      </c>
      <c r="H14" s="2" t="s">
        <v>184</v>
      </c>
      <c r="I14" s="2" t="s">
        <v>144</v>
      </c>
      <c r="K14" s="2" t="s">
        <v>187</v>
      </c>
      <c r="L14" s="2" t="s">
        <v>188</v>
      </c>
      <c r="M14" s="2" t="s">
        <v>118</v>
      </c>
      <c r="N14" s="2" t="s">
        <v>3</v>
      </c>
      <c r="O14" s="2" t="s">
        <v>3</v>
      </c>
      <c r="P14" s="2" t="s">
        <v>3</v>
      </c>
      <c r="Q14" s="2" t="s">
        <v>3</v>
      </c>
      <c r="R14" s="2" t="s">
        <v>3</v>
      </c>
      <c r="S14" s="2" t="s">
        <v>34</v>
      </c>
      <c r="T14" s="2" t="s">
        <v>116</v>
      </c>
      <c r="U14" s="2" t="s">
        <v>3</v>
      </c>
      <c r="V14" s="2" t="s">
        <v>3</v>
      </c>
      <c r="W14" s="2" t="s">
        <v>3</v>
      </c>
      <c r="X14" s="2" t="s">
        <v>145</v>
      </c>
      <c r="Y14" s="2" t="s">
        <v>145</v>
      </c>
      <c r="Z14" s="2" t="s">
        <v>3</v>
      </c>
      <c r="AA14" s="2" t="s">
        <v>3</v>
      </c>
      <c r="AB14" s="2" t="s">
        <v>3</v>
      </c>
    </row>
    <row r="15" spans="1:28" x14ac:dyDescent="0.4">
      <c r="A15" s="2" t="s">
        <v>42</v>
      </c>
      <c r="B15" s="2" t="s">
        <v>116</v>
      </c>
      <c r="C15" s="2" t="s">
        <v>189</v>
      </c>
      <c r="D15" s="2" t="s">
        <v>190</v>
      </c>
      <c r="E15" s="2" t="s">
        <v>185</v>
      </c>
      <c r="F15" s="2" t="s">
        <v>191</v>
      </c>
      <c r="G15" s="2" t="s">
        <v>143</v>
      </c>
      <c r="H15" s="2" t="s">
        <v>190</v>
      </c>
      <c r="I15" s="2" t="s">
        <v>144</v>
      </c>
      <c r="K15" s="2" t="s">
        <v>187</v>
      </c>
      <c r="L15" s="2" t="s">
        <v>192</v>
      </c>
      <c r="M15" s="2" t="s">
        <v>118</v>
      </c>
      <c r="N15" s="2" t="s">
        <v>3</v>
      </c>
      <c r="O15" s="2" t="s">
        <v>3</v>
      </c>
      <c r="P15" s="2" t="s">
        <v>3</v>
      </c>
      <c r="Q15" s="2" t="s">
        <v>3</v>
      </c>
      <c r="R15" s="2" t="s">
        <v>3</v>
      </c>
      <c r="S15" s="2" t="s">
        <v>43</v>
      </c>
      <c r="T15" s="2" t="s">
        <v>116</v>
      </c>
      <c r="U15" s="2" t="s">
        <v>3</v>
      </c>
      <c r="V15" s="2" t="s">
        <v>3</v>
      </c>
      <c r="W15" s="2" t="s">
        <v>3</v>
      </c>
      <c r="X15" s="2" t="s">
        <v>145</v>
      </c>
      <c r="Y15" s="2" t="s">
        <v>145</v>
      </c>
      <c r="Z15" s="2" t="s">
        <v>3</v>
      </c>
      <c r="AA15" s="2" t="s">
        <v>3</v>
      </c>
      <c r="AB15" s="2" t="s">
        <v>3</v>
      </c>
    </row>
    <row r="16" spans="1:28" x14ac:dyDescent="0.4">
      <c r="A16" s="2" t="s">
        <v>70</v>
      </c>
      <c r="B16" s="2" t="s">
        <v>116</v>
      </c>
      <c r="C16" s="2" t="s">
        <v>189</v>
      </c>
      <c r="D16" s="2" t="s">
        <v>193</v>
      </c>
      <c r="E16" s="2" t="s">
        <v>185</v>
      </c>
      <c r="F16" s="2" t="s">
        <v>194</v>
      </c>
      <c r="G16" s="2" t="s">
        <v>143</v>
      </c>
      <c r="H16" s="2" t="s">
        <v>193</v>
      </c>
      <c r="I16" s="2" t="s">
        <v>144</v>
      </c>
      <c r="K16" s="2" t="s">
        <v>187</v>
      </c>
      <c r="L16" s="2" t="s">
        <v>195</v>
      </c>
      <c r="M16" s="2" t="s">
        <v>118</v>
      </c>
      <c r="N16" s="2" t="s">
        <v>3</v>
      </c>
      <c r="O16" s="2" t="s">
        <v>3</v>
      </c>
      <c r="P16" s="2" t="s">
        <v>3</v>
      </c>
      <c r="Q16" s="2" t="s">
        <v>3</v>
      </c>
      <c r="R16" s="2" t="s">
        <v>3</v>
      </c>
      <c r="S16" s="2" t="s">
        <v>46</v>
      </c>
      <c r="T16" s="2" t="s">
        <v>116</v>
      </c>
      <c r="U16" s="2" t="s">
        <v>3</v>
      </c>
      <c r="V16" s="2" t="s">
        <v>3</v>
      </c>
      <c r="W16" s="2" t="s">
        <v>3</v>
      </c>
      <c r="X16" s="2" t="s">
        <v>145</v>
      </c>
      <c r="Y16" s="2" t="s">
        <v>145</v>
      </c>
      <c r="Z16" s="2" t="s">
        <v>3</v>
      </c>
      <c r="AA16" s="2" t="s">
        <v>3</v>
      </c>
      <c r="AB16" s="2" t="s">
        <v>3</v>
      </c>
    </row>
    <row r="17" spans="1:28" x14ac:dyDescent="0.4">
      <c r="A17" s="2" t="s">
        <v>36</v>
      </c>
      <c r="B17" s="2" t="s">
        <v>116</v>
      </c>
      <c r="C17" s="2" t="s">
        <v>117</v>
      </c>
      <c r="D17" s="2" t="s">
        <v>196</v>
      </c>
      <c r="E17" s="2" t="s">
        <v>185</v>
      </c>
      <c r="F17" s="2" t="s">
        <v>197</v>
      </c>
      <c r="G17" s="2" t="s">
        <v>143</v>
      </c>
      <c r="H17" s="2" t="s">
        <v>118</v>
      </c>
      <c r="I17" s="2" t="s">
        <v>144</v>
      </c>
      <c r="K17" s="2" t="s">
        <v>187</v>
      </c>
      <c r="L17" s="2" t="s">
        <v>198</v>
      </c>
      <c r="M17" s="2" t="s">
        <v>118</v>
      </c>
      <c r="N17" s="2" t="s">
        <v>3</v>
      </c>
      <c r="O17" s="2" t="s">
        <v>3</v>
      </c>
      <c r="P17" s="2" t="s">
        <v>3</v>
      </c>
      <c r="Q17" s="2" t="s">
        <v>3</v>
      </c>
      <c r="R17" s="2" t="s">
        <v>3</v>
      </c>
      <c r="S17" s="2" t="s">
        <v>89</v>
      </c>
      <c r="T17" s="2" t="s">
        <v>116</v>
      </c>
      <c r="U17" s="2" t="s">
        <v>3</v>
      </c>
      <c r="V17" s="2" t="s">
        <v>3</v>
      </c>
      <c r="W17" s="2" t="s">
        <v>3</v>
      </c>
      <c r="X17" s="2" t="s">
        <v>145</v>
      </c>
      <c r="Y17" s="2" t="s">
        <v>145</v>
      </c>
      <c r="Z17" s="2" t="s">
        <v>3</v>
      </c>
      <c r="AA17" s="2" t="s">
        <v>3</v>
      </c>
      <c r="AB17" s="2" t="s">
        <v>3</v>
      </c>
    </row>
    <row r="18" spans="1:28" x14ac:dyDescent="0.4">
      <c r="A18" s="2" t="s">
        <v>39</v>
      </c>
      <c r="B18" s="2" t="s">
        <v>116</v>
      </c>
      <c r="C18" s="2" t="s">
        <v>117</v>
      </c>
      <c r="D18" s="2" t="s">
        <v>199</v>
      </c>
      <c r="E18" s="2" t="s">
        <v>185</v>
      </c>
      <c r="F18" s="2" t="s">
        <v>200</v>
      </c>
      <c r="G18" s="2" t="s">
        <v>143</v>
      </c>
      <c r="H18" s="2" t="s">
        <v>201</v>
      </c>
      <c r="I18" s="2" t="s">
        <v>144</v>
      </c>
      <c r="K18" s="2" t="s">
        <v>187</v>
      </c>
      <c r="L18" s="2" t="s">
        <v>202</v>
      </c>
      <c r="M18" s="2" t="s">
        <v>118</v>
      </c>
      <c r="N18" s="2" t="s">
        <v>3</v>
      </c>
      <c r="O18" s="2" t="s">
        <v>3</v>
      </c>
      <c r="P18" s="2" t="s">
        <v>3</v>
      </c>
      <c r="Q18" s="2" t="s">
        <v>3</v>
      </c>
      <c r="R18" s="2" t="s">
        <v>3</v>
      </c>
      <c r="S18" s="2" t="s">
        <v>91</v>
      </c>
      <c r="T18" s="2" t="s">
        <v>116</v>
      </c>
      <c r="U18" s="2" t="s">
        <v>3</v>
      </c>
      <c r="V18" s="2" t="s">
        <v>3</v>
      </c>
      <c r="W18" s="2" t="s">
        <v>3</v>
      </c>
      <c r="X18" s="2" t="s">
        <v>145</v>
      </c>
      <c r="Y18" s="2" t="s">
        <v>145</v>
      </c>
      <c r="Z18" s="2" t="s">
        <v>3</v>
      </c>
      <c r="AA18" s="2" t="s">
        <v>3</v>
      </c>
      <c r="AB18" s="2" t="s">
        <v>3</v>
      </c>
    </row>
    <row r="19" spans="1:28" x14ac:dyDescent="0.4">
      <c r="A19" s="2" t="s">
        <v>48</v>
      </c>
      <c r="B19" s="2" t="s">
        <v>116</v>
      </c>
      <c r="C19" s="2" t="s">
        <v>189</v>
      </c>
      <c r="D19" s="2" t="s">
        <v>203</v>
      </c>
      <c r="E19" s="2" t="s">
        <v>185</v>
      </c>
      <c r="F19" s="2" t="s">
        <v>204</v>
      </c>
      <c r="G19" s="2" t="s">
        <v>205</v>
      </c>
      <c r="H19" s="2" t="s">
        <v>206</v>
      </c>
      <c r="I19" s="2" t="s">
        <v>144</v>
      </c>
      <c r="K19" s="2" t="s">
        <v>187</v>
      </c>
      <c r="L19" s="2" t="s">
        <v>207</v>
      </c>
      <c r="M19" s="2" t="s">
        <v>118</v>
      </c>
      <c r="N19" s="2" t="s">
        <v>3</v>
      </c>
      <c r="O19" s="2" t="s">
        <v>3</v>
      </c>
      <c r="P19" s="2" t="s">
        <v>3</v>
      </c>
      <c r="Q19" s="2" t="s">
        <v>3</v>
      </c>
      <c r="R19" s="2" t="s">
        <v>3</v>
      </c>
      <c r="S19" s="2" t="s">
        <v>93</v>
      </c>
      <c r="T19" s="2" t="s">
        <v>116</v>
      </c>
      <c r="U19" s="2" t="s">
        <v>3</v>
      </c>
      <c r="V19" s="2" t="s">
        <v>3</v>
      </c>
      <c r="W19" s="2" t="s">
        <v>3</v>
      </c>
      <c r="X19" s="2" t="s">
        <v>145</v>
      </c>
      <c r="Y19" s="2" t="s">
        <v>145</v>
      </c>
      <c r="Z19" s="2" t="s">
        <v>3</v>
      </c>
      <c r="AA19" s="2" t="s">
        <v>3</v>
      </c>
      <c r="AB19" s="2" t="s">
        <v>3</v>
      </c>
    </row>
    <row r="20" spans="1:28" x14ac:dyDescent="0.4">
      <c r="A20" s="2" t="s">
        <v>51</v>
      </c>
      <c r="B20" s="2" t="s">
        <v>116</v>
      </c>
      <c r="C20" s="2" t="s">
        <v>189</v>
      </c>
      <c r="D20" s="2" t="s">
        <v>208</v>
      </c>
      <c r="E20" s="2" t="s">
        <v>185</v>
      </c>
      <c r="F20" s="2" t="s">
        <v>209</v>
      </c>
      <c r="G20" s="2" t="s">
        <v>143</v>
      </c>
      <c r="H20" s="2" t="s">
        <v>201</v>
      </c>
      <c r="I20" s="2" t="s">
        <v>144</v>
      </c>
      <c r="K20" s="2" t="s">
        <v>187</v>
      </c>
      <c r="L20" s="2" t="s">
        <v>210</v>
      </c>
      <c r="M20" s="2" t="s">
        <v>118</v>
      </c>
      <c r="N20" s="2" t="s">
        <v>3</v>
      </c>
      <c r="O20" s="2" t="s">
        <v>3</v>
      </c>
      <c r="P20" s="2" t="s">
        <v>3</v>
      </c>
      <c r="Q20" s="2" t="s">
        <v>3</v>
      </c>
      <c r="R20" s="2" t="s">
        <v>3</v>
      </c>
      <c r="S20" s="2" t="s">
        <v>95</v>
      </c>
      <c r="T20" s="2" t="s">
        <v>116</v>
      </c>
      <c r="U20" s="2" t="s">
        <v>3</v>
      </c>
      <c r="V20" s="2" t="s">
        <v>3</v>
      </c>
      <c r="W20" s="2" t="s">
        <v>3</v>
      </c>
      <c r="X20" s="2" t="s">
        <v>145</v>
      </c>
      <c r="Y20" s="2" t="s">
        <v>145</v>
      </c>
      <c r="Z20" s="2" t="s">
        <v>3</v>
      </c>
      <c r="AA20" s="2" t="s">
        <v>3</v>
      </c>
      <c r="AB20" s="2" t="s">
        <v>3</v>
      </c>
    </row>
    <row r="21" spans="1:28" x14ac:dyDescent="0.4">
      <c r="A21" s="2" t="s">
        <v>54</v>
      </c>
      <c r="B21" s="2" t="s">
        <v>116</v>
      </c>
      <c r="C21" s="2" t="s">
        <v>148</v>
      </c>
      <c r="D21" s="2" t="s">
        <v>211</v>
      </c>
      <c r="E21" s="2" t="s">
        <v>150</v>
      </c>
      <c r="F21" s="2" t="s">
        <v>212</v>
      </c>
      <c r="G21" s="2" t="s">
        <v>143</v>
      </c>
      <c r="H21" s="2" t="s">
        <v>213</v>
      </c>
      <c r="I21" s="2" t="s">
        <v>144</v>
      </c>
      <c r="K21" s="2" t="s">
        <v>145</v>
      </c>
      <c r="L21" s="2" t="s">
        <v>3</v>
      </c>
      <c r="M21" s="2" t="s">
        <v>3</v>
      </c>
      <c r="N21" s="2" t="s">
        <v>214</v>
      </c>
      <c r="O21" s="2" t="s">
        <v>3</v>
      </c>
      <c r="P21" s="2" t="s">
        <v>3</v>
      </c>
      <c r="Q21" s="2" t="s">
        <v>3</v>
      </c>
      <c r="R21" s="2" t="s">
        <v>3</v>
      </c>
      <c r="S21" s="2" t="s">
        <v>55</v>
      </c>
      <c r="T21" s="2" t="s">
        <v>3</v>
      </c>
      <c r="U21" s="2" t="s">
        <v>3</v>
      </c>
      <c r="V21" s="2" t="s">
        <v>3</v>
      </c>
      <c r="W21" s="2" t="s">
        <v>3</v>
      </c>
      <c r="X21" s="2" t="s">
        <v>145</v>
      </c>
      <c r="Y21" s="2" t="s">
        <v>145</v>
      </c>
      <c r="Z21" s="2" t="s">
        <v>3</v>
      </c>
      <c r="AA21" s="2" t="s">
        <v>3</v>
      </c>
      <c r="AB21" s="2" t="s">
        <v>119</v>
      </c>
    </row>
    <row r="22" spans="1:28" x14ac:dyDescent="0.4">
      <c r="A22" s="2" t="s">
        <v>57</v>
      </c>
      <c r="B22" s="2" t="s">
        <v>116</v>
      </c>
      <c r="C22" s="2" t="s">
        <v>148</v>
      </c>
      <c r="D22" s="2" t="s">
        <v>215</v>
      </c>
      <c r="E22" s="2" t="s">
        <v>172</v>
      </c>
      <c r="F22" s="2" t="s">
        <v>216</v>
      </c>
      <c r="G22" s="2" t="s">
        <v>143</v>
      </c>
      <c r="H22" s="2" t="s">
        <v>174</v>
      </c>
      <c r="I22" s="2" t="s">
        <v>144</v>
      </c>
      <c r="K22" s="2" t="s">
        <v>145</v>
      </c>
      <c r="L22" s="2" t="s">
        <v>3</v>
      </c>
      <c r="M22" s="2" t="s">
        <v>118</v>
      </c>
      <c r="N22" s="2" t="s">
        <v>3</v>
      </c>
      <c r="O22" s="2" t="s">
        <v>3</v>
      </c>
      <c r="P22" s="2" t="s">
        <v>3</v>
      </c>
      <c r="Q22" s="2" t="s">
        <v>3</v>
      </c>
      <c r="R22" s="2" t="s">
        <v>3</v>
      </c>
      <c r="S22" s="2" t="s">
        <v>84</v>
      </c>
      <c r="T22" s="2" t="s">
        <v>3</v>
      </c>
      <c r="U22" s="2" t="s">
        <v>3</v>
      </c>
      <c r="V22" s="2" t="s">
        <v>3</v>
      </c>
      <c r="W22" s="2" t="s">
        <v>3</v>
      </c>
      <c r="X22" s="2" t="s">
        <v>145</v>
      </c>
      <c r="Y22" s="2" t="s">
        <v>145</v>
      </c>
      <c r="Z22" s="2" t="s">
        <v>3</v>
      </c>
      <c r="AA22" s="2" t="s">
        <v>3</v>
      </c>
      <c r="AB22" s="2" t="s">
        <v>3</v>
      </c>
    </row>
    <row r="23" spans="1:28" x14ac:dyDescent="0.4">
      <c r="A23" s="2" t="s">
        <v>59</v>
      </c>
      <c r="B23" s="2" t="s">
        <v>116</v>
      </c>
      <c r="C23" s="2" t="s">
        <v>148</v>
      </c>
      <c r="D23" s="2" t="s">
        <v>217</v>
      </c>
      <c r="E23" s="2" t="s">
        <v>172</v>
      </c>
      <c r="F23" s="2" t="s">
        <v>218</v>
      </c>
      <c r="G23" s="2" t="s">
        <v>143</v>
      </c>
      <c r="H23" s="2" t="s">
        <v>180</v>
      </c>
      <c r="I23" s="2" t="s">
        <v>144</v>
      </c>
      <c r="K23" s="2" t="s">
        <v>145</v>
      </c>
      <c r="L23" s="2" t="s">
        <v>3</v>
      </c>
      <c r="M23" s="2" t="s">
        <v>118</v>
      </c>
      <c r="N23" s="2" t="s">
        <v>3</v>
      </c>
      <c r="O23" s="2" t="s">
        <v>3</v>
      </c>
      <c r="P23" s="2" t="s">
        <v>3</v>
      </c>
      <c r="Q23" s="2" t="s">
        <v>3</v>
      </c>
      <c r="R23" s="2" t="s">
        <v>3</v>
      </c>
      <c r="S23" s="2" t="s">
        <v>85</v>
      </c>
      <c r="T23" s="2" t="s">
        <v>3</v>
      </c>
      <c r="U23" s="2" t="s">
        <v>3</v>
      </c>
      <c r="V23" s="2" t="s">
        <v>3</v>
      </c>
      <c r="W23" s="2" t="s">
        <v>3</v>
      </c>
      <c r="X23" s="2" t="s">
        <v>145</v>
      </c>
      <c r="Y23" s="2" t="s">
        <v>145</v>
      </c>
      <c r="Z23" s="2" t="s">
        <v>3</v>
      </c>
      <c r="AA23" s="2" t="s">
        <v>3</v>
      </c>
      <c r="AB23" s="2" t="s">
        <v>3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5F27B-532A-44A4-BFC6-068144189361}">
  <dimension ref="A1:C54"/>
  <sheetViews>
    <sheetView workbookViewId="0"/>
  </sheetViews>
  <sheetFormatPr defaultRowHeight="18.75" x14ac:dyDescent="0.4"/>
  <sheetData>
    <row r="1" spans="1:1" x14ac:dyDescent="0.4">
      <c r="A1" s="2" t="s">
        <v>219</v>
      </c>
    </row>
    <row r="2" spans="1:1" x14ac:dyDescent="0.4">
      <c r="A2" s="2" t="s">
        <v>252</v>
      </c>
    </row>
    <row r="3" spans="1:1" x14ac:dyDescent="0.4">
      <c r="A3" s="2" t="s">
        <v>220</v>
      </c>
    </row>
    <row r="11" spans="1:1" x14ac:dyDescent="0.4">
      <c r="A11" s="2" t="s">
        <v>3</v>
      </c>
    </row>
    <row r="12" spans="1:1" x14ac:dyDescent="0.4">
      <c r="A12" s="2" t="s">
        <v>220</v>
      </c>
    </row>
    <row r="13" spans="1:1" x14ac:dyDescent="0.4">
      <c r="A13" s="2" t="s">
        <v>220</v>
      </c>
    </row>
    <row r="14" spans="1:1" x14ac:dyDescent="0.4">
      <c r="A14" s="2" t="s">
        <v>118</v>
      </c>
    </row>
    <row r="15" spans="1:1" x14ac:dyDescent="0.4">
      <c r="A15" s="2" t="s">
        <v>118</v>
      </c>
    </row>
    <row r="16" spans="1:1" x14ac:dyDescent="0.4">
      <c r="A16" s="2" t="s">
        <v>220</v>
      </c>
    </row>
    <row r="17" spans="1:3" x14ac:dyDescent="0.4">
      <c r="A17" s="2" t="s">
        <v>220</v>
      </c>
    </row>
    <row r="18" spans="1:3" x14ac:dyDescent="0.4">
      <c r="A18" s="2" t="s">
        <v>3</v>
      </c>
    </row>
    <row r="19" spans="1:3" x14ac:dyDescent="0.4">
      <c r="A19" s="2" t="s">
        <v>221</v>
      </c>
    </row>
    <row r="20" spans="1:3" x14ac:dyDescent="0.4">
      <c r="A20" s="2" t="s">
        <v>3</v>
      </c>
    </row>
    <row r="31" spans="1:3" x14ac:dyDescent="0.4">
      <c r="A31" s="2" t="s">
        <v>3</v>
      </c>
      <c r="B31" s="2" t="s">
        <v>3</v>
      </c>
      <c r="C31" s="2" t="s">
        <v>220</v>
      </c>
    </row>
    <row r="32" spans="1:3" x14ac:dyDescent="0.4">
      <c r="A32" s="2" t="s">
        <v>3</v>
      </c>
      <c r="B32" s="2" t="s">
        <v>3</v>
      </c>
      <c r="C32" s="2" t="s">
        <v>220</v>
      </c>
    </row>
    <row r="33" spans="1:3" x14ac:dyDescent="0.4">
      <c r="A33" s="2" t="s">
        <v>3</v>
      </c>
      <c r="B33" s="2"/>
      <c r="C33" s="2"/>
    </row>
    <row r="34" spans="1:3" x14ac:dyDescent="0.4">
      <c r="A34" s="2" t="s">
        <v>3</v>
      </c>
      <c r="B34" s="2"/>
      <c r="C34" s="2"/>
    </row>
    <row r="35" spans="1:3" x14ac:dyDescent="0.4">
      <c r="A35" s="2" t="s">
        <v>3</v>
      </c>
      <c r="B35" s="2"/>
      <c r="C35" s="2"/>
    </row>
    <row r="36" spans="1:3" x14ac:dyDescent="0.4">
      <c r="A36" s="2" t="s">
        <v>220</v>
      </c>
      <c r="B36" s="2"/>
      <c r="C36" s="2"/>
    </row>
    <row r="37" spans="1:3" x14ac:dyDescent="0.4">
      <c r="A37" s="2" t="s">
        <v>220</v>
      </c>
      <c r="B37" s="2"/>
      <c r="C37" s="2"/>
    </row>
    <row r="38" spans="1:3" x14ac:dyDescent="0.4">
      <c r="A38" s="2" t="s">
        <v>3</v>
      </c>
      <c r="B38" s="2"/>
      <c r="C38" s="2"/>
    </row>
    <row r="51" spans="1:1" x14ac:dyDescent="0.4">
      <c r="A51" s="2" t="s">
        <v>3</v>
      </c>
    </row>
    <row r="52" spans="1:1" x14ac:dyDescent="0.4">
      <c r="A52" s="2" t="s">
        <v>3</v>
      </c>
    </row>
    <row r="53" spans="1:1" x14ac:dyDescent="0.4">
      <c r="A53" s="2" t="s">
        <v>3</v>
      </c>
    </row>
    <row r="54" spans="1:1" x14ac:dyDescent="0.4">
      <c r="A54" s="2" t="s">
        <v>3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F752-6D9F-45AE-96B5-73594D63A124}">
  <sheetPr>
    <pageSetUpPr fitToPage="1"/>
  </sheetPr>
  <dimension ref="A1:S27"/>
  <sheetViews>
    <sheetView tabSelected="1" view="pageBreakPreview" zoomScale="130" zoomScaleNormal="100" zoomScaleSheetLayoutView="130" workbookViewId="0">
      <selection activeCell="E1" sqref="A1:XFD1048576"/>
    </sheetView>
  </sheetViews>
  <sheetFormatPr defaultRowHeight="18.75" x14ac:dyDescent="0.4"/>
  <cols>
    <col min="1" max="1" width="1.25" style="4" customWidth="1"/>
    <col min="2" max="2" width="18.25" style="4" customWidth="1"/>
    <col min="3" max="3" width="20.375" style="4" customWidth="1"/>
    <col min="4" max="4" width="4" style="4" customWidth="1"/>
    <col min="5" max="5" width="3.75" style="4" customWidth="1"/>
    <col min="6" max="6" width="4.75" style="4" customWidth="1"/>
    <col min="7" max="7" width="6.125" style="4" customWidth="1"/>
    <col min="8" max="8" width="1.625" style="4" customWidth="1"/>
    <col min="9" max="9" width="4.25" style="4" customWidth="1"/>
    <col min="10" max="10" width="4.125" style="4" customWidth="1"/>
    <col min="11" max="11" width="11.875" style="4" customWidth="1"/>
    <col min="12" max="12" width="5.125" style="4" customWidth="1"/>
    <col min="13" max="13" width="2" style="4" customWidth="1"/>
    <col min="14" max="14" width="4.125" style="4" customWidth="1"/>
    <col min="15" max="15" width="6" style="4" customWidth="1"/>
    <col min="16" max="19" width="3.5" style="4" hidden="1" customWidth="1"/>
    <col min="20" max="20" width="1.25" style="4" customWidth="1"/>
    <col min="21" max="16384" width="9" style="4"/>
  </cols>
  <sheetData>
    <row r="1" spans="1:19" ht="10.5" customHeight="1" x14ac:dyDescent="0.4"/>
    <row r="2" spans="1:19" ht="10.5" customHeight="1" x14ac:dyDescent="0.4"/>
    <row r="3" spans="1:19" ht="33" x14ac:dyDescent="0.4">
      <c r="A3" s="23" t="s">
        <v>222</v>
      </c>
      <c r="B3" s="23"/>
      <c r="C3" s="23"/>
      <c r="O3" s="5" t="str">
        <f>P3&amp;" / "&amp;Q3</f>
        <v>##印刷情報.共通情報.単位ページ番号 / ##印刷情報.共通情報.単位ページ総数</v>
      </c>
      <c r="P3" s="6" t="s">
        <v>102</v>
      </c>
      <c r="Q3" s="6" t="s">
        <v>105</v>
      </c>
    </row>
    <row r="4" spans="1:19" ht="2.25" customHeight="1" x14ac:dyDescent="0.4"/>
    <row r="5" spans="1:19" ht="21" customHeight="1" x14ac:dyDescent="0.4">
      <c r="I5" s="25" t="s">
        <v>223</v>
      </c>
      <c r="J5" s="25"/>
      <c r="K5" s="26" t="s">
        <v>6</v>
      </c>
      <c r="L5" s="26"/>
      <c r="M5" s="26"/>
      <c r="N5" s="26"/>
      <c r="O5" s="26"/>
      <c r="P5" s="7"/>
      <c r="Q5" s="7"/>
      <c r="R5" s="7"/>
      <c r="S5" s="7"/>
    </row>
    <row r="6" spans="1:19" ht="6.95" customHeight="1" x14ac:dyDescent="0.4"/>
    <row r="7" spans="1:19" ht="21.75" customHeight="1" x14ac:dyDescent="0.4">
      <c r="B7" s="8" t="s">
        <v>224</v>
      </c>
      <c r="C7" s="27" t="s">
        <v>9</v>
      </c>
      <c r="D7" s="29"/>
      <c r="E7" s="28"/>
      <c r="F7" s="25" t="s">
        <v>225</v>
      </c>
      <c r="G7" s="25"/>
      <c r="H7" s="24" t="s">
        <v>11</v>
      </c>
      <c r="I7" s="24"/>
      <c r="J7" s="24"/>
      <c r="K7" s="24"/>
      <c r="L7" s="25" t="s">
        <v>226</v>
      </c>
      <c r="M7" s="25"/>
      <c r="N7" s="27" t="s">
        <v>14</v>
      </c>
      <c r="O7" s="28"/>
      <c r="P7" s="7"/>
      <c r="Q7" s="7"/>
      <c r="R7" s="7"/>
      <c r="S7" s="7"/>
    </row>
    <row r="8" spans="1:19" ht="23.25" customHeight="1" x14ac:dyDescent="0.4">
      <c r="B8" s="8" t="s">
        <v>227</v>
      </c>
      <c r="C8" s="30" t="s">
        <v>17</v>
      </c>
      <c r="D8" s="31"/>
      <c r="E8" s="32"/>
      <c r="F8" s="25" t="s">
        <v>228</v>
      </c>
      <c r="G8" s="25"/>
      <c r="H8" s="25"/>
      <c r="I8" s="25"/>
      <c r="J8" s="25"/>
      <c r="K8" s="30" t="s">
        <v>19</v>
      </c>
      <c r="L8" s="31"/>
      <c r="M8" s="31"/>
      <c r="N8" s="31"/>
      <c r="O8" s="32"/>
      <c r="P8" s="9"/>
      <c r="Q8" s="9"/>
      <c r="R8" s="9"/>
      <c r="S8" s="9"/>
    </row>
    <row r="9" spans="1:19" ht="6.95" customHeight="1" x14ac:dyDescent="0.4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</row>
    <row r="10" spans="1:19" ht="36" customHeight="1" x14ac:dyDescent="0.4">
      <c r="B10" s="8" t="s">
        <v>229</v>
      </c>
      <c r="C10" s="27" t="s">
        <v>21</v>
      </c>
      <c r="D10" s="29"/>
      <c r="E10" s="28"/>
      <c r="F10" s="25" t="s">
        <v>230</v>
      </c>
      <c r="G10" s="25"/>
      <c r="H10" s="25"/>
      <c r="I10" s="25"/>
      <c r="J10" s="25"/>
      <c r="K10" s="26" t="s">
        <v>24</v>
      </c>
      <c r="L10" s="26"/>
      <c r="M10" s="26"/>
      <c r="N10" s="26"/>
      <c r="O10" s="26"/>
      <c r="P10" s="7"/>
      <c r="Q10" s="7"/>
      <c r="R10" s="7"/>
      <c r="S10" s="7"/>
    </row>
    <row r="11" spans="1:19" ht="36" customHeight="1" x14ac:dyDescent="0.4">
      <c r="B11" s="11" t="s">
        <v>231</v>
      </c>
      <c r="C11" s="27" t="s">
        <v>27</v>
      </c>
      <c r="D11" s="29"/>
      <c r="E11" s="28"/>
      <c r="F11" s="33" t="s">
        <v>232</v>
      </c>
      <c r="G11" s="25"/>
      <c r="H11" s="25"/>
      <c r="I11" s="25"/>
      <c r="J11" s="25"/>
      <c r="K11" s="26" t="s">
        <v>30</v>
      </c>
      <c r="L11" s="26"/>
      <c r="M11" s="26"/>
      <c r="N11" s="26"/>
      <c r="O11" s="26"/>
      <c r="P11" s="7"/>
      <c r="Q11" s="7"/>
      <c r="R11" s="7"/>
      <c r="S11" s="7"/>
    </row>
    <row r="12" spans="1:19" ht="17.25" customHeight="1" x14ac:dyDescent="0.4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ht="26.25" customHeight="1" x14ac:dyDescent="0.4">
      <c r="B13" s="25" t="s">
        <v>233</v>
      </c>
      <c r="C13" s="25"/>
      <c r="D13" s="25" t="s">
        <v>234</v>
      </c>
      <c r="E13" s="25"/>
      <c r="F13" s="25"/>
      <c r="G13" s="25" t="s">
        <v>235</v>
      </c>
      <c r="H13" s="25"/>
      <c r="I13" s="25"/>
      <c r="J13" s="25" t="s">
        <v>236</v>
      </c>
      <c r="K13" s="25"/>
      <c r="L13" s="25"/>
      <c r="M13" s="25" t="s">
        <v>237</v>
      </c>
      <c r="N13" s="25"/>
      <c r="O13" s="25"/>
      <c r="P13" s="10"/>
      <c r="Q13" s="10"/>
      <c r="R13" s="10"/>
      <c r="S13" s="10"/>
    </row>
    <row r="14" spans="1:19" ht="35.1" customHeight="1" x14ac:dyDescent="0.4">
      <c r="B14" s="34" t="s">
        <v>33</v>
      </c>
      <c r="C14" s="34"/>
      <c r="D14" s="34" t="str">
        <f>IFERROR(IF(AND(P14&lt;&gt;"",P14&lt;&gt;"0"),"1回"&amp;P14&amp;Q14,""),"")</f>
        <v>1回##処方.薬剤情報.用量##処方.薬剤情報.単位</v>
      </c>
      <c r="E14" s="34"/>
      <c r="F14" s="34"/>
      <c r="G14" s="34" t="s">
        <v>42</v>
      </c>
      <c r="H14" s="34"/>
      <c r="I14" s="34"/>
      <c r="J14" s="34" t="s">
        <v>238</v>
      </c>
      <c r="K14" s="34"/>
      <c r="L14" s="34"/>
      <c r="M14" s="37" t="str">
        <f>IFERROR(IF(R14&lt;&gt;"",R14&amp;S14,""),"")</f>
        <v>##処方.処方（詳細）.日数・回数##処方.処方（詳細）.調剤単位</v>
      </c>
      <c r="N14" s="37"/>
      <c r="O14" s="37"/>
      <c r="P14" s="12" t="s">
        <v>36</v>
      </c>
      <c r="Q14" s="13" t="s">
        <v>39</v>
      </c>
      <c r="R14" s="13" t="s">
        <v>48</v>
      </c>
      <c r="S14" s="13" t="s">
        <v>51</v>
      </c>
    </row>
    <row r="15" spans="1:19" ht="35.1" customHeight="1" x14ac:dyDescent="0.4">
      <c r="B15" s="21"/>
      <c r="C15" s="21"/>
      <c r="D15" s="36" t="str">
        <f t="shared" ref="D15:D21" si="0">IFERROR(IF(AND(P15&lt;&gt;"",P15&lt;&gt;"0"),"1回"&amp;P15&amp;Q15,""),"")</f>
        <v/>
      </c>
      <c r="E15" s="36"/>
      <c r="F15" s="36"/>
      <c r="G15" s="21"/>
      <c r="H15" s="21"/>
      <c r="I15" s="21"/>
      <c r="J15" s="21"/>
      <c r="K15" s="21"/>
      <c r="L15" s="21"/>
      <c r="M15" s="35" t="str">
        <f t="shared" ref="M15:M21" si="1">IFERROR(IF(R15&lt;&gt;"",R15&amp;S15,""),"")</f>
        <v/>
      </c>
      <c r="N15" s="35"/>
      <c r="O15" s="35"/>
      <c r="P15" s="14"/>
      <c r="Q15" s="15"/>
      <c r="R15" s="15"/>
      <c r="S15" s="15"/>
    </row>
    <row r="16" spans="1:19" ht="35.1" customHeight="1" x14ac:dyDescent="0.4">
      <c r="B16" s="21"/>
      <c r="C16" s="21"/>
      <c r="D16" s="36" t="str">
        <f t="shared" si="0"/>
        <v/>
      </c>
      <c r="E16" s="36"/>
      <c r="F16" s="36"/>
      <c r="G16" s="21"/>
      <c r="H16" s="21"/>
      <c r="I16" s="21"/>
      <c r="J16" s="21"/>
      <c r="K16" s="21"/>
      <c r="L16" s="21"/>
      <c r="M16" s="35" t="str">
        <f t="shared" si="1"/>
        <v/>
      </c>
      <c r="N16" s="35"/>
      <c r="O16" s="35"/>
      <c r="P16" s="14"/>
      <c r="Q16" s="15"/>
      <c r="R16" s="15"/>
      <c r="S16" s="15"/>
    </row>
    <row r="17" spans="2:19" ht="35.1" customHeight="1" x14ac:dyDescent="0.4">
      <c r="B17" s="21"/>
      <c r="C17" s="21"/>
      <c r="D17" s="36" t="str">
        <f t="shared" si="0"/>
        <v/>
      </c>
      <c r="E17" s="36"/>
      <c r="F17" s="36"/>
      <c r="G17" s="21"/>
      <c r="H17" s="21"/>
      <c r="I17" s="21"/>
      <c r="J17" s="21"/>
      <c r="K17" s="21"/>
      <c r="L17" s="21"/>
      <c r="M17" s="35" t="str">
        <f t="shared" si="1"/>
        <v/>
      </c>
      <c r="N17" s="35"/>
      <c r="O17" s="35"/>
      <c r="P17" s="14"/>
      <c r="Q17" s="15"/>
      <c r="R17" s="15"/>
      <c r="S17" s="15"/>
    </row>
    <row r="18" spans="2:19" ht="35.1" customHeight="1" x14ac:dyDescent="0.4">
      <c r="B18" s="21"/>
      <c r="C18" s="21"/>
      <c r="D18" s="36" t="str">
        <f t="shared" si="0"/>
        <v/>
      </c>
      <c r="E18" s="36"/>
      <c r="F18" s="36"/>
      <c r="G18" s="21"/>
      <c r="H18" s="21"/>
      <c r="I18" s="21"/>
      <c r="J18" s="21"/>
      <c r="K18" s="21"/>
      <c r="L18" s="21"/>
      <c r="M18" s="35" t="str">
        <f t="shared" si="1"/>
        <v/>
      </c>
      <c r="N18" s="35"/>
      <c r="O18" s="35"/>
      <c r="P18" s="14"/>
      <c r="Q18" s="15"/>
      <c r="R18" s="15"/>
      <c r="S18" s="15"/>
    </row>
    <row r="19" spans="2:19" ht="35.1" customHeight="1" x14ac:dyDescent="0.4">
      <c r="B19" s="21"/>
      <c r="C19" s="21"/>
      <c r="D19" s="36" t="str">
        <f t="shared" si="0"/>
        <v/>
      </c>
      <c r="E19" s="36"/>
      <c r="F19" s="36"/>
      <c r="G19" s="21"/>
      <c r="H19" s="21"/>
      <c r="I19" s="21"/>
      <c r="J19" s="21"/>
      <c r="K19" s="21"/>
      <c r="L19" s="21"/>
      <c r="M19" s="35" t="str">
        <f t="shared" si="1"/>
        <v/>
      </c>
      <c r="N19" s="35"/>
      <c r="O19" s="35"/>
      <c r="P19" s="14"/>
      <c r="Q19" s="15"/>
      <c r="R19" s="15"/>
      <c r="S19" s="15"/>
    </row>
    <row r="20" spans="2:19" ht="35.1" customHeight="1" x14ac:dyDescent="0.4">
      <c r="B20" s="21"/>
      <c r="C20" s="21"/>
      <c r="D20" s="36" t="str">
        <f t="shared" si="0"/>
        <v/>
      </c>
      <c r="E20" s="36"/>
      <c r="F20" s="36"/>
      <c r="G20" s="21"/>
      <c r="H20" s="21"/>
      <c r="I20" s="21"/>
      <c r="J20" s="21"/>
      <c r="K20" s="21"/>
      <c r="L20" s="21"/>
      <c r="M20" s="35" t="str">
        <f t="shared" si="1"/>
        <v/>
      </c>
      <c r="N20" s="35"/>
      <c r="O20" s="35"/>
      <c r="P20" s="14"/>
      <c r="Q20" s="15"/>
      <c r="R20" s="15"/>
      <c r="S20" s="15"/>
    </row>
    <row r="21" spans="2:19" ht="35.1" customHeight="1" x14ac:dyDescent="0.4">
      <c r="B21" s="21"/>
      <c r="C21" s="21"/>
      <c r="D21" s="36" t="str">
        <f t="shared" si="0"/>
        <v/>
      </c>
      <c r="E21" s="36"/>
      <c r="F21" s="36"/>
      <c r="G21" s="21"/>
      <c r="H21" s="21"/>
      <c r="I21" s="21"/>
      <c r="J21" s="21"/>
      <c r="K21" s="21"/>
      <c r="L21" s="21"/>
      <c r="M21" s="35" t="str">
        <f t="shared" si="1"/>
        <v/>
      </c>
      <c r="N21" s="35"/>
      <c r="O21" s="35"/>
      <c r="P21" s="14"/>
      <c r="Q21" s="15"/>
      <c r="R21" s="15"/>
      <c r="S21" s="15"/>
    </row>
    <row r="22" spans="2:19" ht="21.75" customHeight="1" x14ac:dyDescent="0.4"/>
    <row r="23" spans="2:19" ht="19.5" customHeight="1" x14ac:dyDescent="0.4">
      <c r="B23" s="22" t="s">
        <v>239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10"/>
      <c r="Q23" s="10"/>
      <c r="R23" s="10"/>
      <c r="S23" s="10"/>
    </row>
    <row r="24" spans="2:19" ht="153.75" customHeight="1" x14ac:dyDescent="0.4">
      <c r="B24" s="20" t="s">
        <v>54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6"/>
      <c r="Q24" s="16"/>
      <c r="R24" s="16"/>
      <c r="S24" s="16"/>
    </row>
    <row r="25" spans="2:19" ht="18" customHeight="1" x14ac:dyDescent="0.4"/>
    <row r="26" spans="2:19" ht="36" customHeight="1" x14ac:dyDescent="0.4">
      <c r="B26" s="17" t="s">
        <v>229</v>
      </c>
      <c r="C26" s="19" t="s">
        <v>57</v>
      </c>
      <c r="D26" s="19"/>
      <c r="E26" s="19"/>
    </row>
    <row r="27" spans="2:19" ht="36" customHeight="1" x14ac:dyDescent="0.4">
      <c r="B27" s="18" t="s">
        <v>231</v>
      </c>
      <c r="C27" s="19" t="s">
        <v>59</v>
      </c>
      <c r="D27" s="19"/>
      <c r="E27" s="19"/>
    </row>
  </sheetData>
  <mergeCells count="66">
    <mergeCell ref="M21:O21"/>
    <mergeCell ref="D14:F14"/>
    <mergeCell ref="D15:F15"/>
    <mergeCell ref="D16:F16"/>
    <mergeCell ref="D17:F17"/>
    <mergeCell ref="D18:F18"/>
    <mergeCell ref="D19:F19"/>
    <mergeCell ref="D20:F20"/>
    <mergeCell ref="D21:F21"/>
    <mergeCell ref="G21:I21"/>
    <mergeCell ref="J21:L21"/>
    <mergeCell ref="M20:O20"/>
    <mergeCell ref="G14:I14"/>
    <mergeCell ref="J17:L17"/>
    <mergeCell ref="M14:O14"/>
    <mergeCell ref="M15:O15"/>
    <mergeCell ref="B13:C13"/>
    <mergeCell ref="B14:C14"/>
    <mergeCell ref="M18:O18"/>
    <mergeCell ref="M19:O19"/>
    <mergeCell ref="B15:C15"/>
    <mergeCell ref="B16:C16"/>
    <mergeCell ref="M16:O16"/>
    <mergeCell ref="M17:O17"/>
    <mergeCell ref="J15:L15"/>
    <mergeCell ref="J14:L14"/>
    <mergeCell ref="D13:F13"/>
    <mergeCell ref="C11:E11"/>
    <mergeCell ref="K11:O11"/>
    <mergeCell ref="K8:O8"/>
    <mergeCell ref="F7:G7"/>
    <mergeCell ref="F8:J8"/>
    <mergeCell ref="F10:J10"/>
    <mergeCell ref="F11:J11"/>
    <mergeCell ref="A3:C3"/>
    <mergeCell ref="G16:I16"/>
    <mergeCell ref="H7:K7"/>
    <mergeCell ref="M13:O13"/>
    <mergeCell ref="I5:J5"/>
    <mergeCell ref="K5:O5"/>
    <mergeCell ref="N7:O7"/>
    <mergeCell ref="J16:L16"/>
    <mergeCell ref="G15:I15"/>
    <mergeCell ref="J13:L13"/>
    <mergeCell ref="G13:I13"/>
    <mergeCell ref="L7:M7"/>
    <mergeCell ref="K10:O10"/>
    <mergeCell ref="C7:E7"/>
    <mergeCell ref="C8:E8"/>
    <mergeCell ref="C10:E10"/>
    <mergeCell ref="C26:E26"/>
    <mergeCell ref="C27:E27"/>
    <mergeCell ref="B24:O24"/>
    <mergeCell ref="B17:C17"/>
    <mergeCell ref="B18:C18"/>
    <mergeCell ref="G17:I17"/>
    <mergeCell ref="G18:I18"/>
    <mergeCell ref="J18:L18"/>
    <mergeCell ref="J19:L19"/>
    <mergeCell ref="J20:L20"/>
    <mergeCell ref="B19:C19"/>
    <mergeCell ref="B20:C20"/>
    <mergeCell ref="G19:I19"/>
    <mergeCell ref="B23:O23"/>
    <mergeCell ref="G20:I20"/>
    <mergeCell ref="B21:C21"/>
  </mergeCells>
  <phoneticPr fontId="1"/>
  <conditionalFormatting sqref="B14:O21">
    <cfRule type="expression" dxfId="0" priority="1">
      <formula>IF($B14&lt;&gt;"",1,0)</formula>
    </cfRule>
  </conditionalFormatting>
  <pageMargins left="0.51181102362204722" right="0.51181102362204722" top="0.55118110236220474" bottom="0.55118110236220474" header="0.31496062992125984" footer="0.31496062992125984"/>
  <pageSetup paperSize="9" scale="86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Props1.xml><?xml version="1.0" encoding="utf-8"?>
<ds:datastoreItem xmlns:ds="http://schemas.openxmlformats.org/officeDocument/2006/customXml" ds:itemID="{60924B4E-2297-41B0-A13E-DC936D9C55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BEFED1-CD14-4ECC-9463-13C51CE385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59AEAE-8383-47FE-B31F-D0278A5A8BE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堀内 英史</dc:creator>
  <cp:keywords/>
  <dc:description/>
  <cp:lastModifiedBy>堀内 英史</cp:lastModifiedBy>
  <cp:revision/>
  <dcterms:created xsi:type="dcterms:W3CDTF">2025-02-04T06:50:24Z</dcterms:created>
  <dcterms:modified xsi:type="dcterms:W3CDTF">2026-06-09T04:24:44Z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