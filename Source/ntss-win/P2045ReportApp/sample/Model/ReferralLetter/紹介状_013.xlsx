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NWSiTools\LayoutDesigner\Work\"/>
    </mc:Choice>
  </mc:AlternateContent>
  <xr:revisionPtr revIDLastSave="0" documentId="8_{517DC471-F105-4AF4-ABFC-771D7655A093}" xr6:coauthVersionLast="47" xr6:coauthVersionMax="47" xr10:uidLastSave="{00000000-0000-0000-0000-000000000000}"/>
  <bookViews>
    <workbookView xWindow="4485" yWindow="1170" windowWidth="19845" windowHeight="16110" firstSheet="4" activeTab="4" xr2:uid="{9BCD237E-959C-486F-A036-E80CE7736DDA}"/>
  </bookViews>
  <sheets>
    <sheet name="更新履歴" sheetId="6" state="veryHidden" r:id="rId1"/>
    <sheet name="グループ" sheetId="5" state="veryHidden" r:id="rId2"/>
    <sheet name="パラメータ" sheetId="4" state="veryHidden" r:id="rId3"/>
    <sheet name="設定" sheetId="3" state="veryHidden" r:id="rId4"/>
    <sheet name="レイアウト" sheetId="2" r:id="rId5"/>
  </sheets>
  <definedNames>
    <definedName name="_xlnm.Print_Area" localSheetId="4">レイアウト!$A$1:$BA$44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13" i="2" l="1"/>
  <c r="X14" i="2"/>
  <c r="X15" i="2"/>
  <c r="X16" i="2"/>
  <c r="X17" i="2"/>
  <c r="X18" i="2"/>
  <c r="X19" i="2"/>
  <c r="X12" i="2"/>
  <c r="G19" i="2" a="1"/>
  <c r="G19" i="2" s="1"/>
  <c r="AR19" i="2"/>
  <c r="AQ19" i="2"/>
  <c r="AP19" i="2"/>
  <c r="AO19" i="2"/>
  <c r="AN19" i="2"/>
  <c r="AM19" i="2"/>
  <c r="AL19" i="2"/>
  <c r="X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<sst xmlns="http://schemas.openxmlformats.org/spreadsheetml/2006/main" count="2264" uniqueCount="528">
  <si>
    <t>ReferralLetter</t>
  </si>
  <si>
    <t/>
  </si>
  <si>
    <t>0</t>
  </si>
  <si>
    <t>255100</t>
  </si>
  <si>
    <t>2025/06/23 16:40:09</t>
  </si>
  <si>
    <t>帳票設定</t>
  </si>
  <si>
    <t xml:space="preserve">有り_x000D_
</t>
  </si>
  <si>
    <t>1</t>
  </si>
  <si>
    <t>N</t>
  </si>
  <si>
    <t>DataPath</t>
  </si>
  <si>
    <t>DataCategory</t>
  </si>
  <si>
    <t>DataClass</t>
  </si>
  <si>
    <t>DataName</t>
  </si>
  <si>
    <t>SqlCode</t>
  </si>
  <si>
    <t>DataCode</t>
  </si>
  <si>
    <t>DataType</t>
  </si>
  <si>
    <t>PreviewData</t>
  </si>
  <si>
    <t>DisplayFormat</t>
  </si>
  <si>
    <t>ConvertList</t>
  </si>
  <si>
    <t>CanRepeat</t>
  </si>
  <si>
    <t>RepeatAddress</t>
  </si>
  <si>
    <t>IsShrink</t>
  </si>
  <si>
    <t>Length</t>
  </si>
  <si>
    <t>FilterData</t>
  </si>
  <si>
    <t>FilterType</t>
  </si>
  <si>
    <t>IsNewPage</t>
  </si>
  <si>
    <t>LabelItem</t>
  </si>
  <si>
    <t>CellAddress</t>
  </si>
  <si>
    <t>GroupName</t>
  </si>
  <si>
    <t>FilterState</t>
  </si>
  <si>
    <t>IsInTemplete</t>
  </si>
  <si>
    <t>ParticularInfo</t>
  </si>
  <si>
    <t>IsCalcResult</t>
  </si>
  <si>
    <t>FormatCondition</t>
  </si>
  <si>
    <t>IsImage</t>
  </si>
  <si>
    <t>RowCount</t>
  </si>
  <si>
    <t>GroupPath</t>
  </si>
  <si>
    <t>RepeatCount</t>
  </si>
  <si>
    <t>2025/06/23 16:40:28</t>
  </si>
  <si>
    <t>集計設定</t>
  </si>
  <si>
    <t xml:space="preserve">縦の合計: ⇒ 0_x000D_
横の合計: ⇒ 0_x000D_
</t>
  </si>
  <si>
    <t>継続看護記録</t>
    <rPh sb="0" eb="6">
      <t>ケイゾクカンゴキロク</t>
    </rPh>
    <phoneticPr fontId="1"/>
  </si>
  <si>
    <t>記載者</t>
    <rPh sb="0" eb="3">
      <t>キサイシャ</t>
    </rPh>
    <phoneticPr fontId="1"/>
  </si>
  <si>
    <t>##印刷情報.共通情報.ログイン者</t>
  </si>
  <si>
    <t>患者氏名</t>
    <rPh sb="0" eb="4">
      <t>カンジャシメイ</t>
    </rPh>
    <phoneticPr fontId="1"/>
  </si>
  <si>
    <t>住所</t>
    <rPh sb="0" eb="2">
      <t>ジュウショ</t>
    </rPh>
    <phoneticPr fontId="1"/>
  </si>
  <si>
    <t>作成日:</t>
    <rPh sb="0" eb="3">
      <t>サクセイビ</t>
    </rPh>
    <phoneticPr fontId="1"/>
  </si>
  <si>
    <t>##印刷情報.共通情報.印刷日時</t>
  </si>
  <si>
    <t>##施設.施設情報.施設名</t>
  </si>
  <si>
    <t>投与薬剤</t>
    <rPh sb="0" eb="2">
      <t>トウヨ</t>
    </rPh>
    <rPh sb="2" eb="4">
      <t>ヤクザイ</t>
    </rPh>
    <phoneticPr fontId="1"/>
  </si>
  <si>
    <t>印刷情報</t>
  </si>
  <si>
    <t>共通情報</t>
  </si>
  <si>
    <t>ログイン者</t>
  </si>
  <si>
    <t>login</t>
  </si>
  <si>
    <t>string</t>
  </si>
  <si>
    <t>確認テスト</t>
  </si>
  <si>
    <t>G/標準</t>
  </si>
  <si>
    <t>False</t>
  </si>
  <si>
    <t>AC2:AI2</t>
  </si>
  <si>
    <t>印刷日時</t>
  </si>
  <si>
    <t>prt_dt</t>
  </si>
  <si>
    <t>DateTime</t>
  </si>
  <si>
    <t>2025/06/23</t>
  </si>
  <si>
    <t>yyyy/mm/dd</t>
  </si>
  <si>
    <t>E43:K43</t>
  </si>
  <si>
    <t>施設</t>
  </si>
  <si>
    <t>施設情報</t>
  </si>
  <si>
    <t>施設名</t>
  </si>
  <si>
    <t>300</t>
  </si>
  <si>
    <t>facility_name</t>
  </si>
  <si>
    <t>大塚医院</t>
  </si>
  <si>
    <t>T43:AI43</t>
  </si>
  <si>
    <t>2025/06/23 17:01:20</t>
  </si>
  <si>
    <t xml:space="preserve">新規追加_x000D_
改頁しない_x000D_
プレビューデータ:確認テスト_x000D_
書式:G/標準_x000D_
縮小しない_x000D_
テンプレート内外:_x000D_
</t>
  </si>
  <si>
    <t xml:space="preserve">新規追加_x000D_
改頁しない_x000D_
プレビューデータ:2025/06/23_x000D_
書式:yyyy/mm/dd_x000D_
縮小しない_x000D_
テンプレート内外:_x000D_
</t>
  </si>
  <si>
    <t xml:space="preserve">新規追加_x000D_
改頁しない_x000D_
プレビューデータ:大塚医院_x000D_
書式:G/標準_x000D_
縮小しない_x000D_
テンプレート内外:_x000D_
</t>
  </si>
  <si>
    <t>20857</t>
  </si>
  <si>
    <t>定期日常点検・交換部品記録簿設定</t>
  </si>
  <si>
    <t xml:space="preserve">帳票区分:1 ⇒ _x000D_
</t>
  </si>
  <si>
    <t>透析導入日</t>
  </si>
  <si>
    <t>透析導入日</t>
    <rPh sb="0" eb="2">
      <t>トウセキ</t>
    </rPh>
    <rPh sb="2" eb="5">
      <t>ドウニュウビ</t>
    </rPh>
    <phoneticPr fontId="1"/>
  </si>
  <si>
    <t>シャント作成日</t>
    <rPh sb="4" eb="7">
      <t>サクセイビ</t>
    </rPh>
    <phoneticPr fontId="1"/>
  </si>
  <si>
    <t>血液型 RH</t>
    <rPh sb="0" eb="3">
      <t>ケツエキガタ</t>
    </rPh>
    <phoneticPr fontId="1"/>
  </si>
  <si>
    <t>VA</t>
  </si>
  <si>
    <t>VA</t>
    <phoneticPr fontId="1"/>
  </si>
  <si>
    <t>DW</t>
  </si>
  <si>
    <t>DW</t>
    <phoneticPr fontId="1"/>
  </si>
  <si>
    <t>最近体重</t>
    <rPh sb="0" eb="2">
      <t>サイキン</t>
    </rPh>
    <rPh sb="2" eb="4">
      <t>タイジュウ</t>
    </rPh>
    <phoneticPr fontId="1"/>
  </si>
  <si>
    <t>透析曜日</t>
    <rPh sb="0" eb="4">
      <t>トウセキヨウビ</t>
    </rPh>
    <phoneticPr fontId="1"/>
  </si>
  <si>
    <t>CTR</t>
    <phoneticPr fontId="1"/>
  </si>
  <si>
    <t>ダイアライザ</t>
    <phoneticPr fontId="1"/>
  </si>
  <si>
    <t>血流量</t>
    <rPh sb="0" eb="3">
      <t>ケツリュウリョウ</t>
    </rPh>
    <phoneticPr fontId="1"/>
  </si>
  <si>
    <t>##患者情報.本人情報.患者名</t>
  </si>
  <si>
    <t>##患者情報.本人情報.フリガナ</t>
  </si>
  <si>
    <t>##患者情報.本人情報.生年月日</t>
  </si>
  <si>
    <t>生年月日</t>
  </si>
  <si>
    <t>生年月日</t>
    <rPh sb="0" eb="4">
      <t>セイネンガッピ</t>
    </rPh>
    <phoneticPr fontId="1"/>
  </si>
  <si>
    <t>年齢 性別</t>
    <rPh sb="0" eb="2">
      <t>ネンレイ</t>
    </rPh>
    <rPh sb="3" eb="5">
      <t>セイベツ</t>
    </rPh>
    <phoneticPr fontId="1"/>
  </si>
  <si>
    <t>##患者情報.本人情報.住所</t>
  </si>
  <si>
    <t>##患者情報.診療情報.透析導入日</t>
  </si>
  <si>
    <t>##指示.VA情報.造設日</t>
  </si>
  <si>
    <t>##患者情報.本人情報.血液型ABORH</t>
  </si>
  <si>
    <t>##指示.透析条件.VA</t>
  </si>
  <si>
    <t>##指示.透析条件.DW</t>
  </si>
  <si>
    <t>患者情報</t>
  </si>
  <si>
    <t>本人情報</t>
  </si>
  <si>
    <t>フリガナ</t>
  </si>
  <si>
    <t>pat_name_kana</t>
  </si>
  <si>
    <t>ニッキソウ　タロウ</t>
  </si>
  <si>
    <t>23</t>
  </si>
  <si>
    <t>G4:R4</t>
  </si>
  <si>
    <t>pat_birthday</t>
  </si>
  <si>
    <t>1945/01/01</t>
  </si>
  <si>
    <t>X4:AI4</t>
  </si>
  <si>
    <t>患者名</t>
  </si>
  <si>
    <t>pat_name</t>
  </si>
  <si>
    <t>日機装　太郎</t>
  </si>
  <si>
    <t>G5:R5</t>
  </si>
  <si>
    <t>住所</t>
  </si>
  <si>
    <t>pat_address</t>
  </si>
  <si>
    <t>東京都渋谷区恵比寿3-43-2 日機装第１別館１F</t>
  </si>
  <si>
    <t>56</t>
  </si>
  <si>
    <t>G6:AI6</t>
  </si>
  <si>
    <t>診療情報</t>
  </si>
  <si>
    <t>19</t>
  </si>
  <si>
    <t>dialysis_start_date</t>
  </si>
  <si>
    <t>2000/02/10</t>
  </si>
  <si>
    <t>G7:R7</t>
  </si>
  <si>
    <t>指示</t>
  </si>
  <si>
    <t>VA情報</t>
  </si>
  <si>
    <t>造設日</t>
  </si>
  <si>
    <t>208</t>
  </si>
  <si>
    <t>make_start_date</t>
  </si>
  <si>
    <t>2011/05/20</t>
  </si>
  <si>
    <t>G8:R8</t>
  </si>
  <si>
    <t>血液型ABORH</t>
  </si>
  <si>
    <t>pat_blood_type_abo_rh</t>
  </si>
  <si>
    <t>A型 Rh-</t>
  </si>
  <si>
    <t>&lt;convTable cls=""&gt;&lt;conv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</t>
  </si>
  <si>
    <t>G9:R9</t>
  </si>
  <si>
    <t>透析条件</t>
  </si>
  <si>
    <t>45</t>
  </si>
  <si>
    <t>va_name</t>
  </si>
  <si>
    <t>左手前腕内シャント化静脈</t>
  </si>
  <si>
    <t>G10:R10</t>
  </si>
  <si>
    <t>5</t>
  </si>
  <si>
    <t>dw</t>
  </si>
  <si>
    <t>decimal</t>
  </si>
  <si>
    <t>55.00</t>
  </si>
  <si>
    <t>0.00</t>
  </si>
  <si>
    <t>G11:R11</t>
  </si>
  <si>
    <t>2025/06/23 17:08:32</t>
  </si>
  <si>
    <t xml:space="preserve">新規追加_x000D_
表示文字数:23_x000D_
改頁しない_x000D_
プレビューデータ:ニッキソウ　タロウ_x000D_
書式:G/標準_x000D_
縮小しない_x000D_
テンプレート内外:_x000D_
</t>
  </si>
  <si>
    <t xml:space="preserve">新規追加_x000D_
改頁しない_x000D_
プレビューデータ:1945/01/01_x000D_
書式:yyyy/mm/dd_x000D_
縮小しない_x000D_
テンプレート内外:_x000D_
</t>
  </si>
  <si>
    <t xml:space="preserve">新規追加_x000D_
表示文字数:23_x000D_
改頁しない_x000D_
プレビューデータ:日機装　太郎_x000D_
書式:G/標準_x000D_
縮小しない_x000D_
テンプレート内外:_x000D_
</t>
  </si>
  <si>
    <t xml:space="preserve">新規追加_x000D_
表示文字数:56_x000D_
改頁しない_x000D_
プレビューデータ:東京都渋谷区恵比寿3-43-2 日機装第１別館１F_x000D_
書式:G/標準_x000D_
縮小しない_x000D_
テンプレート内外:_x000D_
</t>
  </si>
  <si>
    <t xml:space="preserve">新規追加_x000D_
改頁しない_x000D_
プレビューデータ:2000/02/10_x000D_
書式:yyyy/mm/dd_x000D_
縮小しない_x000D_
テンプレート内外:_x000D_
</t>
  </si>
  <si>
    <t xml:space="preserve">新規追加_x000D_
改頁しない_x000D_
プレビューデータ:2011/05/20_x000D_
書式:yyyy/mm/dd_x000D_
縮小しない_x000D_
テンプレート内外:_x000D_
</t>
  </si>
  <si>
    <t xml:space="preserve">新規追加_x000D_
表示文字数:23_x000D_
改頁しない_x000D_
プレビューデータ:A型 Rh-_x000D_
書式:G/標準_x000D_
データ変換:&lt;convTable cls=""&gt;&lt;conv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/&gt;&lt;/convTable&gt;_x000D_
縮小しない_x000D_
テンプレート内外:_x000D_
</t>
  </si>
  <si>
    <t xml:space="preserve">新規追加_x000D_
表示文字数:23_x000D_
改頁しない_x000D_
プレビューデータ:左手前腕内シャント化静脈_x000D_
書式:G/標準_x000D_
縮小しない_x000D_
テンプレート内外:_x000D_
</t>
  </si>
  <si>
    <t xml:space="preserve">新規追加_x000D_
改頁しない_x000D_
プレビューデータ:55.00_x000D_
書式:0.00_x000D_
縮小しない_x000D_
テンプレート内外:_x000D_
</t>
  </si>
  <si>
    <t>時間</t>
    <rPh sb="0" eb="2">
      <t>ジカン</t>
    </rPh>
    <phoneticPr fontId="1"/>
  </si>
  <si>
    <t>％</t>
    <phoneticPr fontId="1"/>
  </si>
  <si>
    <t>㎡</t>
    <phoneticPr fontId="1"/>
  </si>
  <si>
    <t>電話番号</t>
    <rPh sb="0" eb="4">
      <t>デンワバンゴウ</t>
    </rPh>
    <phoneticPr fontId="1"/>
  </si>
  <si>
    <t>原疾患</t>
    <rPh sb="0" eb="3">
      <t>ゲンシッカン</t>
    </rPh>
    <phoneticPr fontId="1"/>
  </si>
  <si>
    <t>合併症</t>
    <rPh sb="0" eb="3">
      <t>ガッペイショウ</t>
    </rPh>
    <phoneticPr fontId="1"/>
  </si>
  <si>
    <t>感染症</t>
    <rPh sb="0" eb="3">
      <t>カンセンショウ</t>
    </rPh>
    <phoneticPr fontId="1"/>
  </si>
  <si>
    <t>抗凝固剤</t>
    <rPh sb="0" eb="1">
      <t>コウ</t>
    </rPh>
    <rPh sb="1" eb="4">
      <t>ギョウコザイ</t>
    </rPh>
    <phoneticPr fontId="1"/>
  </si>
  <si>
    <t>ワンショット</t>
    <phoneticPr fontId="1"/>
  </si>
  <si>
    <t>持続速度</t>
    <rPh sb="0" eb="4">
      <t>ジゾクソクド</t>
    </rPh>
    <phoneticPr fontId="1"/>
  </si>
  <si>
    <t>kg</t>
    <phoneticPr fontId="1"/>
  </si>
  <si>
    <t>##患者情報.本人情報.年齢</t>
  </si>
  <si>
    <t>##患者情報.本人情報.性別</t>
  </si>
  <si>
    <t>年齢</t>
  </si>
  <si>
    <t>pat_age</t>
  </si>
  <si>
    <t>70</t>
  </si>
  <si>
    <t>AK5</t>
  </si>
  <si>
    <t>性別</t>
  </si>
  <si>
    <t>pat_sex</t>
  </si>
  <si>
    <t>男性</t>
  </si>
  <si>
    <t>&lt;convTable cls=""&gt;&lt;conv code="0" item="不明" disp="不明" /&gt;&lt;conv code="1" item="男性" disp="男" /&gt;&lt;conv code="2" item="女性" disp="女" /&gt;&lt;/convTable&gt;</t>
  </si>
  <si>
    <t>AL5</t>
  </si>
  <si>
    <t>G11:K11</t>
  </si>
  <si>
    <t>2025/06/24 08:41:26</t>
  </si>
  <si>
    <t xml:space="preserve">新規追加_x000D_
改頁しない_x000D_
プレビューデータ:70_x000D_
書式:0_x000D_
縮小しない_x000D_
テンプレート内外:_x000D_
</t>
  </si>
  <si>
    <t xml:space="preserve">新規追加_x000D_
改頁しない_x000D_
プレビューデータ:男性_x000D_
書式:G/標準_x000D_
データ変換:&lt;convTable cls=""&gt;&lt;conv code="0" item="不明" disp="不明" /&gt;&lt;conv code="1" item="男性" disp="男" /&gt;&lt;conv code="2" item="女性" disp="女" /&gt;&lt;/convTable&gt;_x000D_
縮小しない_x000D_
テンプレート内外:_x000D_
</t>
  </si>
  <si>
    <t>削除</t>
  </si>
  <si>
    <t>##患者情報.本人情報.電話番号1</t>
  </si>
  <si>
    <t>##患者情報.原疾患.病名</t>
  </si>
  <si>
    <t>##患者情報.感染症(+)(-)(不明).感染症</t>
  </si>
  <si>
    <t>##指示.透析条件.抗凝固剤</t>
  </si>
  <si>
    <t>##指示.透析条件.抗凝固剤ワンショット量</t>
  </si>
  <si>
    <t>##指示.透析条件.抗凝固剤持続速度</t>
  </si>
  <si>
    <t>##指示.透析条件.抗凝固剤持続速度単位</t>
  </si>
  <si>
    <t>##指示.透析条件.抗凝固剤単位</t>
  </si>
  <si>
    <t>電話番号1</t>
  </si>
  <si>
    <t>pat_tel1</t>
  </si>
  <si>
    <t>03-1234-5678</t>
  </si>
  <si>
    <t>X7:AI7</t>
  </si>
  <si>
    <t>原疾患</t>
  </si>
  <si>
    <t>病名</t>
  </si>
  <si>
    <t>26</t>
  </si>
  <si>
    <t>disease_name</t>
  </si>
  <si>
    <t>慢性糸球体腎炎</t>
  </si>
  <si>
    <t>X8:AI8</t>
  </si>
  <si>
    <t>感染症(+)(-)(不明)</t>
  </si>
  <si>
    <t>感染症</t>
  </si>
  <si>
    <t>25</t>
  </si>
  <si>
    <t>infection_name</t>
  </si>
  <si>
    <t>Hbc抗体</t>
  </si>
  <si>
    <t>True</t>
  </si>
  <si>
    <t>X12:AI12</t>
  </si>
  <si>
    <t>患者情報.感染症(+)(-)(不明)</t>
  </si>
  <si>
    <t>抗凝固剤</t>
  </si>
  <si>
    <t>anti_coagulant_name</t>
  </si>
  <si>
    <t>1234567</t>
  </si>
  <si>
    <t>X20:AI20</t>
  </si>
  <si>
    <t>抗凝固剤ワンショット量</t>
  </si>
  <si>
    <t>anti_coagulant_one_shot_amount</t>
  </si>
  <si>
    <t>1000</t>
  </si>
  <si>
    <t>X21:AC21</t>
  </si>
  <si>
    <t>抗凝固剤単位</t>
  </si>
  <si>
    <t>anti_coagulant_sustained_amount_unit</t>
  </si>
  <si>
    <t>U</t>
  </si>
  <si>
    <t>11</t>
  </si>
  <si>
    <t>AD21:AI21</t>
  </si>
  <si>
    <t>抗凝固剤持続速度</t>
  </si>
  <si>
    <t>anti_coagulant_sustained_speed</t>
  </si>
  <si>
    <t>500</t>
  </si>
  <si>
    <t>X22:AC22</t>
  </si>
  <si>
    <t>抗凝固剤持続速度単位</t>
  </si>
  <si>
    <t>anti_coagulant_sustained_speed_unit</t>
  </si>
  <si>
    <t>U/h</t>
  </si>
  <si>
    <t>AD22:AI22</t>
  </si>
  <si>
    <t>2025/06/24 08:53:39</t>
  </si>
  <si>
    <t xml:space="preserve">新規追加_x000D_
表示文字数:23_x000D_
改頁しない_x000D_
プレビューデータ:03-1234-5678_x000D_
書式:G/標準_x000D_
縮小しない_x000D_
テンプレート内外:_x000D_
</t>
  </si>
  <si>
    <t xml:space="preserve">新規追加_x000D_
表示文字数:23_x000D_
改頁しない_x000D_
プレビューデータ:慢性糸球体腎炎_x000D_
書式:G/標準_x000D_
縮小しない_x000D_
テンプレート内外:_x000D_
</t>
  </si>
  <si>
    <t xml:space="preserve">新規追加_x000D_
表示文字数:23_x000D_
改頁しない_x000D_
繰返場所:X12:AI12,X13:AI13,X14:AI14,X15:AI15,X16:AI16,X17:AI17,X18:AI18,X19:AI19_x000D_
グループ名:患者情報.感染症(+)(-)(不明)_x000D_
プレビューデータ:Hbc抗体_x000D_
書式:G/標準_x000D_
縮小しない_x000D_
テンプレート内外:_x000D_
</t>
  </si>
  <si>
    <t xml:space="preserve">新規追加_x000D_
表示文字数:23_x000D_
改頁しない_x000D_
プレビューデータ:1234567_x000D_
書式:G/標準_x000D_
縮小しない_x000D_
テンプレート内外:_x000D_
</t>
  </si>
  <si>
    <t xml:space="preserve">新規追加_x000D_
改頁しない_x000D_
プレビューデータ:1000_x000D_
書式:0.00_x000D_
縮小しない_x000D_
テンプレート内外:_x000D_
</t>
  </si>
  <si>
    <t xml:space="preserve">新規追加_x000D_
表示文字数:11_x000D_
改頁しない_x000D_
プレビューデータ:U_x000D_
書式:G/標準_x000D_
縮小しない_x000D_
テンプレート内外:_x000D_
</t>
  </si>
  <si>
    <t xml:space="preserve">新規追加_x000D_
改頁しない_x000D_
プレビューデータ:500_x000D_
書式:0.00_x000D_
縮小しない_x000D_
テンプレート内外:_x000D_
</t>
  </si>
  <si>
    <t xml:space="preserve">新規追加_x000D_
表示文字数:11_x000D_
改頁しない_x000D_
プレビューデータ:U/h_x000D_
書式:G/標準_x000D_
縮小しない_x000D_
テンプレート内外:_x000D_
</t>
  </si>
  <si>
    <t>患者情報.感染症(+)(-)(不明).患者情報.感染症(+)(-)(不明).X12:AI12</t>
  </si>
  <si>
    <t>8</t>
  </si>
  <si>
    <t>グループ</t>
  </si>
  <si>
    <t xml:space="preserve">改頁しない_x000D_
</t>
  </si>
  <si>
    <t>##指示.透析パターン.透析パターン曜日</t>
  </si>
  <si>
    <t>##=[##指示.透析条件.透析時間(分)]/60</t>
  </si>
  <si>
    <t>##=[##指示.透析条件.透析時間(分)]/60</t>
    <phoneticPr fontId="1"/>
  </si>
  <si>
    <t>##患者情報.身体情報(降順).CTR</t>
  </si>
  <si>
    <t>##実績.体重情報.CTR測定日時</t>
  </si>
  <si>
    <t>##指示.透析条件.ダイアライザ</t>
  </si>
  <si>
    <t>##指示.ダイアライザ情報.面積</t>
  </si>
  <si>
    <t>##指示.ダイアライザ情報.血流量</t>
  </si>
  <si>
    <t>7</t>
  </si>
  <si>
    <t>M19:P19</t>
  </si>
  <si>
    <t>透析パターン</t>
  </si>
  <si>
    <t>透析パターン曜日</t>
  </si>
  <si>
    <t>202</t>
  </si>
  <si>
    <t>treat_week</t>
  </si>
  <si>
    <t>月</t>
  </si>
  <si>
    <t>AK19</t>
  </si>
  <si>
    <t>身体情報(降順)</t>
  </si>
  <si>
    <t>CTR</t>
  </si>
  <si>
    <t>39</t>
  </si>
  <si>
    <t>ctr</t>
  </si>
  <si>
    <t>35.05</t>
  </si>
  <si>
    <t>G20:J20</t>
  </si>
  <si>
    <t>患者情報.身体情報(降順)</t>
  </si>
  <si>
    <t>実績</t>
  </si>
  <si>
    <t>体重情報</t>
  </si>
  <si>
    <t>CTR測定日時</t>
  </si>
  <si>
    <t>3</t>
  </si>
  <si>
    <t>ctr_measure_date</t>
  </si>
  <si>
    <t>M20:R20</t>
  </si>
  <si>
    <t>ダイアライザ</t>
  </si>
  <si>
    <t>dialyzer</t>
  </si>
  <si>
    <t>FDX-120GW</t>
  </si>
  <si>
    <t>G21:L21</t>
  </si>
  <si>
    <t>ダイアライザ情報</t>
  </si>
  <si>
    <t>面積</t>
  </si>
  <si>
    <t>area</t>
  </si>
  <si>
    <t>1.2</t>
  </si>
  <si>
    <t>0.0</t>
  </si>
  <si>
    <t>M21:P21</t>
  </si>
  <si>
    <t>血流量</t>
  </si>
  <si>
    <t>bloodamt</t>
  </si>
  <si>
    <t>200</t>
  </si>
  <si>
    <t>G22:I22</t>
  </si>
  <si>
    <t>2025/06/24 09:10:06</t>
  </si>
  <si>
    <t xml:space="preserve">新規追加_x000D_
改頁しない_x000D_
プレビューデータ:7_x000D_
書式:0_x000D_
縮小しない_x000D_
テンプレート内外:_x000D_
</t>
  </si>
  <si>
    <t xml:space="preserve">新規追加_x000D_
表示文字数:1_x000D_
改頁しない_x000D_
プレビューデータ:月_x000D_
書式:G/標準_x000D_
縮小しない_x000D_
テンプレート内外:_x000D_
</t>
  </si>
  <si>
    <t xml:space="preserve">新規追加_x000D_
改頁しない_x000D_
繰返場所:G20:J20_x000D_
グループ名:患者情報.身体情報(降順)_x000D_
プレビューデータ:35.05_x000D_
書式:0.00_x000D_
縮小しない_x000D_
テンプレート内外:_x000D_
</t>
  </si>
  <si>
    <t xml:space="preserve">新規追加_x000D_
改頁しない_x000D_
プレビューデータ:2011/05/16_x000D_
書式:yyyy/mm/dd_x000D_
縮小しない_x000D_
テンプレート内外:_x000D_
</t>
  </si>
  <si>
    <t xml:space="preserve">新規追加_x000D_
改頁しない_x000D_
プレビューデータ:FDX-120GW_x000D_
書式:G/標準_x000D_
縮小しない_x000D_
テンプレート内外:_x000D_
</t>
  </si>
  <si>
    <t xml:space="preserve">新規追加_x000D_
改頁しない_x000D_
プレビューデータ:1.2_x000D_
書式:0.0_x000D_
縮小しない_x000D_
テンプレート内外:_x000D_
</t>
  </si>
  <si>
    <t xml:space="preserve">新規追加_x000D_
改頁しない_x000D_
プレビューデータ:200_x000D_
書式:0_x000D_
縮小しない_x000D_
テンプレート内外:_x000D_
</t>
  </si>
  <si>
    <t>患者情報.身体情報(降順).患者情報.身体情報(降順).G20:J20</t>
  </si>
  <si>
    <t>月日</t>
    <rPh sb="0" eb="2">
      <t>ツキヒ</t>
    </rPh>
    <phoneticPr fontId="1"/>
  </si>
  <si>
    <t>透析後体重</t>
    <rPh sb="0" eb="3">
      <t>トウセキアト</t>
    </rPh>
    <rPh sb="3" eb="5">
      <t>タイジュウ</t>
    </rPh>
    <phoneticPr fontId="1"/>
  </si>
  <si>
    <t>除水量</t>
    <rPh sb="0" eb="3">
      <t>ジョスイリョウ</t>
    </rPh>
    <phoneticPr fontId="1"/>
  </si>
  <si>
    <t>##実績.体重情報（過去実績）.前体重(前回)</t>
  </si>
  <si>
    <t>##実績.体重情報（過去実績）.後体重(前回)</t>
  </si>
  <si>
    <t>##実績.体重情報（過去実績）.前体重測定日時(前回)</t>
  </si>
  <si>
    <t>##実績.体重情報（過去実績）.前体重(前回)</t>
    <phoneticPr fontId="1"/>
  </si>
  <si>
    <t>##実績.体重情報（過去実績）.実績除水量(前回)</t>
  </si>
  <si>
    <t>##実績.体重情報（過去実績）.前体重(前々回)</t>
  </si>
  <si>
    <t>##実績.体重情報（過去実績）.後体重(前々回)</t>
  </si>
  <si>
    <t>##実績.体重情報（過去実績）.実績除水量(前々回)</t>
  </si>
  <si>
    <t>##実績.体重情報（過去実績）.前体重測定日時(前々回)</t>
  </si>
  <si>
    <t>体重情報（過去実績）</t>
  </si>
  <si>
    <t>前体重測定日時(前回)</t>
  </si>
  <si>
    <t>12</t>
  </si>
  <si>
    <t>last_weight_before_date</t>
  </si>
  <si>
    <t>2025/06/24</t>
  </si>
  <si>
    <t>G14:I14</t>
  </si>
  <si>
    <t>前体重(前回)</t>
  </si>
  <si>
    <t>last_weight_before</t>
  </si>
  <si>
    <t>56.78</t>
  </si>
  <si>
    <t>J14:L14</t>
  </si>
  <si>
    <t>後体重(前回)</t>
  </si>
  <si>
    <t>last_weight_after</t>
  </si>
  <si>
    <t>M14:O14</t>
  </si>
  <si>
    <t>実績除水量(前回)</t>
  </si>
  <si>
    <t>99</t>
  </si>
  <si>
    <t>water_removal_rst_prev</t>
  </si>
  <si>
    <t>2.00</t>
  </si>
  <si>
    <t>P14:R14</t>
  </si>
  <si>
    <t>前体重測定日時(前々回)</t>
  </si>
  <si>
    <t>weight_before_date_prev_prev</t>
  </si>
  <si>
    <t>G15:I15</t>
  </si>
  <si>
    <t>前体重(前々回)</t>
  </si>
  <si>
    <t>weight_before_prev_prev</t>
  </si>
  <si>
    <t>58.20</t>
  </si>
  <si>
    <t>J15:L15</t>
  </si>
  <si>
    <t>後体重(前々回)</t>
  </si>
  <si>
    <t>weight_after_prev_prev</t>
  </si>
  <si>
    <t>55.30</t>
  </si>
  <si>
    <t>M15:O15</t>
  </si>
  <si>
    <t>実績除水量(前々回)</t>
  </si>
  <si>
    <t>water_removal_rst_prev_prev</t>
  </si>
  <si>
    <t>2.10</t>
  </si>
  <si>
    <t>P15:R15</t>
  </si>
  <si>
    <t>2025/06/24 09:23:16</t>
  </si>
  <si>
    <t xml:space="preserve">新規追加_x000D_
改頁しない_x000D_
プレビューデータ:2025/06/24_x000D_
書式:yyyy/mm/dd_x000D_
縮小しない_x000D_
テンプレート内外:_x000D_
</t>
  </si>
  <si>
    <t xml:space="preserve">新規追加_x000D_
改頁しない_x000D_
プレビューデータ:56.78_x000D_
書式:0.00_x000D_
縮小しない_x000D_
テンプレート内外:_x000D_
</t>
  </si>
  <si>
    <t xml:space="preserve">新規追加_x000D_
改頁しない_x000D_
繰返場所:P14:R14_x000D_
グループ名:実績.体重情報（過去実績）_x000D_
プレビューデータ:2.00_x000D_
書式:0.00_x000D_
縮小しない_x000D_
テンプレート内外:_x000D_
</t>
  </si>
  <si>
    <t xml:space="preserve">新規追加_x000D_
改頁しない_x000D_
繰返場所:G15:I15,G16:I16,G17:I17,G18:I18_x000D_
グループ名:実績.体重情報（過去実績）_x000D_
プレビューデータ:2011/03/08_x000D_
書式:yyyy/mm/dd_x000D_
縮小しない_x000D_
テンプレート内外:_x000D_
</t>
  </si>
  <si>
    <t xml:space="preserve">新規追加_x000D_
改頁しない_x000D_
繰返場所:J15:L15,J16:L16,J17:L17,J18:L18_x000D_
グループ名:実績.体重情報（過去実績）_x000D_
プレビューデータ:58.20_x000D_
書式:0.00_x000D_
縮小しない_x000D_
テンプレート内外:_x000D_
</t>
  </si>
  <si>
    <t xml:space="preserve">新規追加_x000D_
改頁しない_x000D_
繰返場所:M15:O15_x000D_
グループ名:実績.体重情報（過去実績）_x000D_
プレビューデータ:55.30_x000D_
書式:0.00_x000D_
縮小しない_x000D_
テンプレート内外:_x000D_
</t>
  </si>
  <si>
    <t xml:space="preserve">新規追加_x000D_
改頁しない_x000D_
繰返場所:P15:R15_x000D_
グループ名:実績.体重情報（過去実績）_x000D_
プレビューデータ:2.10_x000D_
書式:0.00_x000D_
縮小しない_x000D_
テンプレート内外:_x000D_
</t>
  </si>
  <si>
    <t>実績.体重情報（過去実績）.実績.体重情報（過去実績）.P14:R14</t>
  </si>
  <si>
    <t>2025/06/24 09:23:17</t>
  </si>
  <si>
    <t>2025/06/24 09:30:29</t>
  </si>
  <si>
    <t xml:space="preserve">設定変更_x000D_
プレビューデータ:2011/03/08 ⇒ 2025/06/24_x000D_
縮小しない_x000D_
</t>
  </si>
  <si>
    <t xml:space="preserve">設定変更_x000D_
縮小しない_x000D_
</t>
  </si>
  <si>
    <t>透析前体重</t>
    <rPh sb="0" eb="2">
      <t>トウセキ</t>
    </rPh>
    <rPh sb="2" eb="3">
      <t>マエ</t>
    </rPh>
    <rPh sb="3" eb="5">
      <t>タイジュウ</t>
    </rPh>
    <phoneticPr fontId="1"/>
  </si>
  <si>
    <t>G13:I13</t>
  </si>
  <si>
    <t>J13:L13</t>
  </si>
  <si>
    <t>M13:O13</t>
  </si>
  <si>
    <t>P13:R13</t>
  </si>
  <si>
    <t>2025/06/24 09:31:44</t>
  </si>
  <si>
    <t xml:space="preserve">新規追加_x000D_
改頁しない_x000D_
プレビューデータ:2011/3/12  8:21_x000D_
書式:yyyy/mm/dd_x000D_
縮小しない_x000D_
テンプレート内外:_x000D_
</t>
  </si>
  <si>
    <t xml:space="preserve">新規追加_x000D_
改頁しない_x000D_
繰返場所:P13:R13_x000D_
グループ名:実績.体重情報（過去実績）_x000D_
プレビューデータ:2.00_x000D_
書式:0.00_x000D_
縮小しない_x000D_
テンプレート内外:_x000D_
</t>
  </si>
  <si>
    <t>AK7</t>
  </si>
  <si>
    <t>2025/06/24 09:32:19</t>
  </si>
  <si>
    <t xml:space="preserve">新規追加_x000D_
改頁しない_x000D_
繰返場所:AK7,AK8,AK9,AK10,AK11_x000D_
グループ名:実績.体重情報（過去実績）_x000D_
プレビューデータ:58.20_x000D_
書式:0.00_x000D_
縮小しない_x000D_
テンプレート内外:_x000D_
</t>
  </si>
  <si>
    <t>##実績.体重情報.前体重</t>
  </si>
  <si>
    <t>##実績.体重情報.前体重</t>
    <phoneticPr fontId="1"/>
  </si>
  <si>
    <t>##実績.体重情報.前体重測定日時</t>
  </si>
  <si>
    <t>##実績.体重情報.前体重測定日時</t>
    <phoneticPr fontId="1"/>
  </si>
  <si>
    <t>##実績.体重情報.後体重</t>
  </si>
  <si>
    <t>##実績.体重情報.後体重</t>
    <phoneticPr fontId="1"/>
  </si>
  <si>
    <t>##実績.体重情報.実績除水量</t>
  </si>
  <si>
    <t>##実績.体重情報.実績除水量</t>
    <phoneticPr fontId="1"/>
  </si>
  <si>
    <t>##実績.体重情報（過去実績）.前体重測定日時(前回)</t>
    <phoneticPr fontId="1"/>
  </si>
  <si>
    <t>##実績.体重情報（過去実績）.後体重(前回)</t>
    <phoneticPr fontId="1"/>
  </si>
  <si>
    <t>前体重測定日時</t>
  </si>
  <si>
    <t>weight_before_date</t>
  </si>
  <si>
    <t>前体重</t>
  </si>
  <si>
    <t>weight_before</t>
  </si>
  <si>
    <t>57.90</t>
  </si>
  <si>
    <t>後体重</t>
  </si>
  <si>
    <t>weight_after</t>
  </si>
  <si>
    <t>55.05</t>
  </si>
  <si>
    <t>実績除水量</t>
  </si>
  <si>
    <t>water_removal_rst</t>
  </si>
  <si>
    <t>2.85</t>
  </si>
  <si>
    <t>2025/06/24 09:36:29</t>
  </si>
  <si>
    <t xml:space="preserve">設定変更_x000D_
プレビューデータ:2011/3/12  8:21 ⇒ 08:01_x000D_
書式:yyyy/mm/dd ⇒ hh:mm_x000D_
</t>
  </si>
  <si>
    <t xml:space="preserve">設定変更_x000D_
プレビューデータ:56.78 ⇒ 57.90_x000D_
</t>
  </si>
  <si>
    <t xml:space="preserve">設定変更_x000D_
プレビューデータ:56.78 ⇒ 55.05_x000D_
</t>
  </si>
  <si>
    <t xml:space="preserve">設定変更_x000D_
繰返場所:P13:R13 ⇒ _x000D_
グループ名:実績.体重情報（過去実績） ⇒ _x000D_
プレビューデータ:2.00 ⇒ 2.85_x000D_
</t>
  </si>
  <si>
    <t xml:space="preserve">設定変更_x000D_
プレビューデータ:2025/06/24 ⇒ 2011/3/12  8:21_x000D_
</t>
  </si>
  <si>
    <t xml:space="preserve">設定変更_x000D_
繰返場所:M15:O15 ⇒ M15:O15,M16:O16,M17:O17,M18:O18_x000D_
</t>
  </si>
  <si>
    <t xml:space="preserve">設定変更_x000D_
繰返場所:P15:R15 ⇒ P15:R15,P16:R16,P17:R17,P18:R18_x000D_
</t>
  </si>
  <si>
    <t>4</t>
  </si>
  <si>
    <t>mL/min</t>
    <phoneticPr fontId="1"/>
  </si>
  <si>
    <t>##指示.投薬.治療日</t>
  </si>
  <si>
    <t>##指示.投薬.薬剤名</t>
  </si>
  <si>
    <t>##指示.投薬.数量</t>
  </si>
  <si>
    <t>##指示.投薬.数量</t>
    <phoneticPr fontId="1"/>
  </si>
  <si>
    <t>J37:K37</t>
  </si>
  <si>
    <t>2</t>
  </si>
  <si>
    <t>6</t>
  </si>
  <si>
    <t>2025/06/24 09:47:27</t>
  </si>
  <si>
    <t>テンプレート設定</t>
  </si>
  <si>
    <t xml:space="preserve">設定:無効 ⇒ 有効_x000D_
範囲:未設定 ⇒ J37:K37_x000D_
横回数:1 ⇒ 4_x000D_
縦回数:1 ⇒ 6_x000D_
</t>
  </si>
  <si>
    <t>外</t>
  </si>
  <si>
    <t>投薬</t>
  </si>
  <si>
    <t>治療日</t>
  </si>
  <si>
    <t>treat_date</t>
  </si>
  <si>
    <t>J36:K36,L36:M36,N36:O36,P36:Q36</t>
  </si>
  <si>
    <t>&lt;SelectSetting&gt;&lt;Item tag="Medicine" checkState="Checked" /&gt;&lt;/SelectSetting&gt;</t>
  </si>
  <si>
    <t>Medicine</t>
  </si>
  <si>
    <t>J36:K36</t>
  </si>
  <si>
    <t>指示.投薬</t>
  </si>
  <si>
    <t>薬剤名</t>
  </si>
  <si>
    <t>medi_name</t>
  </si>
  <si>
    <t>テスト薬剤１</t>
  </si>
  <si>
    <t>B37:I37,B38:I38,B39:I39,B40:I40,B41:I41,B42:I42</t>
  </si>
  <si>
    <t>B37:I37</t>
  </si>
  <si>
    <t>数量</t>
  </si>
  <si>
    <t>medi_amount</t>
  </si>
  <si>
    <t>J37:K37,J38:K38,J39:K39,J40:K40,J41:K41,J42:K42,L37:M37,L38:M38,L39:M39,L40:M40,L41:M41,L42:M42,N37:O37,N38:O38,N39:O39,N40:O40,N41:O41,N42:O42,P37:Q37,P38:Q38,P39:Q39,P40:Q40,P41:Q41,P42:Q42</t>
  </si>
  <si>
    <t>内</t>
  </si>
  <si>
    <t xml:space="preserve">設定変更_x000D_
テンプレート内外: ⇒ 外_x000D_
</t>
  </si>
  <si>
    <t xml:space="preserve">設定変更_x000D_
縮小しない_x000D_
テンプレート内外: ⇒ 外_x000D_
</t>
  </si>
  <si>
    <t xml:space="preserve">設定変更_x000D_
プレビューデータ:2011/05/16 ⇒ 2025/06/24_x000D_
縮小しない_x000D_
テンプレート内外: ⇒ 外_x000D_
</t>
  </si>
  <si>
    <t xml:space="preserve">新規追加_x000D_
改頁しない_x000D_
繰返場所:J36:K36,L36:M36,N36:O36,P36:Q36_x000D_
グループ名:指示.投薬_x000D_
プレビューデータ:2025/06/24_x000D_
書式:yyyy/mm/dd_x000D_
抽出条件:&lt;SelectSetting&gt;&lt;Item tag="Medicine" checkState="Checked" /&gt;&lt;/SelectSetting&gt;_x000D_
縮小しない_x000D_
テンプレート内外:外_x000D_
</t>
  </si>
  <si>
    <t xml:space="preserve">新規追加_x000D_
改頁しない_x000D_
繰返場所:B37:I37,B38:I38,B39:I39,B40:I40,B41:I41,B42:I42_x000D_
グループ名:指示.投薬_x000D_
プレビューデータ:テスト薬剤１_x000D_
書式:G/標準_x000D_
抽出条件:&lt;SelectSetting&gt;&lt;Item tag="Medicine" checkState="Checked" /&gt;&lt;/SelectSetting&gt;_x000D_
縮小しない_x000D_
テンプレート内外:外_x000D_
</t>
  </si>
  <si>
    <t xml:space="preserve">新規追加_x000D_
改頁しない_x000D_
繰返場所:J37:K37,J38:K38,J39:K39,J40:K40,J41:K41,J42:K42,L37:M37,L38:M38,L39:M39,L40:M40,L41:M41,L42:M42,N37:O37,N38:O38,N39:O39,N40:O40,N41:O41,N42:O42,P37:Q37,P38:Q38,P39:Q39,P40:Q40,P41:Q41,P42:Q42_x000D_
グループ名:指示.投薬_x000D_
プレビューデータ:1_x000D_
書式:0_x000D_
抽出条件:&lt;SelectSetting&gt;&lt;Item tag="Medicine" checkState="Checked" /&gt;&lt;/SelectSetting&gt;_x000D_
縮小しない_x000D_
テンプレート内外:内_x000D_
</t>
  </si>
  <si>
    <t>患者情報.感染症(+)(-)(不明).患者情報.感染症(+)(-)(不明).外.X12:AI12</t>
  </si>
  <si>
    <t>実績.体重情報（過去実績）.実績.体重情報（過去実績）.外.P14:R14</t>
  </si>
  <si>
    <t>患者情報.身体情報(降順).患者情報.身体情報(降順).外.G20:J20</t>
  </si>
  <si>
    <t>指示.投薬.指示.投薬.外.J36:K36</t>
  </si>
  <si>
    <t>指示.投薬.指示.投薬.内.J37:K37</t>
  </si>
  <si>
    <t>2025/06/24 09:47:28</t>
  </si>
  <si>
    <t xml:space="preserve">改頁しない_x000D_
抽出条件:&lt;SelectSetting&gt;&lt;Item tag="Medicine" checkState="Checked" /&gt;&lt;/SelectSetting&gt;_x000D_
</t>
  </si>
  <si>
    <t>曜日</t>
  </si>
  <si>
    <t>項目値</t>
  </si>
  <si>
    <t>2025/06/24 09:47:29</t>
  </si>
  <si>
    <t xml:space="preserve">横の集計単位: ⇒ treat_date_x000D_
縦の集計単位: ⇒ medi_name_x000D_
集計単位日付: ⇒ 曜日_x000D_
表示内容: ⇒ 項目値_x000D_
</t>
  </si>
  <si>
    <t>m"月"d"日"</t>
  </si>
  <si>
    <t>2025/06/24 09:51:33</t>
  </si>
  <si>
    <t xml:space="preserve">設定変更_x000D_
プレビューデータ:08:01 ⇒ 2025/06/24_x000D_
書式:hh:mm ⇒ m"月"d"日"_x000D_
</t>
  </si>
  <si>
    <t xml:space="preserve">設定変更_x000D_
プレビューデータ:2011/3/12  8:21 ⇒ 6月24日_x000D_
書式:yyyy/mm/dd ⇒ m"月"d"日"_x000D_
</t>
  </si>
  <si>
    <t xml:space="preserve">設定変更_x000D_
書式:yyyy/mm/dd ⇒ m"月"d"日"_x000D_
</t>
  </si>
  <si>
    <t>G19:L19</t>
  </si>
  <si>
    <t>2025/06/24 10:08:24</t>
  </si>
  <si>
    <t xml:space="preserve">新規追加_x000D_
改頁しない_x000D_
プレビューデータ:月_x000D_
書式:G/標準_x000D_
縮小しない_x000D_
テンプレート内外:外_x000D_
</t>
  </si>
  <si>
    <t>AJ19</t>
  </si>
  <si>
    <t>2025/06/24 10:13:03</t>
  </si>
  <si>
    <t xml:space="preserve">新規追加_x000D_
表示文字数:1_x000D_
改頁しない_x000D_
プレビューデータ:月_x000D_
書式:G/標準_x000D_
縮小しない_x000D_
テンプレート内外:外_x000D_
</t>
  </si>
  <si>
    <t>2025/06/24 10:14:44</t>
  </si>
  <si>
    <t xml:space="preserve">設定変更_x000D_
表示文字数:1 ⇒ _x000D_
縮小しない_x000D_
</t>
  </si>
  <si>
    <t>##実績.体重情報（過去実績）.前体重測定日時(前々回)</t>
    <phoneticPr fontId="1"/>
  </si>
  <si>
    <t>##患者情報.感染症(+)(-)(不明).感染症結果</t>
  </si>
  <si>
    <t>AT12,AT13,AT14,AT15,AT16,AT17,AT18,AT19</t>
  </si>
  <si>
    <t>AT12</t>
  </si>
  <si>
    <t>感染症結果</t>
  </si>
  <si>
    <t>infect</t>
  </si>
  <si>
    <t>(不明)</t>
  </si>
  <si>
    <t>AU12,AU13,AU14,AU15,AU16,AU17,AU18,AU19</t>
  </si>
  <si>
    <t>AU12</t>
  </si>
  <si>
    <t>2025/07/09 14:07:00</t>
  </si>
  <si>
    <t xml:space="preserve">新規追加_x000D_
改頁しない_x000D_
繰返場所:AT12,AT13,AT14,AT15,AT16,AT17,AT18,AT19_x000D_
グループ名:患者情報.感染症(+)(-)(不明)_x000D_
プレビューデータ:Hbc抗体_x000D_
書式:G/標準_x000D_
縮小しない_x000D_
テンプレート内外:外_x000D_
</t>
  </si>
  <si>
    <t xml:space="preserve">新規追加_x000D_
改頁しない_x000D_
繰返場所:AU12,AU13,AU14,AU15,AU16,AU17,AU18,AU19_x000D_
グループ名:患者情報.感染症(+)(-)(不明)_x000D_
プレビューデータ:(不明)_x000D_
書式:G/標準_x000D_
データ変換:&lt;convTable cls="感染症結果"&gt;&lt;conv code="0" item="不明" disp="不明" /&gt;&lt;conv code="1" item="(-)" disp="(-)" /&gt;&lt;conv code="2" item="(+)" disp="(+)" /&gt;&lt;/convTable&gt;_x000D_
縮小しない_x000D_
テンプレート内外:外_x000D_
</t>
  </si>
  <si>
    <t>患者情報.感染症(+)(-)(不明).患者情報.感染症(+)(-)(不明).外.AT12</t>
  </si>
  <si>
    <t>2025/07/09 14:07:01</t>
  </si>
  <si>
    <t>2025/07/09 14:10:14</t>
  </si>
  <si>
    <t xml:space="preserve">設定変更_x000D_
データ変換:&lt;convTable cls=""&gt;&lt;conv code="0" item="不明" disp="不明" /&gt;&lt;conv code="1" item="(-)" disp="(-)" /&gt;&lt;conv code="2" item="(+)" disp="(+)" /&gt;&lt;/convTable&gt; ⇒ &lt;convTable cls="感染症結果"&gt;&lt;conv code="0" item="不明" disp="不明" /&gt;&lt;conv code="1" item="(-)" disp="(-)" /&gt;&lt;conv code="2" item="(+)" disp="(+)" /&gt;&lt;/convTable&gt;_x000D_
</t>
  </si>
  <si>
    <t>2025/07/09 14:12:16</t>
  </si>
  <si>
    <t>##指示.透析条件.抗凝固剤総量</t>
  </si>
  <si>
    <t>&lt;convTable cls=""&gt;&lt;conv code="0" item="不明" disp="不明" /&gt;&lt;conv code="1" item="(-)" disp="(-)" /&gt;&lt;conv code="2" item="(+)" disp="(+)" /&gt;&lt;/convTable&gt;</t>
  </si>
  <si>
    <t>X20:AF20</t>
  </si>
  <si>
    <t>AG20:AH20</t>
  </si>
  <si>
    <t>AI20</t>
  </si>
  <si>
    <t>2025/07/09 16:21:56</t>
  </si>
  <si>
    <t xml:space="preserve">新規追加_x000D_
表示文字数:19_x000D_
改頁しない_x000D_
プレビューデータ:1234567_x000D_
書式:G/標準_x000D_
縮小しない_x000D_
テンプレート内外:外_x000D_
</t>
  </si>
  <si>
    <t xml:space="preserve">新規追加_x000D_
改頁しない_x000D_
プレビューデータ:3000_x000D_
書式:0_x000D_
縮小しない_x000D_
テンプレート内外:外_x000D_
</t>
  </si>
  <si>
    <t xml:space="preserve">新規追加_x000D_
改頁しない_x000D_
プレビューデータ:U_x000D_
書式:G/標準_x000D_
縮小しない_x000D_
テンプレート内外:外_x000D_
</t>
  </si>
  <si>
    <t>2025/07/10 12:00:22</t>
  </si>
  <si>
    <t xml:space="preserve">新規追加_x000D_
表示文字数:25_x000D_
改頁しない_x000D_
プレビューデータ:1234567_x000D_
書式:G/標準_x000D_
縮小しない_x000D_
テンプレート内外:外_x000D_
</t>
  </si>
  <si>
    <t>7月10日</t>
  </si>
  <si>
    <t>2025/07/10 12:14:51</t>
  </si>
  <si>
    <t xml:space="preserve">設定変更_x000D_
プレビューデータ:2025/06/24 ⇒ 7月10日_x000D_
</t>
  </si>
  <si>
    <t>##患者情報.身体情報(降順).DW</t>
  </si>
  <si>
    <t>##患者情報.身体情報(降順).DW</t>
    <phoneticPr fontId="1"/>
  </si>
  <si>
    <t>CanBarCode</t>
  </si>
  <si>
    <t>BarCode</t>
  </si>
  <si>
    <t>患者情報.身体情報(降順)DW</t>
  </si>
  <si>
    <t>2025/10/14 15:33:22</t>
  </si>
  <si>
    <t xml:space="preserve">設定変更_x000D_
繰返場所: ⇒ G11:K11_x000D_
グループ名: ⇒ 患者情報.身体情報(降順)DW_x000D_
</t>
  </si>
  <si>
    <t>患者情報.身体情報(降順).患者情報.身体情報(降順)DW.外.G11:K11</t>
  </si>
  <si>
    <t>2025/10/14 15:33:23</t>
  </si>
  <si>
    <t xml:space="preserve">出力値のない列は省略する設定: ⇒ 0_x000D_
表示内容種類: ⇒ 先頭_x000D_
</t>
  </si>
  <si>
    <t>2025/10/14 15:38:42</t>
  </si>
  <si>
    <t xml:space="preserve">設定変更_x000D_
グループ名:実績.体重情報（過去実績） ⇒ 実績.体重情報（過去実績）前回_x000D_
</t>
  </si>
  <si>
    <t xml:space="preserve">設定変更_x000D_
グループ名:実績.体重情報（過去実績） ⇒ 実績.体重情報（過去実績）前々回_x000D_
プレビューデータ:2025/06/24 ⇒ 10月14日_x000D_
</t>
  </si>
  <si>
    <t xml:space="preserve">設定変更_x000D_
グループ名:実績.体重情報（過去実績） ⇒ 実績.体重情報（過去実績）前々回_x000D_
</t>
  </si>
  <si>
    <t>実績.体重情報（過去実績）.実績.体重情報（過去実績）前々回.外.G15:I15</t>
  </si>
  <si>
    <t>実績.体重情報（過去実績）.実績.体重情報（過去実績）前回.外.P14:R14</t>
  </si>
  <si>
    <t>先頭</t>
    <phoneticPr fontId="1"/>
  </si>
  <si>
    <t>2025/10/14 15:46:01</t>
  </si>
  <si>
    <t xml:space="preserve">設定変更_x000D_
グループ名:実績.体重情報（過去実績）前回 ⇒ 実績.体重情報（過去実績）_x000D_
</t>
  </si>
  <si>
    <t xml:space="preserve">設定変更_x000D_
グループ名:実績.体重情報（過去実績）前々回 ⇒ 実績.体重情報（過去実績）_x000D_
</t>
  </si>
  <si>
    <t>##実績.体重情報（過去実績）.実績除水量(前回)</t>
    <phoneticPr fontId="1"/>
  </si>
  <si>
    <t>2025/10/14 15:53:49</t>
  </si>
  <si>
    <t xml:space="preserve">設定変更_x000D_
プレビューデータ:6月24日 ⇒ 2011/3/12  8:21_x000D_
書式:m"月"d"日" ⇒ yyyy/mm/dd_x000D_
</t>
  </si>
  <si>
    <t xml:space="preserve">設定変更_x000D_
繰返場所:P14:R14 ⇒ _x000D_
グループ名:実績.体重情報（過去実績） ⇒ _x000D_
</t>
  </si>
  <si>
    <t>##実績.体重情報（過去実績）.前体重(前々回)</t>
    <phoneticPr fontId="1"/>
  </si>
  <si>
    <t>##実績.体重情報（過去実績）.後体重(前々回)</t>
    <phoneticPr fontId="1"/>
  </si>
  <si>
    <t>##実績.体重情報（過去実績）.実績除水量(前々回)</t>
    <phoneticPr fontId="1"/>
  </si>
  <si>
    <t>2025/10/14 15:54:52</t>
  </si>
  <si>
    <t xml:space="preserve">設定変更_x000D_
繰返場所:G15:I15,G16:I16,G17:I17,G18:I18 ⇒ _x000D_
グループ名:実績.体重情報（過去実績） ⇒ _x000D_
プレビューデータ:10月14日 ⇒ 2011/03/08_x000D_
書式:m"月"d"日" ⇒ yyyy/mm/dd_x000D_
</t>
  </si>
  <si>
    <t xml:space="preserve">設定変更_x000D_
繰返場所:J15:L15,J16:L16,J17:L17,J18:L18 ⇒ _x000D_
グループ名:実績.体重情報（過去実績） ⇒ _x000D_
</t>
  </si>
  <si>
    <t xml:space="preserve">設定変更_x000D_
繰返場所:M15:O15,M16:O16,M17:O17,M18:O18 ⇒ _x000D_
グループ名:実績.体重情報（過去実績） ⇒ _x000D_
</t>
  </si>
  <si>
    <t xml:space="preserve">設定変更_x000D_
繰返場所:P15:R15,P16:R16,P17:R17,P18:R18 ⇒ _x000D_
グループ名:実績.体重情報（過去実績） ⇒ _x000D_
</t>
  </si>
  <si>
    <t>10月14日</t>
  </si>
  <si>
    <t>2025/10/14 15:56:25</t>
  </si>
  <si>
    <t xml:space="preserve">設定変更_x000D_
プレビューデータ:2011/3/12  8:21 ⇒ 10月14日_x000D_
書式:yyyy/mm/dd ⇒ m"月"d"日"_x000D_
</t>
  </si>
  <si>
    <t xml:space="preserve">設定変更_x000D_
プレビューデータ:2011/03/08 ⇒ 10月14日_x000D_
書式:yyyy/mm/dd ⇒ m"月"d"日"_x000D_
</t>
  </si>
  <si>
    <t>2025/10/21 10:47:46</t>
  </si>
  <si>
    <t xml:space="preserve">設定変更_x000D_
書式:0.00 ⇒ 0_x000D_
</t>
  </si>
  <si>
    <t>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</si>
</sst>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"/>
    <numFmt numFmtId="177" formatCode="0.0"/>
  </numFmts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6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8"/>
      <color theme="1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72">
    <xf numFmtId="0" fontId="0" fillId="0" borderId="0" xfId="0">
      <alignment vertical="center"/>
    </xf>
    <xf numFmtId="49" fontId="0" fillId="0" borderId="0" xfId="0" applyNumberFormat="1" applyAlignment="1">
      <alignment vertical="center" shrinkToFit="1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 wrapText="1" shrinkToFit="1"/>
    </xf>
    <xf numFmtId="0" fontId="0" fillId="0" borderId="0" xfId="0" applyBorder="1">
      <alignment vertical="center"/>
    </xf>
    <xf numFmtId="0" fontId="0" fillId="0" borderId="4" xfId="0" applyBorder="1">
      <alignment vertical="center"/>
    </xf>
    <xf numFmtId="0" fontId="0" fillId="3" borderId="0" xfId="0" applyFill="1">
      <alignment vertical="center"/>
    </xf>
    <xf numFmtId="1" fontId="0" fillId="3" borderId="0" xfId="0" applyNumberFormat="1" applyFill="1" applyAlignment="1">
      <alignment vertical="center" shrinkToFit="1"/>
    </xf>
    <xf numFmtId="0" fontId="0" fillId="3" borderId="0" xfId="0" applyNumberFormat="1" applyFill="1" applyAlignment="1">
      <alignment vertical="center" shrinkToFit="1"/>
    </xf>
    <xf numFmtId="0" fontId="0" fillId="3" borderId="0" xfId="0" applyFill="1" applyBorder="1" applyAlignment="1">
      <alignment vertical="center"/>
    </xf>
    <xf numFmtId="2" fontId="0" fillId="3" borderId="0" xfId="0" applyNumberFormat="1" applyFill="1">
      <alignment vertical="center"/>
    </xf>
    <xf numFmtId="0" fontId="0" fillId="3" borderId="0" xfId="0" applyNumberFormat="1" applyFill="1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7" xfId="0" applyNumberFormat="1" applyBorder="1" applyAlignment="1">
      <alignment horizontal="left" vertical="center" shrinkToFi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 shrinkToFit="1"/>
    </xf>
    <xf numFmtId="0" fontId="0" fillId="0" borderId="2" xfId="0" applyNumberFormat="1" applyBorder="1" applyAlignment="1">
      <alignment horizontal="left" vertical="center" shrinkToFi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2" fontId="4" fillId="0" borderId="8" xfId="0" applyNumberFormat="1" applyFont="1" applyBorder="1" applyAlignment="1">
      <alignment horizontal="right" vertical="center"/>
    </xf>
    <xf numFmtId="2" fontId="4" fillId="0" borderId="9" xfId="0" applyNumberFormat="1" applyFont="1" applyBorder="1" applyAlignment="1">
      <alignment horizontal="right" vertical="center"/>
    </xf>
    <xf numFmtId="0" fontId="4" fillId="0" borderId="9" xfId="0" applyNumberFormat="1" applyFont="1" applyBorder="1" applyAlignment="1">
      <alignment horizontal="left" vertical="center"/>
    </xf>
    <xf numFmtId="0" fontId="4" fillId="0" borderId="10" xfId="0" applyNumberFormat="1" applyFont="1" applyBorder="1" applyAlignment="1">
      <alignment horizontal="left" vertical="center"/>
    </xf>
    <xf numFmtId="0" fontId="4" fillId="0" borderId="7" xfId="0" applyNumberFormat="1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shrinkToFit="1"/>
    </xf>
    <xf numFmtId="0" fontId="4" fillId="4" borderId="7" xfId="0" applyFont="1" applyFill="1" applyBorder="1" applyAlignment="1">
      <alignment horizontal="center" vertical="center"/>
    </xf>
    <xf numFmtId="56" fontId="4" fillId="0" borderId="7" xfId="0" applyNumberFormat="1" applyFont="1" applyBorder="1" applyAlignment="1">
      <alignment horizontal="center" vertical="center" shrinkToFit="1"/>
    </xf>
    <xf numFmtId="2" fontId="4" fillId="0" borderId="7" xfId="0" applyNumberFormat="1" applyFont="1" applyBorder="1" applyAlignment="1">
      <alignment horizontal="center" vertical="center" shrinkToFit="1"/>
    </xf>
    <xf numFmtId="0" fontId="5" fillId="0" borderId="7" xfId="0" applyFont="1" applyBorder="1" applyAlignment="1">
      <alignment horizontal="center" vertical="center"/>
    </xf>
    <xf numFmtId="56" fontId="4" fillId="0" borderId="7" xfId="0" applyNumberFormat="1" applyFont="1" applyFill="1" applyBorder="1" applyAlignment="1">
      <alignment horizontal="center" vertical="center" shrinkToFit="1"/>
    </xf>
    <xf numFmtId="2" fontId="4" fillId="0" borderId="7" xfId="0" applyNumberFormat="1" applyFont="1" applyFill="1" applyBorder="1" applyAlignment="1">
      <alignment horizontal="center" vertical="center" shrinkToFit="1"/>
    </xf>
    <xf numFmtId="0" fontId="4" fillId="0" borderId="8" xfId="0" applyNumberFormat="1" applyFont="1" applyBorder="1" applyAlignment="1">
      <alignment horizontal="center" vertical="center"/>
    </xf>
    <xf numFmtId="0" fontId="4" fillId="0" borderId="9" xfId="0" applyNumberFormat="1" applyFont="1" applyBorder="1" applyAlignment="1">
      <alignment horizontal="center" vertical="center"/>
    </xf>
    <xf numFmtId="0" fontId="4" fillId="0" borderId="10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4" xfId="0" applyNumberFormat="1" applyBorder="1" applyAlignment="1">
      <alignment horizontal="left" vertical="center" shrinkToFit="1"/>
    </xf>
    <xf numFmtId="176" fontId="4" fillId="0" borderId="7" xfId="0" applyNumberFormat="1" applyFont="1" applyBorder="1" applyAlignment="1">
      <alignment horizontal="left" vertical="center"/>
    </xf>
    <xf numFmtId="0" fontId="4" fillId="0" borderId="14" xfId="0" applyNumberFormat="1" applyFont="1" applyBorder="1" applyAlignment="1">
      <alignment horizontal="left" vertical="center"/>
    </xf>
    <xf numFmtId="0" fontId="4" fillId="0" borderId="13" xfId="0" applyNumberFormat="1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1" fontId="4" fillId="0" borderId="8" xfId="0" applyNumberFormat="1" applyFont="1" applyBorder="1" applyAlignment="1">
      <alignment horizontal="right" vertical="center" shrinkToFit="1"/>
    </xf>
    <xf numFmtId="1" fontId="4" fillId="0" borderId="9" xfId="0" applyNumberFormat="1" applyFont="1" applyBorder="1" applyAlignment="1">
      <alignment horizontal="right" vertical="center" shrinkToFit="1"/>
    </xf>
    <xf numFmtId="2" fontId="4" fillId="0" borderId="8" xfId="0" applyNumberFormat="1" applyFont="1" applyBorder="1" applyAlignment="1">
      <alignment horizontal="right" vertical="center" shrinkToFit="1"/>
    </xf>
    <xf numFmtId="2" fontId="4" fillId="0" borderId="9" xfId="0" applyNumberFormat="1" applyFont="1" applyBorder="1" applyAlignment="1">
      <alignment horizontal="right" vertical="center" shrinkToFit="1"/>
    </xf>
    <xf numFmtId="2" fontId="4" fillId="0" borderId="9" xfId="0" applyNumberFormat="1" applyFont="1" applyBorder="1" applyAlignment="1">
      <alignment horizontal="left" vertical="center"/>
    </xf>
    <xf numFmtId="2" fontId="4" fillId="0" borderId="10" xfId="0" applyNumberFormat="1" applyFont="1" applyBorder="1" applyAlignment="1">
      <alignment horizontal="left" vertical="center"/>
    </xf>
    <xf numFmtId="0" fontId="4" fillId="0" borderId="8" xfId="0" applyNumberFormat="1" applyFont="1" applyBorder="1" applyAlignment="1">
      <alignment horizontal="center" vertical="center" shrinkToFit="1"/>
    </xf>
    <xf numFmtId="0" fontId="4" fillId="0" borderId="9" xfId="0" applyNumberFormat="1" applyFont="1" applyBorder="1" applyAlignment="1">
      <alignment horizontal="center" vertical="center" shrinkToFit="1"/>
    </xf>
    <xf numFmtId="1" fontId="4" fillId="0" borderId="9" xfId="0" applyNumberFormat="1" applyFont="1" applyBorder="1" applyAlignment="1">
      <alignment horizontal="right" vertical="center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/>
    </xf>
    <xf numFmtId="176" fontId="4" fillId="0" borderId="9" xfId="0" applyNumberFormat="1" applyFont="1" applyBorder="1" applyAlignment="1">
      <alignment horizontal="left" vertical="center" shrinkToFit="1"/>
    </xf>
    <xf numFmtId="176" fontId="4" fillId="0" borderId="10" xfId="0" applyNumberFormat="1" applyFont="1" applyBorder="1" applyAlignment="1">
      <alignment horizontal="left" vertical="center" shrinkToFit="1"/>
    </xf>
    <xf numFmtId="0" fontId="4" fillId="0" borderId="10" xfId="0" applyFont="1" applyBorder="1" applyAlignment="1">
      <alignment horizontal="center" vertical="center"/>
    </xf>
    <xf numFmtId="177" fontId="4" fillId="0" borderId="9" xfId="0" applyNumberFormat="1" applyFont="1" applyBorder="1" applyAlignment="1">
      <alignment horizontal="right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B5771-9B73-4926-821A-1B1D8E956559}">
  <dimension ref="A1:E171"/>
  <sheetViews>
    <sheetView workbookViewId="0"/>
  </sheetViews>
  <sheetFormatPr defaultRowHeight="18.75" x14ac:dyDescent="0.4"/>
  <cols>
    <col min="1" max="16384" width="9" style="1"/>
  </cols>
  <sheetData>
    <row r="1" spans="1:5" ht="37.5" x14ac:dyDescent="0.4">
      <c r="A1" s="1" t="s">
        <v>3</v>
      </c>
      <c r="B1" s="1" t="s">
        <v>4</v>
      </c>
      <c r="C1" s="1" t="s">
        <v>5</v>
      </c>
      <c r="D1" s="1" t="s">
        <v>1</v>
      </c>
      <c r="E1" s="3" t="s">
        <v>6</v>
      </c>
    </row>
    <row r="2" spans="1:5" ht="93.75" x14ac:dyDescent="0.4">
      <c r="A2" s="1" t="s">
        <v>3</v>
      </c>
      <c r="B2" s="1" t="s">
        <v>38</v>
      </c>
      <c r="C2" s="1" t="s">
        <v>39</v>
      </c>
      <c r="D2" s="1" t="s">
        <v>1</v>
      </c>
      <c r="E2" s="3" t="s">
        <v>40</v>
      </c>
    </row>
    <row r="3" spans="1:5" ht="281.25" x14ac:dyDescent="0.4">
      <c r="A3" s="1" t="s">
        <v>3</v>
      </c>
      <c r="B3" s="1" t="s">
        <v>72</v>
      </c>
      <c r="C3" s="1" t="s">
        <v>43</v>
      </c>
      <c r="D3" s="1" t="s">
        <v>58</v>
      </c>
      <c r="E3" s="3" t="s">
        <v>73</v>
      </c>
    </row>
    <row r="4" spans="1:5" ht="318.75" x14ac:dyDescent="0.4">
      <c r="A4" s="1" t="s">
        <v>3</v>
      </c>
      <c r="B4" s="1" t="s">
        <v>72</v>
      </c>
      <c r="C4" s="1" t="s">
        <v>47</v>
      </c>
      <c r="D4" s="1" t="s">
        <v>64</v>
      </c>
      <c r="E4" s="3" t="s">
        <v>74</v>
      </c>
    </row>
    <row r="5" spans="1:5" ht="281.25" x14ac:dyDescent="0.4">
      <c r="A5" s="1" t="s">
        <v>3</v>
      </c>
      <c r="B5" s="1" t="s">
        <v>72</v>
      </c>
      <c r="C5" s="1" t="s">
        <v>48</v>
      </c>
      <c r="D5" s="1" t="s">
        <v>71</v>
      </c>
      <c r="E5" s="3" t="s">
        <v>75</v>
      </c>
    </row>
    <row r="6" spans="1:5" ht="56.25" x14ac:dyDescent="0.4">
      <c r="A6" s="1" t="s">
        <v>3</v>
      </c>
      <c r="B6" s="1" t="s">
        <v>72</v>
      </c>
      <c r="C6" s="1" t="s">
        <v>77</v>
      </c>
      <c r="D6" s="1" t="s">
        <v>1</v>
      </c>
      <c r="E6" s="3" t="s">
        <v>78</v>
      </c>
    </row>
    <row r="7" spans="1:5" ht="356.25" x14ac:dyDescent="0.4">
      <c r="A7" s="1" t="s">
        <v>3</v>
      </c>
      <c r="B7" s="1" t="s">
        <v>151</v>
      </c>
      <c r="C7" s="1" t="s">
        <v>93</v>
      </c>
      <c r="D7" s="1" t="s">
        <v>110</v>
      </c>
      <c r="E7" s="3" t="s">
        <v>152</v>
      </c>
    </row>
    <row r="8" spans="1:5" ht="318.75" x14ac:dyDescent="0.4">
      <c r="A8" s="1" t="s">
        <v>3</v>
      </c>
      <c r="B8" s="1" t="s">
        <v>151</v>
      </c>
      <c r="C8" s="1" t="s">
        <v>94</v>
      </c>
      <c r="D8" s="1" t="s">
        <v>113</v>
      </c>
      <c r="E8" s="3" t="s">
        <v>153</v>
      </c>
    </row>
    <row r="9" spans="1:5" ht="337.5" x14ac:dyDescent="0.4">
      <c r="A9" s="1" t="s">
        <v>3</v>
      </c>
      <c r="B9" s="1" t="s">
        <v>151</v>
      </c>
      <c r="C9" s="1" t="s">
        <v>92</v>
      </c>
      <c r="D9" s="1" t="s">
        <v>117</v>
      </c>
      <c r="E9" s="3" t="s">
        <v>154</v>
      </c>
    </row>
    <row r="10" spans="1:5" ht="393.75" x14ac:dyDescent="0.4">
      <c r="A10" s="1" t="s">
        <v>3</v>
      </c>
      <c r="B10" s="1" t="s">
        <v>151</v>
      </c>
      <c r="C10" s="1" t="s">
        <v>98</v>
      </c>
      <c r="D10" s="1" t="s">
        <v>122</v>
      </c>
      <c r="E10" s="3" t="s">
        <v>155</v>
      </c>
    </row>
    <row r="11" spans="1:5" ht="318.75" x14ac:dyDescent="0.4">
      <c r="A11" s="1" t="s">
        <v>3</v>
      </c>
      <c r="B11" s="1" t="s">
        <v>151</v>
      </c>
      <c r="C11" s="1" t="s">
        <v>99</v>
      </c>
      <c r="D11" s="1" t="s">
        <v>127</v>
      </c>
      <c r="E11" s="3" t="s">
        <v>156</v>
      </c>
    </row>
    <row r="12" spans="1:5" ht="318.75" x14ac:dyDescent="0.4">
      <c r="A12" s="1" t="s">
        <v>3</v>
      </c>
      <c r="B12" s="1" t="s">
        <v>151</v>
      </c>
      <c r="C12" s="1" t="s">
        <v>100</v>
      </c>
      <c r="D12" s="1" t="s">
        <v>134</v>
      </c>
      <c r="E12" s="3" t="s">
        <v>157</v>
      </c>
    </row>
    <row r="13" spans="1:5" ht="409.5" x14ac:dyDescent="0.4">
      <c r="A13" s="1" t="s">
        <v>3</v>
      </c>
      <c r="B13" s="1" t="s">
        <v>151</v>
      </c>
      <c r="C13" s="1" t="s">
        <v>101</v>
      </c>
      <c r="D13" s="1" t="s">
        <v>139</v>
      </c>
      <c r="E13" s="3" t="s">
        <v>158</v>
      </c>
    </row>
    <row r="14" spans="1:5" ht="356.25" x14ac:dyDescent="0.4">
      <c r="A14" s="1" t="s">
        <v>3</v>
      </c>
      <c r="B14" s="1" t="s">
        <v>151</v>
      </c>
      <c r="C14" s="1" t="s">
        <v>102</v>
      </c>
      <c r="D14" s="1" t="s">
        <v>144</v>
      </c>
      <c r="E14" s="3" t="s">
        <v>159</v>
      </c>
    </row>
    <row r="15" spans="1:5" ht="262.5" x14ac:dyDescent="0.4">
      <c r="A15" s="1" t="s">
        <v>3</v>
      </c>
      <c r="B15" s="1" t="s">
        <v>151</v>
      </c>
      <c r="C15" s="1" t="s">
        <v>103</v>
      </c>
      <c r="D15" s="1" t="s">
        <v>150</v>
      </c>
      <c r="E15" s="3" t="s">
        <v>160</v>
      </c>
    </row>
    <row r="16" spans="1:5" ht="56.25" x14ac:dyDescent="0.4">
      <c r="A16" s="1" t="s">
        <v>3</v>
      </c>
      <c r="B16" s="1" t="s">
        <v>151</v>
      </c>
      <c r="C16" s="1" t="s">
        <v>77</v>
      </c>
      <c r="D16" s="1" t="s">
        <v>1</v>
      </c>
      <c r="E16" s="3" t="s">
        <v>78</v>
      </c>
    </row>
    <row r="17" spans="1:5" ht="243.75" x14ac:dyDescent="0.4">
      <c r="A17" s="1" t="s">
        <v>3</v>
      </c>
      <c r="B17" s="1" t="s">
        <v>184</v>
      </c>
      <c r="C17" s="1" t="s">
        <v>172</v>
      </c>
      <c r="D17" s="1" t="s">
        <v>177</v>
      </c>
      <c r="E17" s="3" t="s">
        <v>185</v>
      </c>
    </row>
    <row r="18" spans="1:5" ht="409.5" x14ac:dyDescent="0.4">
      <c r="A18" s="1" t="s">
        <v>3</v>
      </c>
      <c r="B18" s="1" t="s">
        <v>184</v>
      </c>
      <c r="C18" s="1" t="s">
        <v>173</v>
      </c>
      <c r="D18" s="1" t="s">
        <v>182</v>
      </c>
      <c r="E18" s="3" t="s">
        <v>186</v>
      </c>
    </row>
    <row r="19" spans="1:5" ht="262.5" x14ac:dyDescent="0.4">
      <c r="A19" s="1" t="s">
        <v>3</v>
      </c>
      <c r="B19" s="1" t="s">
        <v>184</v>
      </c>
      <c r="C19" s="1" t="s">
        <v>103</v>
      </c>
      <c r="D19" s="1" t="s">
        <v>183</v>
      </c>
      <c r="E19" s="3" t="s">
        <v>160</v>
      </c>
    </row>
    <row r="20" spans="1:5" x14ac:dyDescent="0.4">
      <c r="A20" s="1" t="s">
        <v>3</v>
      </c>
      <c r="B20" s="1" t="s">
        <v>184</v>
      </c>
      <c r="C20" s="1" t="s">
        <v>103</v>
      </c>
      <c r="D20" s="1" t="s">
        <v>150</v>
      </c>
      <c r="E20" s="1" t="s">
        <v>187</v>
      </c>
    </row>
    <row r="21" spans="1:5" ht="356.25" x14ac:dyDescent="0.4">
      <c r="A21" s="1" t="s">
        <v>3</v>
      </c>
      <c r="B21" s="1" t="s">
        <v>235</v>
      </c>
      <c r="C21" s="1" t="s">
        <v>188</v>
      </c>
      <c r="D21" s="1" t="s">
        <v>199</v>
      </c>
      <c r="E21" s="3" t="s">
        <v>236</v>
      </c>
    </row>
    <row r="22" spans="1:5" ht="337.5" x14ac:dyDescent="0.4">
      <c r="A22" s="1" t="s">
        <v>3</v>
      </c>
      <c r="B22" s="1" t="s">
        <v>235</v>
      </c>
      <c r="C22" s="1" t="s">
        <v>189</v>
      </c>
      <c r="D22" s="1" t="s">
        <v>205</v>
      </c>
      <c r="E22" s="3" t="s">
        <v>237</v>
      </c>
    </row>
    <row r="23" spans="1:5" ht="409.5" x14ac:dyDescent="0.4">
      <c r="A23" s="1" t="s">
        <v>3</v>
      </c>
      <c r="B23" s="1" t="s">
        <v>235</v>
      </c>
      <c r="C23" s="1" t="s">
        <v>190</v>
      </c>
      <c r="D23" s="1" t="s">
        <v>212</v>
      </c>
      <c r="E23" s="3" t="s">
        <v>238</v>
      </c>
    </row>
    <row r="24" spans="1:5" ht="337.5" x14ac:dyDescent="0.4">
      <c r="A24" s="1" t="s">
        <v>3</v>
      </c>
      <c r="B24" s="1" t="s">
        <v>235</v>
      </c>
      <c r="C24" s="1" t="s">
        <v>191</v>
      </c>
      <c r="D24" s="1" t="s">
        <v>217</v>
      </c>
      <c r="E24" s="3" t="s">
        <v>239</v>
      </c>
    </row>
    <row r="25" spans="1:5" ht="262.5" x14ac:dyDescent="0.4">
      <c r="A25" s="1" t="s">
        <v>3</v>
      </c>
      <c r="B25" s="1" t="s">
        <v>235</v>
      </c>
      <c r="C25" s="1" t="s">
        <v>192</v>
      </c>
      <c r="D25" s="1" t="s">
        <v>221</v>
      </c>
      <c r="E25" s="3" t="s">
        <v>240</v>
      </c>
    </row>
    <row r="26" spans="1:5" ht="300" x14ac:dyDescent="0.4">
      <c r="A26" s="1" t="s">
        <v>3</v>
      </c>
      <c r="B26" s="1" t="s">
        <v>235</v>
      </c>
      <c r="C26" s="1" t="s">
        <v>195</v>
      </c>
      <c r="D26" s="1" t="s">
        <v>226</v>
      </c>
      <c r="E26" s="3" t="s">
        <v>241</v>
      </c>
    </row>
    <row r="27" spans="1:5" ht="262.5" x14ac:dyDescent="0.4">
      <c r="A27" s="1" t="s">
        <v>3</v>
      </c>
      <c r="B27" s="1" t="s">
        <v>235</v>
      </c>
      <c r="C27" s="1" t="s">
        <v>193</v>
      </c>
      <c r="D27" s="1" t="s">
        <v>230</v>
      </c>
      <c r="E27" s="3" t="s">
        <v>242</v>
      </c>
    </row>
    <row r="28" spans="1:5" ht="318.75" x14ac:dyDescent="0.4">
      <c r="A28" s="1" t="s">
        <v>3</v>
      </c>
      <c r="B28" s="1" t="s">
        <v>235</v>
      </c>
      <c r="C28" s="1" t="s">
        <v>194</v>
      </c>
      <c r="D28" s="1" t="s">
        <v>234</v>
      </c>
      <c r="E28" s="3" t="s">
        <v>243</v>
      </c>
    </row>
    <row r="29" spans="1:5" ht="56.25" x14ac:dyDescent="0.4">
      <c r="A29" s="1" t="s">
        <v>3</v>
      </c>
      <c r="B29" s="1" t="s">
        <v>235</v>
      </c>
      <c r="C29" s="1" t="s">
        <v>244</v>
      </c>
      <c r="D29" s="1" t="s">
        <v>246</v>
      </c>
      <c r="E29" s="3" t="s">
        <v>247</v>
      </c>
    </row>
    <row r="30" spans="1:5" ht="243.75" x14ac:dyDescent="0.4">
      <c r="A30" s="1" t="s">
        <v>3</v>
      </c>
      <c r="B30" s="1" t="s">
        <v>291</v>
      </c>
      <c r="C30" s="1" t="s">
        <v>249</v>
      </c>
      <c r="D30" s="1" t="s">
        <v>257</v>
      </c>
      <c r="E30" s="3" t="s">
        <v>292</v>
      </c>
    </row>
    <row r="31" spans="1:5" ht="300" x14ac:dyDescent="0.4">
      <c r="A31" s="1" t="s">
        <v>3</v>
      </c>
      <c r="B31" s="1" t="s">
        <v>291</v>
      </c>
      <c r="C31" s="1" t="s">
        <v>248</v>
      </c>
      <c r="D31" s="1" t="s">
        <v>263</v>
      </c>
      <c r="E31" s="3" t="s">
        <v>293</v>
      </c>
    </row>
    <row r="32" spans="1:5" ht="393.75" x14ac:dyDescent="0.4">
      <c r="A32" s="1" t="s">
        <v>3</v>
      </c>
      <c r="B32" s="1" t="s">
        <v>291</v>
      </c>
      <c r="C32" s="1" t="s">
        <v>251</v>
      </c>
      <c r="D32" s="1" t="s">
        <v>269</v>
      </c>
      <c r="E32" s="3" t="s">
        <v>294</v>
      </c>
    </row>
    <row r="33" spans="1:5" ht="318.75" x14ac:dyDescent="0.4">
      <c r="A33" s="1" t="s">
        <v>3</v>
      </c>
      <c r="B33" s="1" t="s">
        <v>291</v>
      </c>
      <c r="C33" s="1" t="s">
        <v>252</v>
      </c>
      <c r="D33" s="1" t="s">
        <v>276</v>
      </c>
      <c r="E33" s="3" t="s">
        <v>295</v>
      </c>
    </row>
    <row r="34" spans="1:5" ht="300" x14ac:dyDescent="0.4">
      <c r="A34" s="1" t="s">
        <v>3</v>
      </c>
      <c r="B34" s="1" t="s">
        <v>291</v>
      </c>
      <c r="C34" s="1" t="s">
        <v>253</v>
      </c>
      <c r="D34" s="1" t="s">
        <v>280</v>
      </c>
      <c r="E34" s="3" t="s">
        <v>296</v>
      </c>
    </row>
    <row r="35" spans="1:5" ht="262.5" x14ac:dyDescent="0.4">
      <c r="A35" s="1" t="s">
        <v>3</v>
      </c>
      <c r="B35" s="1" t="s">
        <v>291</v>
      </c>
      <c r="C35" s="1" t="s">
        <v>254</v>
      </c>
      <c r="D35" s="1" t="s">
        <v>286</v>
      </c>
      <c r="E35" s="3" t="s">
        <v>297</v>
      </c>
    </row>
    <row r="36" spans="1:5" ht="262.5" x14ac:dyDescent="0.4">
      <c r="A36" s="1" t="s">
        <v>3</v>
      </c>
      <c r="B36" s="1" t="s">
        <v>291</v>
      </c>
      <c r="C36" s="1" t="s">
        <v>255</v>
      </c>
      <c r="D36" s="1" t="s">
        <v>290</v>
      </c>
      <c r="E36" s="3" t="s">
        <v>298</v>
      </c>
    </row>
    <row r="37" spans="1:5" ht="56.25" x14ac:dyDescent="0.4">
      <c r="A37" s="1" t="s">
        <v>3</v>
      </c>
      <c r="B37" s="1" t="s">
        <v>291</v>
      </c>
      <c r="C37" s="1" t="s">
        <v>299</v>
      </c>
      <c r="D37" s="1" t="s">
        <v>246</v>
      </c>
      <c r="E37" s="3" t="s">
        <v>247</v>
      </c>
    </row>
    <row r="38" spans="1:5" ht="318.75" x14ac:dyDescent="0.4">
      <c r="A38" s="1" t="s">
        <v>3</v>
      </c>
      <c r="B38" s="1" t="s">
        <v>345</v>
      </c>
      <c r="C38" s="1" t="s">
        <v>305</v>
      </c>
      <c r="D38" s="1" t="s">
        <v>317</v>
      </c>
      <c r="E38" s="3" t="s">
        <v>346</v>
      </c>
    </row>
    <row r="39" spans="1:5" ht="262.5" x14ac:dyDescent="0.4">
      <c r="A39" s="1" t="s">
        <v>3</v>
      </c>
      <c r="B39" s="1" t="s">
        <v>345</v>
      </c>
      <c r="C39" s="1" t="s">
        <v>303</v>
      </c>
      <c r="D39" s="1" t="s">
        <v>321</v>
      </c>
      <c r="E39" s="3" t="s">
        <v>347</v>
      </c>
    </row>
    <row r="40" spans="1:5" ht="262.5" x14ac:dyDescent="0.4">
      <c r="A40" s="1" t="s">
        <v>3</v>
      </c>
      <c r="B40" s="1" t="s">
        <v>345</v>
      </c>
      <c r="C40" s="1" t="s">
        <v>304</v>
      </c>
      <c r="D40" s="1" t="s">
        <v>324</v>
      </c>
      <c r="E40" s="3" t="s">
        <v>347</v>
      </c>
    </row>
    <row r="41" spans="1:5" ht="409.5" x14ac:dyDescent="0.4">
      <c r="A41" s="1" t="s">
        <v>3</v>
      </c>
      <c r="B41" s="1" t="s">
        <v>345</v>
      </c>
      <c r="C41" s="1" t="s">
        <v>307</v>
      </c>
      <c r="D41" s="1" t="s">
        <v>329</v>
      </c>
      <c r="E41" s="3" t="s">
        <v>348</v>
      </c>
    </row>
    <row r="42" spans="1:5" ht="409.5" x14ac:dyDescent="0.4">
      <c r="A42" s="1" t="s">
        <v>3</v>
      </c>
      <c r="B42" s="1" t="s">
        <v>345</v>
      </c>
      <c r="C42" s="1" t="s">
        <v>311</v>
      </c>
      <c r="D42" s="1" t="s">
        <v>332</v>
      </c>
      <c r="E42" s="3" t="s">
        <v>349</v>
      </c>
    </row>
    <row r="43" spans="1:5" ht="409.5" x14ac:dyDescent="0.4">
      <c r="A43" s="1" t="s">
        <v>3</v>
      </c>
      <c r="B43" s="1" t="s">
        <v>345</v>
      </c>
      <c r="C43" s="1" t="s">
        <v>308</v>
      </c>
      <c r="D43" s="1" t="s">
        <v>336</v>
      </c>
      <c r="E43" s="3" t="s">
        <v>350</v>
      </c>
    </row>
    <row r="44" spans="1:5" ht="409.5" x14ac:dyDescent="0.4">
      <c r="A44" s="1" t="s">
        <v>3</v>
      </c>
      <c r="B44" s="1" t="s">
        <v>345</v>
      </c>
      <c r="C44" s="1" t="s">
        <v>309</v>
      </c>
      <c r="D44" s="1" t="s">
        <v>340</v>
      </c>
      <c r="E44" s="3" t="s">
        <v>351</v>
      </c>
    </row>
    <row r="45" spans="1:5" ht="409.5" x14ac:dyDescent="0.4">
      <c r="A45" s="1" t="s">
        <v>3</v>
      </c>
      <c r="B45" s="1" t="s">
        <v>345</v>
      </c>
      <c r="C45" s="1" t="s">
        <v>310</v>
      </c>
      <c r="D45" s="1" t="s">
        <v>344</v>
      </c>
      <c r="E45" s="3" t="s">
        <v>352</v>
      </c>
    </row>
    <row r="46" spans="1:5" ht="56.25" x14ac:dyDescent="0.4">
      <c r="A46" s="1" t="s">
        <v>3</v>
      </c>
      <c r="B46" s="1" t="s">
        <v>354</v>
      </c>
      <c r="C46" s="1" t="s">
        <v>353</v>
      </c>
      <c r="D46" s="1" t="s">
        <v>246</v>
      </c>
      <c r="E46" s="3" t="s">
        <v>247</v>
      </c>
    </row>
    <row r="47" spans="1:5" ht="206.25" x14ac:dyDescent="0.4">
      <c r="A47" s="1" t="s">
        <v>3</v>
      </c>
      <c r="B47" s="1" t="s">
        <v>355</v>
      </c>
      <c r="C47" s="1" t="s">
        <v>311</v>
      </c>
      <c r="D47" s="1" t="s">
        <v>332</v>
      </c>
      <c r="E47" s="3" t="s">
        <v>356</v>
      </c>
    </row>
    <row r="48" spans="1:5" ht="75" x14ac:dyDescent="0.4">
      <c r="A48" s="1" t="s">
        <v>3</v>
      </c>
      <c r="B48" s="1" t="s">
        <v>355</v>
      </c>
      <c r="C48" s="1" t="s">
        <v>308</v>
      </c>
      <c r="D48" s="1" t="s">
        <v>336</v>
      </c>
      <c r="E48" s="3" t="s">
        <v>357</v>
      </c>
    </row>
    <row r="49" spans="1:5" ht="75" x14ac:dyDescent="0.4">
      <c r="A49" s="1" t="s">
        <v>3</v>
      </c>
      <c r="B49" s="1" t="s">
        <v>355</v>
      </c>
      <c r="C49" s="1" t="s">
        <v>309</v>
      </c>
      <c r="D49" s="1" t="s">
        <v>340</v>
      </c>
      <c r="E49" s="3" t="s">
        <v>357</v>
      </c>
    </row>
    <row r="50" spans="1:5" ht="75" x14ac:dyDescent="0.4">
      <c r="A50" s="1" t="s">
        <v>3</v>
      </c>
      <c r="B50" s="1" t="s">
        <v>355</v>
      </c>
      <c r="C50" s="1" t="s">
        <v>310</v>
      </c>
      <c r="D50" s="1" t="s">
        <v>344</v>
      </c>
      <c r="E50" s="3" t="s">
        <v>357</v>
      </c>
    </row>
    <row r="51" spans="1:5" ht="318.75" x14ac:dyDescent="0.4">
      <c r="A51" s="1" t="s">
        <v>3</v>
      </c>
      <c r="B51" s="1" t="s">
        <v>363</v>
      </c>
      <c r="C51" s="1" t="s">
        <v>305</v>
      </c>
      <c r="D51" s="1" t="s">
        <v>359</v>
      </c>
      <c r="E51" s="3" t="s">
        <v>364</v>
      </c>
    </row>
    <row r="52" spans="1:5" ht="262.5" x14ac:dyDescent="0.4">
      <c r="A52" s="1" t="s">
        <v>3</v>
      </c>
      <c r="B52" s="1" t="s">
        <v>363</v>
      </c>
      <c r="C52" s="1" t="s">
        <v>303</v>
      </c>
      <c r="D52" s="1" t="s">
        <v>360</v>
      </c>
      <c r="E52" s="3" t="s">
        <v>347</v>
      </c>
    </row>
    <row r="53" spans="1:5" ht="262.5" x14ac:dyDescent="0.4">
      <c r="A53" s="1" t="s">
        <v>3</v>
      </c>
      <c r="B53" s="1" t="s">
        <v>363</v>
      </c>
      <c r="C53" s="1" t="s">
        <v>304</v>
      </c>
      <c r="D53" s="1" t="s">
        <v>361</v>
      </c>
      <c r="E53" s="3" t="s">
        <v>347</v>
      </c>
    </row>
    <row r="54" spans="1:5" ht="409.5" x14ac:dyDescent="0.4">
      <c r="A54" s="1" t="s">
        <v>3</v>
      </c>
      <c r="B54" s="1" t="s">
        <v>363</v>
      </c>
      <c r="C54" s="1" t="s">
        <v>307</v>
      </c>
      <c r="D54" s="1" t="s">
        <v>362</v>
      </c>
      <c r="E54" s="3" t="s">
        <v>365</v>
      </c>
    </row>
    <row r="55" spans="1:5" ht="409.5" x14ac:dyDescent="0.4">
      <c r="A55" s="1" t="s">
        <v>3</v>
      </c>
      <c r="B55" s="1" t="s">
        <v>367</v>
      </c>
      <c r="C55" s="1" t="s">
        <v>308</v>
      </c>
      <c r="D55" s="1" t="s">
        <v>366</v>
      </c>
      <c r="E55" s="3" t="s">
        <v>368</v>
      </c>
    </row>
    <row r="56" spans="1:5" ht="225" x14ac:dyDescent="0.4">
      <c r="A56" s="1" t="s">
        <v>3</v>
      </c>
      <c r="B56" s="1" t="s">
        <v>390</v>
      </c>
      <c r="C56" s="1" t="s">
        <v>371</v>
      </c>
      <c r="D56" s="1" t="s">
        <v>359</v>
      </c>
      <c r="E56" s="3" t="s">
        <v>391</v>
      </c>
    </row>
    <row r="57" spans="1:5" ht="131.25" x14ac:dyDescent="0.4">
      <c r="A57" s="1" t="s">
        <v>3</v>
      </c>
      <c r="B57" s="1" t="s">
        <v>390</v>
      </c>
      <c r="C57" s="1" t="s">
        <v>369</v>
      </c>
      <c r="D57" s="1" t="s">
        <v>360</v>
      </c>
      <c r="E57" s="3" t="s">
        <v>392</v>
      </c>
    </row>
    <row r="58" spans="1:5" ht="131.25" x14ac:dyDescent="0.4">
      <c r="A58" s="1" t="s">
        <v>3</v>
      </c>
      <c r="B58" s="1" t="s">
        <v>390</v>
      </c>
      <c r="C58" s="1" t="s">
        <v>373</v>
      </c>
      <c r="D58" s="1" t="s">
        <v>361</v>
      </c>
      <c r="E58" s="3" t="s">
        <v>393</v>
      </c>
    </row>
    <row r="59" spans="1:5" ht="281.25" x14ac:dyDescent="0.4">
      <c r="A59" s="1" t="s">
        <v>3</v>
      </c>
      <c r="B59" s="1" t="s">
        <v>390</v>
      </c>
      <c r="C59" s="1" t="s">
        <v>375</v>
      </c>
      <c r="D59" s="1" t="s">
        <v>362</v>
      </c>
      <c r="E59" s="3" t="s">
        <v>394</v>
      </c>
    </row>
    <row r="60" spans="1:5" ht="168.75" x14ac:dyDescent="0.4">
      <c r="A60" s="1" t="s">
        <v>3</v>
      </c>
      <c r="B60" s="1" t="s">
        <v>390</v>
      </c>
      <c r="C60" s="1" t="s">
        <v>305</v>
      </c>
      <c r="D60" s="1" t="s">
        <v>317</v>
      </c>
      <c r="E60" s="3" t="s">
        <v>395</v>
      </c>
    </row>
    <row r="61" spans="1:5" ht="168.75" x14ac:dyDescent="0.4">
      <c r="A61" s="1" t="s">
        <v>3</v>
      </c>
      <c r="B61" s="1" t="s">
        <v>390</v>
      </c>
      <c r="C61" s="1" t="s">
        <v>309</v>
      </c>
      <c r="D61" s="1" t="s">
        <v>340</v>
      </c>
      <c r="E61" s="3" t="s">
        <v>396</v>
      </c>
    </row>
    <row r="62" spans="1:5" ht="168.75" x14ac:dyDescent="0.4">
      <c r="A62" s="1" t="s">
        <v>3</v>
      </c>
      <c r="B62" s="1" t="s">
        <v>390</v>
      </c>
      <c r="C62" s="1" t="s">
        <v>310</v>
      </c>
      <c r="D62" s="1" t="s">
        <v>344</v>
      </c>
      <c r="E62" s="3" t="s">
        <v>397</v>
      </c>
    </row>
    <row r="63" spans="1:5" ht="187.5" x14ac:dyDescent="0.4">
      <c r="A63" s="1" t="s">
        <v>3</v>
      </c>
      <c r="B63" s="1" t="s">
        <v>407</v>
      </c>
      <c r="C63" s="1" t="s">
        <v>408</v>
      </c>
      <c r="D63" s="1" t="s">
        <v>1</v>
      </c>
      <c r="E63" s="3" t="s">
        <v>409</v>
      </c>
    </row>
    <row r="64" spans="1:5" ht="93.75" x14ac:dyDescent="0.4">
      <c r="A64" s="1" t="s">
        <v>3</v>
      </c>
      <c r="B64" s="1" t="s">
        <v>407</v>
      </c>
      <c r="C64" s="1" t="s">
        <v>43</v>
      </c>
      <c r="D64" s="1" t="s">
        <v>58</v>
      </c>
      <c r="E64" s="3" t="s">
        <v>428</v>
      </c>
    </row>
    <row r="65" spans="1:5" ht="93.75" x14ac:dyDescent="0.4">
      <c r="A65" s="1" t="s">
        <v>3</v>
      </c>
      <c r="B65" s="1" t="s">
        <v>407</v>
      </c>
      <c r="C65" s="1" t="s">
        <v>93</v>
      </c>
      <c r="D65" s="1" t="s">
        <v>110</v>
      </c>
      <c r="E65" s="3" t="s">
        <v>428</v>
      </c>
    </row>
    <row r="66" spans="1:5" ht="93.75" x14ac:dyDescent="0.4">
      <c r="A66" s="1" t="s">
        <v>3</v>
      </c>
      <c r="B66" s="1" t="s">
        <v>407</v>
      </c>
      <c r="C66" s="1" t="s">
        <v>94</v>
      </c>
      <c r="D66" s="1" t="s">
        <v>113</v>
      </c>
      <c r="E66" s="3" t="s">
        <v>428</v>
      </c>
    </row>
    <row r="67" spans="1:5" ht="93.75" x14ac:dyDescent="0.4">
      <c r="A67" s="1" t="s">
        <v>3</v>
      </c>
      <c r="B67" s="1" t="s">
        <v>407</v>
      </c>
      <c r="C67" s="1" t="s">
        <v>92</v>
      </c>
      <c r="D67" s="1" t="s">
        <v>117</v>
      </c>
      <c r="E67" s="3" t="s">
        <v>428</v>
      </c>
    </row>
    <row r="68" spans="1:5" ht="93.75" x14ac:dyDescent="0.4">
      <c r="A68" s="1" t="s">
        <v>3</v>
      </c>
      <c r="B68" s="1" t="s">
        <v>407</v>
      </c>
      <c r="C68" s="1" t="s">
        <v>172</v>
      </c>
      <c r="D68" s="1" t="s">
        <v>177</v>
      </c>
      <c r="E68" s="3" t="s">
        <v>428</v>
      </c>
    </row>
    <row r="69" spans="1:5" ht="93.75" x14ac:dyDescent="0.4">
      <c r="A69" s="1" t="s">
        <v>3</v>
      </c>
      <c r="B69" s="1" t="s">
        <v>407</v>
      </c>
      <c r="C69" s="1" t="s">
        <v>173</v>
      </c>
      <c r="D69" s="1" t="s">
        <v>182</v>
      </c>
      <c r="E69" s="3" t="s">
        <v>428</v>
      </c>
    </row>
    <row r="70" spans="1:5" ht="93.75" x14ac:dyDescent="0.4">
      <c r="A70" s="1" t="s">
        <v>3</v>
      </c>
      <c r="B70" s="1" t="s">
        <v>407</v>
      </c>
      <c r="C70" s="1" t="s">
        <v>98</v>
      </c>
      <c r="D70" s="1" t="s">
        <v>122</v>
      </c>
      <c r="E70" s="3" t="s">
        <v>428</v>
      </c>
    </row>
    <row r="71" spans="1:5" ht="93.75" x14ac:dyDescent="0.4">
      <c r="A71" s="1" t="s">
        <v>3</v>
      </c>
      <c r="B71" s="1" t="s">
        <v>407</v>
      </c>
      <c r="C71" s="1" t="s">
        <v>99</v>
      </c>
      <c r="D71" s="1" t="s">
        <v>127</v>
      </c>
      <c r="E71" s="3" t="s">
        <v>428</v>
      </c>
    </row>
    <row r="72" spans="1:5" ht="93.75" x14ac:dyDescent="0.4">
      <c r="A72" s="1" t="s">
        <v>3</v>
      </c>
      <c r="B72" s="1" t="s">
        <v>407</v>
      </c>
      <c r="C72" s="1" t="s">
        <v>188</v>
      </c>
      <c r="D72" s="1" t="s">
        <v>199</v>
      </c>
      <c r="E72" s="3" t="s">
        <v>428</v>
      </c>
    </row>
    <row r="73" spans="1:5" ht="93.75" x14ac:dyDescent="0.4">
      <c r="A73" s="1" t="s">
        <v>3</v>
      </c>
      <c r="B73" s="1" t="s">
        <v>407</v>
      </c>
      <c r="C73" s="1" t="s">
        <v>100</v>
      </c>
      <c r="D73" s="1" t="s">
        <v>134</v>
      </c>
      <c r="E73" s="3" t="s">
        <v>428</v>
      </c>
    </row>
    <row r="74" spans="1:5" ht="93.75" x14ac:dyDescent="0.4">
      <c r="A74" s="1" t="s">
        <v>3</v>
      </c>
      <c r="B74" s="1" t="s">
        <v>407</v>
      </c>
      <c r="C74" s="1" t="s">
        <v>189</v>
      </c>
      <c r="D74" s="1" t="s">
        <v>205</v>
      </c>
      <c r="E74" s="3" t="s">
        <v>428</v>
      </c>
    </row>
    <row r="75" spans="1:5" ht="93.75" x14ac:dyDescent="0.4">
      <c r="A75" s="1" t="s">
        <v>3</v>
      </c>
      <c r="B75" s="1" t="s">
        <v>407</v>
      </c>
      <c r="C75" s="1" t="s">
        <v>101</v>
      </c>
      <c r="D75" s="1" t="s">
        <v>139</v>
      </c>
      <c r="E75" s="3" t="s">
        <v>428</v>
      </c>
    </row>
    <row r="76" spans="1:5" ht="93.75" x14ac:dyDescent="0.4">
      <c r="A76" s="1" t="s">
        <v>3</v>
      </c>
      <c r="B76" s="1" t="s">
        <v>407</v>
      </c>
      <c r="C76" s="1" t="s">
        <v>102</v>
      </c>
      <c r="D76" s="1" t="s">
        <v>144</v>
      </c>
      <c r="E76" s="3" t="s">
        <v>428</v>
      </c>
    </row>
    <row r="77" spans="1:5" ht="93.75" x14ac:dyDescent="0.4">
      <c r="A77" s="1" t="s">
        <v>3</v>
      </c>
      <c r="B77" s="1" t="s">
        <v>407</v>
      </c>
      <c r="C77" s="1" t="s">
        <v>103</v>
      </c>
      <c r="D77" s="1" t="s">
        <v>183</v>
      </c>
      <c r="E77" s="3" t="s">
        <v>428</v>
      </c>
    </row>
    <row r="78" spans="1:5" ht="93.75" x14ac:dyDescent="0.4">
      <c r="A78" s="1" t="s">
        <v>3</v>
      </c>
      <c r="B78" s="1" t="s">
        <v>407</v>
      </c>
      <c r="C78" s="1" t="s">
        <v>190</v>
      </c>
      <c r="D78" s="1" t="s">
        <v>212</v>
      </c>
      <c r="E78" s="3" t="s">
        <v>428</v>
      </c>
    </row>
    <row r="79" spans="1:5" ht="93.75" x14ac:dyDescent="0.4">
      <c r="A79" s="1" t="s">
        <v>3</v>
      </c>
      <c r="B79" s="1" t="s">
        <v>407</v>
      </c>
      <c r="C79" s="1" t="s">
        <v>371</v>
      </c>
      <c r="D79" s="1" t="s">
        <v>359</v>
      </c>
      <c r="E79" s="3" t="s">
        <v>428</v>
      </c>
    </row>
    <row r="80" spans="1:5" ht="93.75" x14ac:dyDescent="0.4">
      <c r="A80" s="1" t="s">
        <v>3</v>
      </c>
      <c r="B80" s="1" t="s">
        <v>407</v>
      </c>
      <c r="C80" s="1" t="s">
        <v>369</v>
      </c>
      <c r="D80" s="1" t="s">
        <v>360</v>
      </c>
      <c r="E80" s="3" t="s">
        <v>428</v>
      </c>
    </row>
    <row r="81" spans="1:5" ht="93.75" x14ac:dyDescent="0.4">
      <c r="A81" s="1" t="s">
        <v>3</v>
      </c>
      <c r="B81" s="1" t="s">
        <v>407</v>
      </c>
      <c r="C81" s="1" t="s">
        <v>373</v>
      </c>
      <c r="D81" s="1" t="s">
        <v>361</v>
      </c>
      <c r="E81" s="3" t="s">
        <v>428</v>
      </c>
    </row>
    <row r="82" spans="1:5" ht="93.75" x14ac:dyDescent="0.4">
      <c r="A82" s="1" t="s">
        <v>3</v>
      </c>
      <c r="B82" s="1" t="s">
        <v>407</v>
      </c>
      <c r="C82" s="1" t="s">
        <v>375</v>
      </c>
      <c r="D82" s="1" t="s">
        <v>362</v>
      </c>
      <c r="E82" s="3" t="s">
        <v>428</v>
      </c>
    </row>
    <row r="83" spans="1:5" ht="93.75" x14ac:dyDescent="0.4">
      <c r="A83" s="1" t="s">
        <v>3</v>
      </c>
      <c r="B83" s="1" t="s">
        <v>407</v>
      </c>
      <c r="C83" s="1" t="s">
        <v>305</v>
      </c>
      <c r="D83" s="1" t="s">
        <v>317</v>
      </c>
      <c r="E83" s="3" t="s">
        <v>428</v>
      </c>
    </row>
    <row r="84" spans="1:5" ht="93.75" x14ac:dyDescent="0.4">
      <c r="A84" s="1" t="s">
        <v>3</v>
      </c>
      <c r="B84" s="1" t="s">
        <v>407</v>
      </c>
      <c r="C84" s="1" t="s">
        <v>303</v>
      </c>
      <c r="D84" s="1" t="s">
        <v>321</v>
      </c>
      <c r="E84" s="3" t="s">
        <v>428</v>
      </c>
    </row>
    <row r="85" spans="1:5" ht="93.75" x14ac:dyDescent="0.4">
      <c r="A85" s="1" t="s">
        <v>3</v>
      </c>
      <c r="B85" s="1" t="s">
        <v>407</v>
      </c>
      <c r="C85" s="1" t="s">
        <v>304</v>
      </c>
      <c r="D85" s="1" t="s">
        <v>324</v>
      </c>
      <c r="E85" s="3" t="s">
        <v>428</v>
      </c>
    </row>
    <row r="86" spans="1:5" ht="93.75" x14ac:dyDescent="0.4">
      <c r="A86" s="1" t="s">
        <v>3</v>
      </c>
      <c r="B86" s="1" t="s">
        <v>407</v>
      </c>
      <c r="C86" s="1" t="s">
        <v>307</v>
      </c>
      <c r="D86" s="1" t="s">
        <v>329</v>
      </c>
      <c r="E86" s="3" t="s">
        <v>428</v>
      </c>
    </row>
    <row r="87" spans="1:5" ht="93.75" x14ac:dyDescent="0.4">
      <c r="A87" s="1" t="s">
        <v>3</v>
      </c>
      <c r="B87" s="1" t="s">
        <v>407</v>
      </c>
      <c r="C87" s="1" t="s">
        <v>311</v>
      </c>
      <c r="D87" s="1" t="s">
        <v>332</v>
      </c>
      <c r="E87" s="3" t="s">
        <v>428</v>
      </c>
    </row>
    <row r="88" spans="1:5" ht="93.75" x14ac:dyDescent="0.4">
      <c r="A88" s="1" t="s">
        <v>3</v>
      </c>
      <c r="B88" s="1" t="s">
        <v>407</v>
      </c>
      <c r="C88" s="1" t="s">
        <v>308</v>
      </c>
      <c r="D88" s="1" t="s">
        <v>336</v>
      </c>
      <c r="E88" s="3" t="s">
        <v>428</v>
      </c>
    </row>
    <row r="89" spans="1:5" ht="93.75" x14ac:dyDescent="0.4">
      <c r="A89" s="1" t="s">
        <v>3</v>
      </c>
      <c r="B89" s="1" t="s">
        <v>407</v>
      </c>
      <c r="C89" s="1" t="s">
        <v>309</v>
      </c>
      <c r="D89" s="1" t="s">
        <v>340</v>
      </c>
      <c r="E89" s="3" t="s">
        <v>428</v>
      </c>
    </row>
    <row r="90" spans="1:5" ht="93.75" x14ac:dyDescent="0.4">
      <c r="A90" s="1" t="s">
        <v>3</v>
      </c>
      <c r="B90" s="1" t="s">
        <v>407</v>
      </c>
      <c r="C90" s="1" t="s">
        <v>310</v>
      </c>
      <c r="D90" s="1" t="s">
        <v>344</v>
      </c>
      <c r="E90" s="3" t="s">
        <v>428</v>
      </c>
    </row>
    <row r="91" spans="1:5" ht="93.75" x14ac:dyDescent="0.4">
      <c r="A91" s="1" t="s">
        <v>3</v>
      </c>
      <c r="B91" s="1" t="s">
        <v>407</v>
      </c>
      <c r="C91" s="1" t="s">
        <v>249</v>
      </c>
      <c r="D91" s="1" t="s">
        <v>257</v>
      </c>
      <c r="E91" s="3" t="s">
        <v>428</v>
      </c>
    </row>
    <row r="92" spans="1:5" ht="93.75" x14ac:dyDescent="0.4">
      <c r="A92" s="1" t="s">
        <v>3</v>
      </c>
      <c r="B92" s="1" t="s">
        <v>407</v>
      </c>
      <c r="C92" s="1" t="s">
        <v>248</v>
      </c>
      <c r="D92" s="1" t="s">
        <v>263</v>
      </c>
      <c r="E92" s="3" t="s">
        <v>428</v>
      </c>
    </row>
    <row r="93" spans="1:5" ht="131.25" x14ac:dyDescent="0.4">
      <c r="A93" s="1" t="s">
        <v>3</v>
      </c>
      <c r="B93" s="1" t="s">
        <v>407</v>
      </c>
      <c r="C93" s="1" t="s">
        <v>251</v>
      </c>
      <c r="D93" s="1" t="s">
        <v>269</v>
      </c>
      <c r="E93" s="3" t="s">
        <v>429</v>
      </c>
    </row>
    <row r="94" spans="1:5" ht="262.5" x14ac:dyDescent="0.4">
      <c r="A94" s="1" t="s">
        <v>3</v>
      </c>
      <c r="B94" s="1" t="s">
        <v>407</v>
      </c>
      <c r="C94" s="1" t="s">
        <v>252</v>
      </c>
      <c r="D94" s="1" t="s">
        <v>276</v>
      </c>
      <c r="E94" s="3" t="s">
        <v>430</v>
      </c>
    </row>
    <row r="95" spans="1:5" ht="93.75" x14ac:dyDescent="0.4">
      <c r="A95" s="1" t="s">
        <v>3</v>
      </c>
      <c r="B95" s="1" t="s">
        <v>407</v>
      </c>
      <c r="C95" s="1" t="s">
        <v>191</v>
      </c>
      <c r="D95" s="1" t="s">
        <v>217</v>
      </c>
      <c r="E95" s="3" t="s">
        <v>428</v>
      </c>
    </row>
    <row r="96" spans="1:5" ht="93.75" x14ac:dyDescent="0.4">
      <c r="A96" s="1" t="s">
        <v>3</v>
      </c>
      <c r="B96" s="1" t="s">
        <v>407</v>
      </c>
      <c r="C96" s="1" t="s">
        <v>253</v>
      </c>
      <c r="D96" s="1" t="s">
        <v>280</v>
      </c>
      <c r="E96" s="3" t="s">
        <v>428</v>
      </c>
    </row>
    <row r="97" spans="1:5" ht="93.75" x14ac:dyDescent="0.4">
      <c r="A97" s="1" t="s">
        <v>3</v>
      </c>
      <c r="B97" s="1" t="s">
        <v>407</v>
      </c>
      <c r="C97" s="1" t="s">
        <v>254</v>
      </c>
      <c r="D97" s="1" t="s">
        <v>286</v>
      </c>
      <c r="E97" s="3" t="s">
        <v>428</v>
      </c>
    </row>
    <row r="98" spans="1:5" ht="93.75" x14ac:dyDescent="0.4">
      <c r="A98" s="1" t="s">
        <v>3</v>
      </c>
      <c r="B98" s="1" t="s">
        <v>407</v>
      </c>
      <c r="C98" s="1" t="s">
        <v>192</v>
      </c>
      <c r="D98" s="1" t="s">
        <v>221</v>
      </c>
      <c r="E98" s="3" t="s">
        <v>428</v>
      </c>
    </row>
    <row r="99" spans="1:5" ht="93.75" x14ac:dyDescent="0.4">
      <c r="A99" s="1" t="s">
        <v>3</v>
      </c>
      <c r="B99" s="1" t="s">
        <v>407</v>
      </c>
      <c r="C99" s="1" t="s">
        <v>195</v>
      </c>
      <c r="D99" s="1" t="s">
        <v>226</v>
      </c>
      <c r="E99" s="3" t="s">
        <v>428</v>
      </c>
    </row>
    <row r="100" spans="1:5" ht="93.75" x14ac:dyDescent="0.4">
      <c r="A100" s="1" t="s">
        <v>3</v>
      </c>
      <c r="B100" s="1" t="s">
        <v>407</v>
      </c>
      <c r="C100" s="1" t="s">
        <v>255</v>
      </c>
      <c r="D100" s="1" t="s">
        <v>290</v>
      </c>
      <c r="E100" s="3" t="s">
        <v>428</v>
      </c>
    </row>
    <row r="101" spans="1:5" ht="93.75" x14ac:dyDescent="0.4">
      <c r="A101" s="1" t="s">
        <v>3</v>
      </c>
      <c r="B101" s="1" t="s">
        <v>407</v>
      </c>
      <c r="C101" s="1" t="s">
        <v>193</v>
      </c>
      <c r="D101" s="1" t="s">
        <v>230</v>
      </c>
      <c r="E101" s="3" t="s">
        <v>428</v>
      </c>
    </row>
    <row r="102" spans="1:5" ht="93.75" x14ac:dyDescent="0.4">
      <c r="A102" s="1" t="s">
        <v>3</v>
      </c>
      <c r="B102" s="1" t="s">
        <v>407</v>
      </c>
      <c r="C102" s="1" t="s">
        <v>194</v>
      </c>
      <c r="D102" s="1" t="s">
        <v>234</v>
      </c>
      <c r="E102" s="3" t="s">
        <v>428</v>
      </c>
    </row>
    <row r="103" spans="1:5" ht="409.5" x14ac:dyDescent="0.4">
      <c r="A103" s="1" t="s">
        <v>3</v>
      </c>
      <c r="B103" s="1" t="s">
        <v>407</v>
      </c>
      <c r="C103" s="1" t="s">
        <v>400</v>
      </c>
      <c r="D103" s="1" t="s">
        <v>417</v>
      </c>
      <c r="E103" s="3" t="s">
        <v>431</v>
      </c>
    </row>
    <row r="104" spans="1:5" ht="409.5" x14ac:dyDescent="0.4">
      <c r="A104" s="1" t="s">
        <v>3</v>
      </c>
      <c r="B104" s="1" t="s">
        <v>407</v>
      </c>
      <c r="C104" s="1" t="s">
        <v>401</v>
      </c>
      <c r="D104" s="1" t="s">
        <v>423</v>
      </c>
      <c r="E104" s="3" t="s">
        <v>432</v>
      </c>
    </row>
    <row r="105" spans="1:5" ht="409.5" x14ac:dyDescent="0.4">
      <c r="A105" s="1" t="s">
        <v>3</v>
      </c>
      <c r="B105" s="1" t="s">
        <v>407</v>
      </c>
      <c r="C105" s="1" t="s">
        <v>402</v>
      </c>
      <c r="D105" s="1" t="s">
        <v>404</v>
      </c>
      <c r="E105" s="3" t="s">
        <v>433</v>
      </c>
    </row>
    <row r="106" spans="1:5" ht="93.75" x14ac:dyDescent="0.4">
      <c r="A106" s="1" t="s">
        <v>3</v>
      </c>
      <c r="B106" s="1" t="s">
        <v>407</v>
      </c>
      <c r="C106" s="1" t="s">
        <v>47</v>
      </c>
      <c r="D106" s="1" t="s">
        <v>64</v>
      </c>
      <c r="E106" s="3" t="s">
        <v>428</v>
      </c>
    </row>
    <row r="107" spans="1:5" ht="93.75" x14ac:dyDescent="0.4">
      <c r="A107" s="1" t="s">
        <v>3</v>
      </c>
      <c r="B107" s="1" t="s">
        <v>407</v>
      </c>
      <c r="C107" s="1" t="s">
        <v>48</v>
      </c>
      <c r="D107" s="1" t="s">
        <v>71</v>
      </c>
      <c r="E107" s="3" t="s">
        <v>428</v>
      </c>
    </row>
    <row r="108" spans="1:5" x14ac:dyDescent="0.4">
      <c r="A108" s="1" t="s">
        <v>3</v>
      </c>
      <c r="B108" s="1" t="s">
        <v>407</v>
      </c>
      <c r="C108" s="1" t="s">
        <v>308</v>
      </c>
      <c r="D108" s="1" t="s">
        <v>366</v>
      </c>
      <c r="E108" s="1" t="s">
        <v>187</v>
      </c>
    </row>
    <row r="109" spans="1:5" ht="56.25" x14ac:dyDescent="0.4">
      <c r="A109" s="1" t="s">
        <v>3</v>
      </c>
      <c r="B109" s="1" t="s">
        <v>439</v>
      </c>
      <c r="C109" s="1" t="s">
        <v>434</v>
      </c>
      <c r="D109" s="1" t="s">
        <v>246</v>
      </c>
      <c r="E109" s="3" t="s">
        <v>247</v>
      </c>
    </row>
    <row r="110" spans="1:5" ht="56.25" x14ac:dyDescent="0.4">
      <c r="A110" s="1" t="s">
        <v>3</v>
      </c>
      <c r="B110" s="1" t="s">
        <v>439</v>
      </c>
      <c r="C110" s="1" t="s">
        <v>435</v>
      </c>
      <c r="D110" s="1" t="s">
        <v>246</v>
      </c>
      <c r="E110" s="3" t="s">
        <v>247</v>
      </c>
    </row>
    <row r="111" spans="1:5" ht="56.25" x14ac:dyDescent="0.4">
      <c r="A111" s="1" t="s">
        <v>3</v>
      </c>
      <c r="B111" s="1" t="s">
        <v>439</v>
      </c>
      <c r="C111" s="1" t="s">
        <v>436</v>
      </c>
      <c r="D111" s="1" t="s">
        <v>246</v>
      </c>
      <c r="E111" s="3" t="s">
        <v>247</v>
      </c>
    </row>
    <row r="112" spans="1:5" ht="281.25" x14ac:dyDescent="0.4">
      <c r="A112" s="1" t="s">
        <v>3</v>
      </c>
      <c r="B112" s="1" t="s">
        <v>439</v>
      </c>
      <c r="C112" s="1" t="s">
        <v>437</v>
      </c>
      <c r="D112" s="1" t="s">
        <v>246</v>
      </c>
      <c r="E112" s="3" t="s">
        <v>440</v>
      </c>
    </row>
    <row r="113" spans="1:5" ht="281.25" x14ac:dyDescent="0.4">
      <c r="A113" s="1" t="s">
        <v>3</v>
      </c>
      <c r="B113" s="1" t="s">
        <v>439</v>
      </c>
      <c r="C113" s="1" t="s">
        <v>438</v>
      </c>
      <c r="D113" s="1" t="s">
        <v>246</v>
      </c>
      <c r="E113" s="3" t="s">
        <v>440</v>
      </c>
    </row>
    <row r="114" spans="1:5" x14ac:dyDescent="0.4">
      <c r="A114" s="1" t="s">
        <v>3</v>
      </c>
      <c r="B114" s="1" t="s">
        <v>439</v>
      </c>
      <c r="C114" s="1" t="s">
        <v>244</v>
      </c>
      <c r="D114" s="1" t="s">
        <v>246</v>
      </c>
      <c r="E114" s="1" t="s">
        <v>187</v>
      </c>
    </row>
    <row r="115" spans="1:5" x14ac:dyDescent="0.4">
      <c r="A115" s="1" t="s">
        <v>3</v>
      </c>
      <c r="B115" s="1" t="s">
        <v>439</v>
      </c>
      <c r="C115" s="1" t="s">
        <v>299</v>
      </c>
      <c r="D115" s="1" t="s">
        <v>246</v>
      </c>
      <c r="E115" s="1" t="s">
        <v>187</v>
      </c>
    </row>
    <row r="116" spans="1:5" x14ac:dyDescent="0.4">
      <c r="A116" s="1" t="s">
        <v>3</v>
      </c>
      <c r="B116" s="1" t="s">
        <v>439</v>
      </c>
      <c r="C116" s="1" t="s">
        <v>353</v>
      </c>
      <c r="D116" s="1" t="s">
        <v>246</v>
      </c>
      <c r="E116" s="1" t="s">
        <v>187</v>
      </c>
    </row>
    <row r="117" spans="1:5" ht="37.5" x14ac:dyDescent="0.4">
      <c r="A117" s="1" t="s">
        <v>3</v>
      </c>
      <c r="B117" s="1" t="s">
        <v>439</v>
      </c>
      <c r="C117" s="1" t="s">
        <v>5</v>
      </c>
      <c r="D117" s="1" t="s">
        <v>1</v>
      </c>
      <c r="E117" s="3" t="s">
        <v>6</v>
      </c>
    </row>
    <row r="118" spans="1:5" ht="262.5" x14ac:dyDescent="0.4">
      <c r="A118" s="1" t="s">
        <v>3</v>
      </c>
      <c r="B118" s="1" t="s">
        <v>443</v>
      </c>
      <c r="C118" s="1" t="s">
        <v>39</v>
      </c>
      <c r="D118" s="1" t="s">
        <v>1</v>
      </c>
      <c r="E118" s="3" t="s">
        <v>444</v>
      </c>
    </row>
    <row r="119" spans="1:5" ht="243.75" x14ac:dyDescent="0.4">
      <c r="A119" s="1" t="s">
        <v>3</v>
      </c>
      <c r="B119" s="1" t="s">
        <v>446</v>
      </c>
      <c r="C119" s="1" t="s">
        <v>371</v>
      </c>
      <c r="D119" s="1" t="s">
        <v>359</v>
      </c>
      <c r="E119" s="3" t="s">
        <v>447</v>
      </c>
    </row>
    <row r="120" spans="1:5" ht="262.5" x14ac:dyDescent="0.4">
      <c r="A120" s="1" t="s">
        <v>3</v>
      </c>
      <c r="B120" s="1" t="s">
        <v>446</v>
      </c>
      <c r="C120" s="1" t="s">
        <v>305</v>
      </c>
      <c r="D120" s="1" t="s">
        <v>317</v>
      </c>
      <c r="E120" s="3" t="s">
        <v>448</v>
      </c>
    </row>
    <row r="121" spans="1:5" ht="131.25" x14ac:dyDescent="0.4">
      <c r="A121" s="1" t="s">
        <v>3</v>
      </c>
      <c r="B121" s="1" t="s">
        <v>446</v>
      </c>
      <c r="C121" s="1" t="s">
        <v>311</v>
      </c>
      <c r="D121" s="1" t="s">
        <v>332</v>
      </c>
      <c r="E121" s="3" t="s">
        <v>449</v>
      </c>
    </row>
    <row r="122" spans="1:5" ht="262.5" x14ac:dyDescent="0.4">
      <c r="A122" s="1" t="s">
        <v>3</v>
      </c>
      <c r="B122" s="1" t="s">
        <v>451</v>
      </c>
      <c r="C122" s="1" t="s">
        <v>248</v>
      </c>
      <c r="D122" s="1" t="s">
        <v>450</v>
      </c>
      <c r="E122" s="3" t="s">
        <v>452</v>
      </c>
    </row>
    <row r="123" spans="1:5" ht="300" x14ac:dyDescent="0.4">
      <c r="A123" s="1" t="s">
        <v>3</v>
      </c>
      <c r="B123" s="1" t="s">
        <v>454</v>
      </c>
      <c r="C123" s="1" t="s">
        <v>248</v>
      </c>
      <c r="D123" s="1" t="s">
        <v>453</v>
      </c>
      <c r="E123" s="3" t="s">
        <v>455</v>
      </c>
    </row>
    <row r="124" spans="1:5" x14ac:dyDescent="0.4">
      <c r="A124" s="1" t="s">
        <v>3</v>
      </c>
      <c r="B124" s="1" t="s">
        <v>454</v>
      </c>
      <c r="C124" s="1" t="s">
        <v>248</v>
      </c>
      <c r="D124" s="1" t="s">
        <v>450</v>
      </c>
      <c r="E124" s="1" t="s">
        <v>187</v>
      </c>
    </row>
    <row r="125" spans="1:5" x14ac:dyDescent="0.4">
      <c r="A125" s="1" t="s">
        <v>3</v>
      </c>
      <c r="B125" s="1" t="s">
        <v>454</v>
      </c>
      <c r="C125" s="1" t="s">
        <v>248</v>
      </c>
      <c r="D125" s="1" t="s">
        <v>263</v>
      </c>
      <c r="E125" s="1" t="s">
        <v>187</v>
      </c>
    </row>
    <row r="126" spans="1:5" ht="112.5" x14ac:dyDescent="0.4">
      <c r="A126" s="1" t="s">
        <v>3</v>
      </c>
      <c r="B126" s="1" t="s">
        <v>456</v>
      </c>
      <c r="C126" s="1" t="s">
        <v>248</v>
      </c>
      <c r="D126" s="1" t="s">
        <v>453</v>
      </c>
      <c r="E126" s="3" t="s">
        <v>457</v>
      </c>
    </row>
    <row r="127" spans="1:5" ht="409.5" x14ac:dyDescent="0.4">
      <c r="A127" s="1" t="s">
        <v>3</v>
      </c>
      <c r="B127" s="1" t="s">
        <v>467</v>
      </c>
      <c r="C127" s="1" t="s">
        <v>190</v>
      </c>
      <c r="D127" s="1" t="s">
        <v>461</v>
      </c>
      <c r="E127" s="3" t="s">
        <v>468</v>
      </c>
    </row>
    <row r="128" spans="1:5" ht="409.5" x14ac:dyDescent="0.4">
      <c r="A128" s="1" t="s">
        <v>3</v>
      </c>
      <c r="B128" s="1" t="s">
        <v>467</v>
      </c>
      <c r="C128" s="1" t="s">
        <v>459</v>
      </c>
      <c r="D128" s="1" t="s">
        <v>466</v>
      </c>
      <c r="E128" s="3" t="s">
        <v>469</v>
      </c>
    </row>
    <row r="129" spans="1:5" x14ac:dyDescent="0.4">
      <c r="A129" s="1" t="s">
        <v>3</v>
      </c>
      <c r="B129" s="1" t="s">
        <v>467</v>
      </c>
      <c r="C129" s="1" t="s">
        <v>190</v>
      </c>
      <c r="D129" s="1" t="s">
        <v>212</v>
      </c>
      <c r="E129" s="1" t="s">
        <v>187</v>
      </c>
    </row>
    <row r="130" spans="1:5" ht="56.25" x14ac:dyDescent="0.4">
      <c r="A130" s="1" t="s">
        <v>3</v>
      </c>
      <c r="B130" s="1" t="s">
        <v>471</v>
      </c>
      <c r="C130" s="1" t="s">
        <v>470</v>
      </c>
      <c r="D130" s="1" t="s">
        <v>246</v>
      </c>
      <c r="E130" s="3" t="s">
        <v>247</v>
      </c>
    </row>
    <row r="131" spans="1:5" x14ac:dyDescent="0.4">
      <c r="A131" s="1" t="s">
        <v>3</v>
      </c>
      <c r="B131" s="1" t="s">
        <v>471</v>
      </c>
      <c r="C131" s="1" t="s">
        <v>434</v>
      </c>
      <c r="D131" s="1" t="s">
        <v>246</v>
      </c>
      <c r="E131" s="1" t="s">
        <v>187</v>
      </c>
    </row>
    <row r="132" spans="1:5" ht="409.5" x14ac:dyDescent="0.4">
      <c r="A132" s="1" t="s">
        <v>3</v>
      </c>
      <c r="B132" s="1" t="s">
        <v>472</v>
      </c>
      <c r="C132" s="1" t="s">
        <v>459</v>
      </c>
      <c r="D132" s="1" t="s">
        <v>466</v>
      </c>
      <c r="E132" s="3" t="s">
        <v>473</v>
      </c>
    </row>
    <row r="133" spans="1:5" ht="409.5" x14ac:dyDescent="0.4">
      <c r="A133" s="1" t="s">
        <v>3</v>
      </c>
      <c r="B133" s="1" t="s">
        <v>474</v>
      </c>
      <c r="C133" s="1" t="s">
        <v>459</v>
      </c>
      <c r="D133" s="1" t="s">
        <v>466</v>
      </c>
      <c r="E133" s="3" t="s">
        <v>473</v>
      </c>
    </row>
    <row r="134" spans="1:5" ht="337.5" x14ac:dyDescent="0.4">
      <c r="A134" s="1" t="s">
        <v>3</v>
      </c>
      <c r="B134" s="1" t="s">
        <v>480</v>
      </c>
      <c r="C134" s="1" t="s">
        <v>191</v>
      </c>
      <c r="D134" s="1" t="s">
        <v>477</v>
      </c>
      <c r="E134" s="3" t="s">
        <v>481</v>
      </c>
    </row>
    <row r="135" spans="1:5" ht="262.5" x14ac:dyDescent="0.4">
      <c r="A135" s="1" t="s">
        <v>3</v>
      </c>
      <c r="B135" s="1" t="s">
        <v>480</v>
      </c>
      <c r="C135" s="1" t="s">
        <v>475</v>
      </c>
      <c r="D135" s="1" t="s">
        <v>478</v>
      </c>
      <c r="E135" s="3" t="s">
        <v>482</v>
      </c>
    </row>
    <row r="136" spans="1:5" ht="262.5" x14ac:dyDescent="0.4">
      <c r="A136" s="1" t="s">
        <v>3</v>
      </c>
      <c r="B136" s="1" t="s">
        <v>480</v>
      </c>
      <c r="C136" s="1" t="s">
        <v>195</v>
      </c>
      <c r="D136" s="1" t="s">
        <v>479</v>
      </c>
      <c r="E136" s="3" t="s">
        <v>483</v>
      </c>
    </row>
    <row r="137" spans="1:5" x14ac:dyDescent="0.4">
      <c r="A137" s="1" t="s">
        <v>3</v>
      </c>
      <c r="B137" s="1" t="s">
        <v>480</v>
      </c>
      <c r="C137" s="1" t="s">
        <v>191</v>
      </c>
      <c r="D137" s="1" t="s">
        <v>217</v>
      </c>
      <c r="E137" s="1" t="s">
        <v>187</v>
      </c>
    </row>
    <row r="138" spans="1:5" ht="337.5" x14ac:dyDescent="0.4">
      <c r="A138" s="1" t="s">
        <v>3</v>
      </c>
      <c r="B138" s="1" t="s">
        <v>484</v>
      </c>
      <c r="C138" s="1" t="s">
        <v>191</v>
      </c>
      <c r="D138" s="1" t="s">
        <v>217</v>
      </c>
      <c r="E138" s="3" t="s">
        <v>485</v>
      </c>
    </row>
    <row r="139" spans="1:5" x14ac:dyDescent="0.4">
      <c r="A139" s="1" t="s">
        <v>3</v>
      </c>
      <c r="B139" s="1" t="s">
        <v>484</v>
      </c>
      <c r="C139" s="1" t="s">
        <v>191</v>
      </c>
      <c r="D139" s="1" t="s">
        <v>477</v>
      </c>
      <c r="E139" s="1" t="s">
        <v>187</v>
      </c>
    </row>
    <row r="140" spans="1:5" x14ac:dyDescent="0.4">
      <c r="A140" s="1" t="s">
        <v>3</v>
      </c>
      <c r="B140" s="1" t="s">
        <v>484</v>
      </c>
      <c r="C140" s="1" t="s">
        <v>475</v>
      </c>
      <c r="D140" s="1" t="s">
        <v>478</v>
      </c>
      <c r="E140" s="1" t="s">
        <v>187</v>
      </c>
    </row>
    <row r="141" spans="1:5" x14ac:dyDescent="0.4">
      <c r="A141" s="1" t="s">
        <v>3</v>
      </c>
      <c r="B141" s="1" t="s">
        <v>484</v>
      </c>
      <c r="C141" s="1" t="s">
        <v>195</v>
      </c>
      <c r="D141" s="1" t="s">
        <v>479</v>
      </c>
      <c r="E141" s="1" t="s">
        <v>187</v>
      </c>
    </row>
    <row r="142" spans="1:5" ht="150" x14ac:dyDescent="0.4">
      <c r="A142" s="1" t="s">
        <v>3</v>
      </c>
      <c r="B142" s="1" t="s">
        <v>487</v>
      </c>
      <c r="C142" s="1" t="s">
        <v>371</v>
      </c>
      <c r="D142" s="1" t="s">
        <v>359</v>
      </c>
      <c r="E142" s="3" t="s">
        <v>488</v>
      </c>
    </row>
    <row r="143" spans="1:5" ht="187.5" x14ac:dyDescent="0.4">
      <c r="A143" s="1" t="s">
        <v>3</v>
      </c>
      <c r="B143" s="1" t="s">
        <v>494</v>
      </c>
      <c r="C143" s="1" t="s">
        <v>489</v>
      </c>
      <c r="D143" s="1" t="s">
        <v>183</v>
      </c>
      <c r="E143" s="3" t="s">
        <v>495</v>
      </c>
    </row>
    <row r="144" spans="1:5" ht="56.25" x14ac:dyDescent="0.4">
      <c r="A144" s="1" t="s">
        <v>3</v>
      </c>
      <c r="B144" s="1" t="s">
        <v>497</v>
      </c>
      <c r="C144" s="1" t="s">
        <v>496</v>
      </c>
      <c r="D144" s="1" t="s">
        <v>246</v>
      </c>
      <c r="E144" s="3" t="s">
        <v>247</v>
      </c>
    </row>
    <row r="145" spans="1:5" ht="150" x14ac:dyDescent="0.4">
      <c r="A145" s="1" t="s">
        <v>3</v>
      </c>
      <c r="B145" s="1" t="s">
        <v>497</v>
      </c>
      <c r="C145" s="1" t="s">
        <v>39</v>
      </c>
      <c r="D145" s="1" t="s">
        <v>1</v>
      </c>
      <c r="E145" s="3" t="s">
        <v>498</v>
      </c>
    </row>
    <row r="146" spans="1:5" ht="206.25" x14ac:dyDescent="0.4">
      <c r="A146" s="1" t="s">
        <v>3</v>
      </c>
      <c r="B146" s="1" t="s">
        <v>499</v>
      </c>
      <c r="C146" s="1" t="s">
        <v>307</v>
      </c>
      <c r="D146" s="1" t="s">
        <v>329</v>
      </c>
      <c r="E146" s="3" t="s">
        <v>500</v>
      </c>
    </row>
    <row r="147" spans="1:5" ht="318.75" x14ac:dyDescent="0.4">
      <c r="A147" s="1" t="s">
        <v>3</v>
      </c>
      <c r="B147" s="1" t="s">
        <v>499</v>
      </c>
      <c r="C147" s="1" t="s">
        <v>311</v>
      </c>
      <c r="D147" s="1" t="s">
        <v>332</v>
      </c>
      <c r="E147" s="3" t="s">
        <v>501</v>
      </c>
    </row>
    <row r="148" spans="1:5" ht="206.25" x14ac:dyDescent="0.4">
      <c r="A148" s="1" t="s">
        <v>3</v>
      </c>
      <c r="B148" s="1" t="s">
        <v>499</v>
      </c>
      <c r="C148" s="1" t="s">
        <v>308</v>
      </c>
      <c r="D148" s="1" t="s">
        <v>336</v>
      </c>
      <c r="E148" s="3" t="s">
        <v>502</v>
      </c>
    </row>
    <row r="149" spans="1:5" ht="206.25" x14ac:dyDescent="0.4">
      <c r="A149" s="1" t="s">
        <v>3</v>
      </c>
      <c r="B149" s="1" t="s">
        <v>499</v>
      </c>
      <c r="C149" s="1" t="s">
        <v>309</v>
      </c>
      <c r="D149" s="1" t="s">
        <v>340</v>
      </c>
      <c r="E149" s="3" t="s">
        <v>502</v>
      </c>
    </row>
    <row r="150" spans="1:5" ht="206.25" x14ac:dyDescent="0.4">
      <c r="A150" s="1" t="s">
        <v>3</v>
      </c>
      <c r="B150" s="1" t="s">
        <v>499</v>
      </c>
      <c r="C150" s="1" t="s">
        <v>310</v>
      </c>
      <c r="D150" s="1" t="s">
        <v>344</v>
      </c>
      <c r="E150" s="3" t="s">
        <v>502</v>
      </c>
    </row>
    <row r="151" spans="1:5" ht="56.25" x14ac:dyDescent="0.4">
      <c r="A151" s="1" t="s">
        <v>3</v>
      </c>
      <c r="B151" s="1" t="s">
        <v>499</v>
      </c>
      <c r="C151" s="1" t="s">
        <v>503</v>
      </c>
      <c r="D151" s="1" t="s">
        <v>246</v>
      </c>
      <c r="E151" s="3" t="s">
        <v>247</v>
      </c>
    </row>
    <row r="152" spans="1:5" ht="56.25" x14ac:dyDescent="0.4">
      <c r="A152" s="1" t="s">
        <v>3</v>
      </c>
      <c r="B152" s="1" t="s">
        <v>499</v>
      </c>
      <c r="C152" s="1" t="s">
        <v>504</v>
      </c>
      <c r="D152" s="1" t="s">
        <v>246</v>
      </c>
      <c r="E152" s="3" t="s">
        <v>247</v>
      </c>
    </row>
    <row r="153" spans="1:5" x14ac:dyDescent="0.4">
      <c r="A153" s="1" t="s">
        <v>3</v>
      </c>
      <c r="B153" s="1" t="s">
        <v>499</v>
      </c>
      <c r="C153" s="1" t="s">
        <v>435</v>
      </c>
      <c r="D153" s="1" t="s">
        <v>246</v>
      </c>
      <c r="E153" s="1" t="s">
        <v>187</v>
      </c>
    </row>
    <row r="154" spans="1:5" ht="206.25" x14ac:dyDescent="0.4">
      <c r="A154" s="1" t="s">
        <v>3</v>
      </c>
      <c r="B154" s="1" t="s">
        <v>506</v>
      </c>
      <c r="C154" s="1" t="s">
        <v>307</v>
      </c>
      <c r="D154" s="1" t="s">
        <v>329</v>
      </c>
      <c r="E154" s="3" t="s">
        <v>507</v>
      </c>
    </row>
    <row r="155" spans="1:5" ht="206.25" x14ac:dyDescent="0.4">
      <c r="A155" s="1" t="s">
        <v>3</v>
      </c>
      <c r="B155" s="1" t="s">
        <v>506</v>
      </c>
      <c r="C155" s="1" t="s">
        <v>311</v>
      </c>
      <c r="D155" s="1" t="s">
        <v>332</v>
      </c>
      <c r="E155" s="3" t="s">
        <v>508</v>
      </c>
    </row>
    <row r="156" spans="1:5" ht="206.25" x14ac:dyDescent="0.4">
      <c r="A156" s="1" t="s">
        <v>3</v>
      </c>
      <c r="B156" s="1" t="s">
        <v>506</v>
      </c>
      <c r="C156" s="1" t="s">
        <v>308</v>
      </c>
      <c r="D156" s="1" t="s">
        <v>336</v>
      </c>
      <c r="E156" s="3" t="s">
        <v>508</v>
      </c>
    </row>
    <row r="157" spans="1:5" ht="206.25" x14ac:dyDescent="0.4">
      <c r="A157" s="1" t="s">
        <v>3</v>
      </c>
      <c r="B157" s="1" t="s">
        <v>506</v>
      </c>
      <c r="C157" s="1" t="s">
        <v>309</v>
      </c>
      <c r="D157" s="1" t="s">
        <v>340</v>
      </c>
      <c r="E157" s="3" t="s">
        <v>508</v>
      </c>
    </row>
    <row r="158" spans="1:5" ht="206.25" x14ac:dyDescent="0.4">
      <c r="A158" s="1" t="s">
        <v>3</v>
      </c>
      <c r="B158" s="1" t="s">
        <v>506</v>
      </c>
      <c r="C158" s="1" t="s">
        <v>310</v>
      </c>
      <c r="D158" s="1" t="s">
        <v>344</v>
      </c>
      <c r="E158" s="3" t="s">
        <v>508</v>
      </c>
    </row>
    <row r="159" spans="1:5" ht="56.25" x14ac:dyDescent="0.4">
      <c r="A159" s="1" t="s">
        <v>3</v>
      </c>
      <c r="B159" s="1" t="s">
        <v>506</v>
      </c>
      <c r="C159" s="1" t="s">
        <v>435</v>
      </c>
      <c r="D159" s="1" t="s">
        <v>246</v>
      </c>
      <c r="E159" s="3" t="s">
        <v>247</v>
      </c>
    </row>
    <row r="160" spans="1:5" x14ac:dyDescent="0.4">
      <c r="A160" s="1" t="s">
        <v>3</v>
      </c>
      <c r="B160" s="1" t="s">
        <v>506</v>
      </c>
      <c r="C160" s="1" t="s">
        <v>503</v>
      </c>
      <c r="D160" s="1" t="s">
        <v>246</v>
      </c>
      <c r="E160" s="1" t="s">
        <v>187</v>
      </c>
    </row>
    <row r="161" spans="1:5" x14ac:dyDescent="0.4">
      <c r="A161" s="1" t="s">
        <v>3</v>
      </c>
      <c r="B161" s="1" t="s">
        <v>506</v>
      </c>
      <c r="C161" s="1" t="s">
        <v>504</v>
      </c>
      <c r="D161" s="1" t="s">
        <v>246</v>
      </c>
      <c r="E161" s="1" t="s">
        <v>187</v>
      </c>
    </row>
    <row r="162" spans="1:5" ht="243.75" x14ac:dyDescent="0.4">
      <c r="A162" s="1" t="s">
        <v>3</v>
      </c>
      <c r="B162" s="1" t="s">
        <v>510</v>
      </c>
      <c r="C162" s="1" t="s">
        <v>305</v>
      </c>
      <c r="D162" s="1" t="s">
        <v>317</v>
      </c>
      <c r="E162" s="3" t="s">
        <v>511</v>
      </c>
    </row>
    <row r="163" spans="1:5" ht="187.5" x14ac:dyDescent="0.4">
      <c r="A163" s="1" t="s">
        <v>3</v>
      </c>
      <c r="B163" s="1" t="s">
        <v>510</v>
      </c>
      <c r="C163" s="1" t="s">
        <v>307</v>
      </c>
      <c r="D163" s="1" t="s">
        <v>329</v>
      </c>
      <c r="E163" s="3" t="s">
        <v>512</v>
      </c>
    </row>
    <row r="164" spans="1:5" ht="409.5" x14ac:dyDescent="0.4">
      <c r="A164" s="1" t="s">
        <v>3</v>
      </c>
      <c r="B164" s="1" t="s">
        <v>516</v>
      </c>
      <c r="C164" s="1" t="s">
        <v>311</v>
      </c>
      <c r="D164" s="1" t="s">
        <v>332</v>
      </c>
      <c r="E164" s="3" t="s">
        <v>517</v>
      </c>
    </row>
    <row r="165" spans="1:5" ht="243.75" x14ac:dyDescent="0.4">
      <c r="A165" s="1" t="s">
        <v>3</v>
      </c>
      <c r="B165" s="1" t="s">
        <v>516</v>
      </c>
      <c r="C165" s="1" t="s">
        <v>308</v>
      </c>
      <c r="D165" s="1" t="s">
        <v>336</v>
      </c>
      <c r="E165" s="3" t="s">
        <v>518</v>
      </c>
    </row>
    <row r="166" spans="1:5" ht="243.75" x14ac:dyDescent="0.4">
      <c r="A166" s="1" t="s">
        <v>3</v>
      </c>
      <c r="B166" s="1" t="s">
        <v>516</v>
      </c>
      <c r="C166" s="1" t="s">
        <v>309</v>
      </c>
      <c r="D166" s="1" t="s">
        <v>340</v>
      </c>
      <c r="E166" s="3" t="s">
        <v>519</v>
      </c>
    </row>
    <row r="167" spans="1:5" ht="243.75" x14ac:dyDescent="0.4">
      <c r="A167" s="1" t="s">
        <v>3</v>
      </c>
      <c r="B167" s="1" t="s">
        <v>516</v>
      </c>
      <c r="C167" s="1" t="s">
        <v>310</v>
      </c>
      <c r="D167" s="1" t="s">
        <v>344</v>
      </c>
      <c r="E167" s="3" t="s">
        <v>520</v>
      </c>
    </row>
    <row r="168" spans="1:5" x14ac:dyDescent="0.4">
      <c r="A168" s="1" t="s">
        <v>3</v>
      </c>
      <c r="B168" s="1" t="s">
        <v>516</v>
      </c>
      <c r="C168" s="1" t="s">
        <v>435</v>
      </c>
      <c r="D168" s="1" t="s">
        <v>246</v>
      </c>
      <c r="E168" s="1" t="s">
        <v>187</v>
      </c>
    </row>
    <row r="169" spans="1:5" ht="262.5" x14ac:dyDescent="0.4">
      <c r="A169" s="1" t="s">
        <v>3</v>
      </c>
      <c r="B169" s="1" t="s">
        <v>522</v>
      </c>
      <c r="C169" s="1" t="s">
        <v>305</v>
      </c>
      <c r="D169" s="1" t="s">
        <v>317</v>
      </c>
      <c r="E169" s="3" t="s">
        <v>523</v>
      </c>
    </row>
    <row r="170" spans="1:5" ht="243.75" x14ac:dyDescent="0.4">
      <c r="A170" s="1" t="s">
        <v>3</v>
      </c>
      <c r="B170" s="1" t="s">
        <v>522</v>
      </c>
      <c r="C170" s="1" t="s">
        <v>311</v>
      </c>
      <c r="D170" s="1" t="s">
        <v>332</v>
      </c>
      <c r="E170" s="3" t="s">
        <v>524</v>
      </c>
    </row>
    <row r="171" spans="1:5" ht="75" x14ac:dyDescent="0.4">
      <c r="A171" s="1" t="s">
        <v>3</v>
      </c>
      <c r="B171" s="1" t="s">
        <v>525</v>
      </c>
      <c r="C171" s="1" t="s">
        <v>251</v>
      </c>
      <c r="D171" s="1" t="s">
        <v>269</v>
      </c>
      <c r="E171" s="3" t="s">
        <v>526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E66EB-878C-4EA8-B69E-464116C27700}">
  <dimension ref="A1:I6"/>
  <sheetViews>
    <sheetView workbookViewId="0"/>
  </sheetViews>
  <sheetFormatPr defaultRowHeight="18.75" x14ac:dyDescent="0.4"/>
  <cols>
    <col min="1" max="16384" width="9" style="2"/>
  </cols>
  <sheetData>
    <row r="1" spans="1:9" x14ac:dyDescent="0.4">
      <c r="A1" s="2" t="s">
        <v>36</v>
      </c>
      <c r="B1" s="2" t="s">
        <v>10</v>
      </c>
      <c r="C1" s="2" t="s">
        <v>11</v>
      </c>
      <c r="D1" s="2" t="s">
        <v>28</v>
      </c>
      <c r="E1" s="2" t="s">
        <v>25</v>
      </c>
      <c r="F1" s="2" t="s">
        <v>23</v>
      </c>
      <c r="G1" s="2" t="s">
        <v>24</v>
      </c>
      <c r="H1" s="2" t="s">
        <v>37</v>
      </c>
      <c r="I1" s="2" t="s">
        <v>30</v>
      </c>
    </row>
    <row r="2" spans="1:9" x14ac:dyDescent="0.4">
      <c r="A2" s="2" t="s">
        <v>436</v>
      </c>
      <c r="B2" s="2" t="s">
        <v>104</v>
      </c>
      <c r="C2" s="2" t="s">
        <v>264</v>
      </c>
      <c r="D2" s="2" t="s">
        <v>270</v>
      </c>
      <c r="E2" s="2" t="s">
        <v>1</v>
      </c>
      <c r="F2" s="2" t="s">
        <v>1</v>
      </c>
      <c r="G2" s="2" t="s">
        <v>1</v>
      </c>
      <c r="H2" s="2" t="s">
        <v>7</v>
      </c>
      <c r="I2" s="2" t="s">
        <v>410</v>
      </c>
    </row>
    <row r="3" spans="1:9" x14ac:dyDescent="0.4">
      <c r="A3" s="2" t="s">
        <v>437</v>
      </c>
      <c r="B3" s="2" t="s">
        <v>128</v>
      </c>
      <c r="C3" s="2" t="s">
        <v>411</v>
      </c>
      <c r="D3" s="2" t="s">
        <v>418</v>
      </c>
      <c r="E3" s="2" t="s">
        <v>1</v>
      </c>
      <c r="F3" s="2" t="s">
        <v>415</v>
      </c>
      <c r="G3" s="2" t="s">
        <v>416</v>
      </c>
      <c r="H3" s="2" t="s">
        <v>398</v>
      </c>
      <c r="I3" s="2" t="s">
        <v>410</v>
      </c>
    </row>
    <row r="4" spans="1:9" x14ac:dyDescent="0.4">
      <c r="A4" s="2" t="s">
        <v>438</v>
      </c>
      <c r="B4" s="2" t="s">
        <v>128</v>
      </c>
      <c r="C4" s="2" t="s">
        <v>411</v>
      </c>
      <c r="D4" s="2" t="s">
        <v>418</v>
      </c>
      <c r="E4" s="2" t="s">
        <v>1</v>
      </c>
      <c r="F4" s="2" t="s">
        <v>415</v>
      </c>
      <c r="G4" s="2" t="s">
        <v>416</v>
      </c>
      <c r="H4" s="2" t="s">
        <v>7</v>
      </c>
      <c r="I4" s="2" t="s">
        <v>427</v>
      </c>
    </row>
    <row r="5" spans="1:9" x14ac:dyDescent="0.4">
      <c r="A5" s="2" t="s">
        <v>470</v>
      </c>
      <c r="B5" s="2" t="s">
        <v>104</v>
      </c>
      <c r="C5" s="2" t="s">
        <v>206</v>
      </c>
      <c r="D5" s="2" t="s">
        <v>213</v>
      </c>
      <c r="E5" s="2" t="s">
        <v>1</v>
      </c>
      <c r="F5" s="2" t="s">
        <v>1</v>
      </c>
      <c r="G5" s="2" t="s">
        <v>1</v>
      </c>
      <c r="H5" s="2" t="s">
        <v>245</v>
      </c>
      <c r="I5" s="2" t="s">
        <v>410</v>
      </c>
    </row>
    <row r="6" spans="1:9" x14ac:dyDescent="0.4">
      <c r="A6" s="2" t="s">
        <v>496</v>
      </c>
      <c r="B6" s="2" t="s">
        <v>104</v>
      </c>
      <c r="C6" s="2" t="s">
        <v>264</v>
      </c>
      <c r="D6" s="2" t="s">
        <v>493</v>
      </c>
      <c r="E6" s="2" t="s">
        <v>1</v>
      </c>
      <c r="F6" s="2" t="s">
        <v>1</v>
      </c>
      <c r="G6" s="2" t="s">
        <v>1</v>
      </c>
      <c r="H6" s="2" t="s">
        <v>7</v>
      </c>
      <c r="I6" s="2" t="s">
        <v>410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73F7C-9185-4FB4-BFDA-772B4644B078}">
  <dimension ref="A1:AC46"/>
  <sheetViews>
    <sheetView workbookViewId="0"/>
  </sheetViews>
  <sheetFormatPr defaultRowHeight="18.75" x14ac:dyDescent="0.4"/>
  <cols>
    <col min="1" max="16384" width="9" style="2"/>
  </cols>
  <sheetData>
    <row r="1" spans="1:29" x14ac:dyDescent="0.4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  <c r="M1" s="2" t="s">
        <v>21</v>
      </c>
      <c r="N1" s="2" t="s">
        <v>22</v>
      </c>
      <c r="O1" s="2" t="s">
        <v>23</v>
      </c>
      <c r="P1" s="2" t="s">
        <v>24</v>
      </c>
      <c r="Q1" s="2" t="s">
        <v>25</v>
      </c>
      <c r="R1" s="2" t="s">
        <v>26</v>
      </c>
      <c r="S1" s="2" t="s">
        <v>27</v>
      </c>
      <c r="T1" s="2" t="s">
        <v>28</v>
      </c>
      <c r="U1" s="2" t="s">
        <v>29</v>
      </c>
      <c r="V1" s="2" t="s">
        <v>30</v>
      </c>
      <c r="W1" s="2" t="s">
        <v>31</v>
      </c>
      <c r="X1" s="2" t="s">
        <v>32</v>
      </c>
      <c r="Y1" s="2" t="s">
        <v>33</v>
      </c>
      <c r="Z1" s="2" t="s">
        <v>491</v>
      </c>
      <c r="AA1" s="2" t="s">
        <v>492</v>
      </c>
      <c r="AB1" s="2" t="s">
        <v>34</v>
      </c>
      <c r="AC1" s="2" t="s">
        <v>35</v>
      </c>
    </row>
    <row r="2" spans="1:29" x14ac:dyDescent="0.4">
      <c r="A2" s="2" t="s">
        <v>43</v>
      </c>
      <c r="B2" s="2" t="s">
        <v>50</v>
      </c>
      <c r="C2" s="2" t="s">
        <v>51</v>
      </c>
      <c r="D2" s="2" t="s">
        <v>52</v>
      </c>
      <c r="E2" s="2" t="s">
        <v>1</v>
      </c>
      <c r="F2" s="2" t="s">
        <v>53</v>
      </c>
      <c r="G2" s="2" t="s">
        <v>54</v>
      </c>
      <c r="H2" s="2" t="s">
        <v>55</v>
      </c>
      <c r="I2" s="2" t="s">
        <v>56</v>
      </c>
      <c r="K2" s="2" t="s">
        <v>57</v>
      </c>
      <c r="L2" s="2" t="s">
        <v>1</v>
      </c>
      <c r="M2" s="2" t="s">
        <v>7</v>
      </c>
      <c r="N2" s="2" t="s">
        <v>1</v>
      </c>
      <c r="O2" s="2" t="s">
        <v>1</v>
      </c>
      <c r="P2" s="2" t="s">
        <v>1</v>
      </c>
      <c r="Q2" s="2" t="s">
        <v>1</v>
      </c>
      <c r="R2" s="2" t="s">
        <v>1</v>
      </c>
      <c r="S2" s="2" t="s">
        <v>58</v>
      </c>
      <c r="T2" s="2" t="s">
        <v>1</v>
      </c>
      <c r="U2" s="2" t="s">
        <v>1</v>
      </c>
      <c r="V2" s="2" t="s">
        <v>410</v>
      </c>
      <c r="W2" s="2" t="s">
        <v>1</v>
      </c>
      <c r="X2" s="2" t="s">
        <v>57</v>
      </c>
      <c r="Z2" s="2" t="s">
        <v>57</v>
      </c>
      <c r="AA2" s="2" t="s">
        <v>1</v>
      </c>
      <c r="AB2" s="2" t="s">
        <v>1</v>
      </c>
      <c r="AC2" s="2" t="s">
        <v>1</v>
      </c>
    </row>
    <row r="3" spans="1:29" x14ac:dyDescent="0.4">
      <c r="A3" s="2" t="s">
        <v>93</v>
      </c>
      <c r="B3" s="2" t="s">
        <v>104</v>
      </c>
      <c r="C3" s="2" t="s">
        <v>105</v>
      </c>
      <c r="D3" s="2" t="s">
        <v>106</v>
      </c>
      <c r="E3" s="2" t="s">
        <v>7</v>
      </c>
      <c r="F3" s="2" t="s">
        <v>107</v>
      </c>
      <c r="G3" s="2" t="s">
        <v>54</v>
      </c>
      <c r="H3" s="2" t="s">
        <v>108</v>
      </c>
      <c r="I3" s="2" t="s">
        <v>56</v>
      </c>
      <c r="K3" s="2" t="s">
        <v>57</v>
      </c>
      <c r="L3" s="2" t="s">
        <v>1</v>
      </c>
      <c r="M3" s="2" t="s">
        <v>1</v>
      </c>
      <c r="N3" s="2" t="s">
        <v>109</v>
      </c>
      <c r="O3" s="2" t="s">
        <v>1</v>
      </c>
      <c r="P3" s="2" t="s">
        <v>1</v>
      </c>
      <c r="Q3" s="2" t="s">
        <v>1</v>
      </c>
      <c r="R3" s="2" t="s">
        <v>1</v>
      </c>
      <c r="S3" s="2" t="s">
        <v>110</v>
      </c>
      <c r="T3" s="2" t="s">
        <v>1</v>
      </c>
      <c r="U3" s="2" t="s">
        <v>1</v>
      </c>
      <c r="V3" s="2" t="s">
        <v>410</v>
      </c>
      <c r="W3" s="2" t="s">
        <v>1</v>
      </c>
      <c r="X3" s="2" t="s">
        <v>57</v>
      </c>
      <c r="Z3" s="2" t="s">
        <v>57</v>
      </c>
      <c r="AA3" s="2" t="s">
        <v>1</v>
      </c>
      <c r="AB3" s="2" t="s">
        <v>1</v>
      </c>
      <c r="AC3" s="2" t="s">
        <v>7</v>
      </c>
    </row>
    <row r="4" spans="1:29" x14ac:dyDescent="0.4">
      <c r="A4" s="2" t="s">
        <v>94</v>
      </c>
      <c r="B4" s="2" t="s">
        <v>104</v>
      </c>
      <c r="C4" s="2" t="s">
        <v>105</v>
      </c>
      <c r="D4" s="2" t="s">
        <v>95</v>
      </c>
      <c r="E4" s="2" t="s">
        <v>7</v>
      </c>
      <c r="F4" s="2" t="s">
        <v>111</v>
      </c>
      <c r="G4" s="2" t="s">
        <v>61</v>
      </c>
      <c r="H4" s="2" t="s">
        <v>112</v>
      </c>
      <c r="I4" s="2" t="s">
        <v>63</v>
      </c>
      <c r="K4" s="2" t="s">
        <v>57</v>
      </c>
      <c r="L4" s="2" t="s">
        <v>1</v>
      </c>
      <c r="M4" s="2" t="s">
        <v>1</v>
      </c>
      <c r="N4" s="2" t="s">
        <v>1</v>
      </c>
      <c r="O4" s="2" t="s">
        <v>1</v>
      </c>
      <c r="P4" s="2" t="s">
        <v>1</v>
      </c>
      <c r="Q4" s="2" t="s">
        <v>1</v>
      </c>
      <c r="R4" s="2" t="s">
        <v>1</v>
      </c>
      <c r="S4" s="2" t="s">
        <v>113</v>
      </c>
      <c r="T4" s="2" t="s">
        <v>1</v>
      </c>
      <c r="U4" s="2" t="s">
        <v>1</v>
      </c>
      <c r="V4" s="2" t="s">
        <v>410</v>
      </c>
      <c r="W4" s="2" t="s">
        <v>1</v>
      </c>
      <c r="X4" s="2" t="s">
        <v>57</v>
      </c>
      <c r="Z4" s="2" t="s">
        <v>57</v>
      </c>
      <c r="AA4" s="2" t="s">
        <v>1</v>
      </c>
      <c r="AB4" s="2" t="s">
        <v>1</v>
      </c>
      <c r="AC4" s="2" t="s">
        <v>1</v>
      </c>
    </row>
    <row r="5" spans="1:29" x14ac:dyDescent="0.4">
      <c r="A5" s="2" t="s">
        <v>92</v>
      </c>
      <c r="B5" s="2" t="s">
        <v>104</v>
      </c>
      <c r="C5" s="2" t="s">
        <v>105</v>
      </c>
      <c r="D5" s="2" t="s">
        <v>114</v>
      </c>
      <c r="E5" s="2" t="s">
        <v>7</v>
      </c>
      <c r="F5" s="2" t="s">
        <v>115</v>
      </c>
      <c r="G5" s="2" t="s">
        <v>54</v>
      </c>
      <c r="H5" s="2" t="s">
        <v>116</v>
      </c>
      <c r="I5" s="2" t="s">
        <v>56</v>
      </c>
      <c r="K5" s="2" t="s">
        <v>57</v>
      </c>
      <c r="L5" s="2" t="s">
        <v>1</v>
      </c>
      <c r="M5" s="2" t="s">
        <v>1</v>
      </c>
      <c r="N5" s="2" t="s">
        <v>109</v>
      </c>
      <c r="O5" s="2" t="s">
        <v>1</v>
      </c>
      <c r="P5" s="2" t="s">
        <v>1</v>
      </c>
      <c r="Q5" s="2" t="s">
        <v>1</v>
      </c>
      <c r="R5" s="2" t="s">
        <v>1</v>
      </c>
      <c r="S5" s="2" t="s">
        <v>117</v>
      </c>
      <c r="T5" s="2" t="s">
        <v>1</v>
      </c>
      <c r="U5" s="2" t="s">
        <v>1</v>
      </c>
      <c r="V5" s="2" t="s">
        <v>410</v>
      </c>
      <c r="W5" s="2" t="s">
        <v>1</v>
      </c>
      <c r="X5" s="2" t="s">
        <v>57</v>
      </c>
      <c r="Z5" s="2" t="s">
        <v>57</v>
      </c>
      <c r="AA5" s="2" t="s">
        <v>1</v>
      </c>
      <c r="AB5" s="2" t="s">
        <v>1</v>
      </c>
      <c r="AC5" s="2" t="s">
        <v>7</v>
      </c>
    </row>
    <row r="6" spans="1:29" x14ac:dyDescent="0.4">
      <c r="A6" s="2" t="s">
        <v>172</v>
      </c>
      <c r="B6" s="2" t="s">
        <v>104</v>
      </c>
      <c r="C6" s="2" t="s">
        <v>105</v>
      </c>
      <c r="D6" s="2" t="s">
        <v>174</v>
      </c>
      <c r="E6" s="2" t="s">
        <v>7</v>
      </c>
      <c r="F6" s="2" t="s">
        <v>175</v>
      </c>
      <c r="G6" s="2" t="s">
        <v>147</v>
      </c>
      <c r="H6" s="2" t="s">
        <v>176</v>
      </c>
      <c r="I6" s="2" t="s">
        <v>2</v>
      </c>
      <c r="K6" s="2" t="s">
        <v>57</v>
      </c>
      <c r="L6" s="2" t="s">
        <v>1</v>
      </c>
      <c r="M6" s="2" t="s">
        <v>7</v>
      </c>
      <c r="N6" s="2" t="s">
        <v>1</v>
      </c>
      <c r="O6" s="2" t="s">
        <v>1</v>
      </c>
      <c r="P6" s="2" t="s">
        <v>1</v>
      </c>
      <c r="Q6" s="2" t="s">
        <v>1</v>
      </c>
      <c r="R6" s="2" t="s">
        <v>1</v>
      </c>
      <c r="S6" s="2" t="s">
        <v>177</v>
      </c>
      <c r="T6" s="2" t="s">
        <v>1</v>
      </c>
      <c r="U6" s="2" t="s">
        <v>1</v>
      </c>
      <c r="V6" s="2" t="s">
        <v>410</v>
      </c>
      <c r="W6" s="2" t="s">
        <v>1</v>
      </c>
      <c r="X6" s="2" t="s">
        <v>57</v>
      </c>
      <c r="Z6" s="2" t="s">
        <v>57</v>
      </c>
      <c r="AA6" s="2" t="s">
        <v>1</v>
      </c>
      <c r="AB6" s="2" t="s">
        <v>1</v>
      </c>
      <c r="AC6" s="2" t="s">
        <v>1</v>
      </c>
    </row>
    <row r="7" spans="1:29" x14ac:dyDescent="0.4">
      <c r="A7" s="2" t="s">
        <v>173</v>
      </c>
      <c r="B7" s="2" t="s">
        <v>104</v>
      </c>
      <c r="C7" s="2" t="s">
        <v>105</v>
      </c>
      <c r="D7" s="2" t="s">
        <v>178</v>
      </c>
      <c r="E7" s="2" t="s">
        <v>7</v>
      </c>
      <c r="F7" s="2" t="s">
        <v>179</v>
      </c>
      <c r="G7" s="2" t="s">
        <v>54</v>
      </c>
      <c r="H7" s="2" t="s">
        <v>180</v>
      </c>
      <c r="I7" s="2" t="s">
        <v>56</v>
      </c>
      <c r="J7" s="2" t="s">
        <v>181</v>
      </c>
      <c r="K7" s="2" t="s">
        <v>57</v>
      </c>
      <c r="L7" s="2" t="s">
        <v>1</v>
      </c>
      <c r="M7" s="2" t="s">
        <v>7</v>
      </c>
      <c r="N7" s="2" t="s">
        <v>1</v>
      </c>
      <c r="O7" s="2" t="s">
        <v>1</v>
      </c>
      <c r="P7" s="2" t="s">
        <v>1</v>
      </c>
      <c r="Q7" s="2" t="s">
        <v>1</v>
      </c>
      <c r="R7" s="2" t="s">
        <v>1</v>
      </c>
      <c r="S7" s="2" t="s">
        <v>182</v>
      </c>
      <c r="T7" s="2" t="s">
        <v>1</v>
      </c>
      <c r="U7" s="2" t="s">
        <v>1</v>
      </c>
      <c r="V7" s="2" t="s">
        <v>410</v>
      </c>
      <c r="W7" s="2" t="s">
        <v>1</v>
      </c>
      <c r="X7" s="2" t="s">
        <v>57</v>
      </c>
      <c r="Z7" s="2" t="s">
        <v>57</v>
      </c>
      <c r="AA7" s="2" t="s">
        <v>1</v>
      </c>
      <c r="AB7" s="2" t="s">
        <v>1</v>
      </c>
      <c r="AC7" s="2" t="s">
        <v>1</v>
      </c>
    </row>
    <row r="8" spans="1:29" x14ac:dyDescent="0.4">
      <c r="A8" s="2" t="s">
        <v>98</v>
      </c>
      <c r="B8" s="2" t="s">
        <v>104</v>
      </c>
      <c r="C8" s="2" t="s">
        <v>105</v>
      </c>
      <c r="D8" s="2" t="s">
        <v>118</v>
      </c>
      <c r="E8" s="2" t="s">
        <v>7</v>
      </c>
      <c r="F8" s="2" t="s">
        <v>119</v>
      </c>
      <c r="G8" s="2" t="s">
        <v>54</v>
      </c>
      <c r="H8" s="2" t="s">
        <v>120</v>
      </c>
      <c r="I8" s="2" t="s">
        <v>56</v>
      </c>
      <c r="K8" s="2" t="s">
        <v>57</v>
      </c>
      <c r="L8" s="2" t="s">
        <v>1</v>
      </c>
      <c r="M8" s="2" t="s">
        <v>1</v>
      </c>
      <c r="N8" s="2" t="s">
        <v>121</v>
      </c>
      <c r="O8" s="2" t="s">
        <v>1</v>
      </c>
      <c r="P8" s="2" t="s">
        <v>1</v>
      </c>
      <c r="Q8" s="2" t="s">
        <v>1</v>
      </c>
      <c r="R8" s="2" t="s">
        <v>1</v>
      </c>
      <c r="S8" s="2" t="s">
        <v>122</v>
      </c>
      <c r="T8" s="2" t="s">
        <v>1</v>
      </c>
      <c r="U8" s="2" t="s">
        <v>1</v>
      </c>
      <c r="V8" s="2" t="s">
        <v>410</v>
      </c>
      <c r="W8" s="2" t="s">
        <v>1</v>
      </c>
      <c r="X8" s="2" t="s">
        <v>57</v>
      </c>
      <c r="Z8" s="2" t="s">
        <v>57</v>
      </c>
      <c r="AA8" s="2" t="s">
        <v>1</v>
      </c>
      <c r="AB8" s="2" t="s">
        <v>1</v>
      </c>
      <c r="AC8" s="2" t="s">
        <v>7</v>
      </c>
    </row>
    <row r="9" spans="1:29" x14ac:dyDescent="0.4">
      <c r="A9" s="2" t="s">
        <v>99</v>
      </c>
      <c r="B9" s="2" t="s">
        <v>104</v>
      </c>
      <c r="C9" s="2" t="s">
        <v>123</v>
      </c>
      <c r="D9" s="2" t="s">
        <v>79</v>
      </c>
      <c r="E9" s="2" t="s">
        <v>124</v>
      </c>
      <c r="F9" s="2" t="s">
        <v>125</v>
      </c>
      <c r="G9" s="2" t="s">
        <v>61</v>
      </c>
      <c r="H9" s="2" t="s">
        <v>126</v>
      </c>
      <c r="I9" s="2" t="s">
        <v>63</v>
      </c>
      <c r="K9" s="2" t="s">
        <v>57</v>
      </c>
      <c r="L9" s="2" t="s">
        <v>1</v>
      </c>
      <c r="M9" s="2" t="s">
        <v>1</v>
      </c>
      <c r="N9" s="2" t="s">
        <v>1</v>
      </c>
      <c r="O9" s="2" t="s">
        <v>1</v>
      </c>
      <c r="P9" s="2" t="s">
        <v>1</v>
      </c>
      <c r="Q9" s="2" t="s">
        <v>1</v>
      </c>
      <c r="R9" s="2" t="s">
        <v>1</v>
      </c>
      <c r="S9" s="2" t="s">
        <v>127</v>
      </c>
      <c r="T9" s="2" t="s">
        <v>1</v>
      </c>
      <c r="U9" s="2" t="s">
        <v>1</v>
      </c>
      <c r="V9" s="2" t="s">
        <v>410</v>
      </c>
      <c r="W9" s="2" t="s">
        <v>1</v>
      </c>
      <c r="X9" s="2" t="s">
        <v>57</v>
      </c>
      <c r="Z9" s="2" t="s">
        <v>57</v>
      </c>
      <c r="AA9" s="2" t="s">
        <v>1</v>
      </c>
      <c r="AB9" s="2" t="s">
        <v>1</v>
      </c>
      <c r="AC9" s="2" t="s">
        <v>1</v>
      </c>
    </row>
    <row r="10" spans="1:29" x14ac:dyDescent="0.4">
      <c r="A10" s="2" t="s">
        <v>188</v>
      </c>
      <c r="B10" s="2" t="s">
        <v>104</v>
      </c>
      <c r="C10" s="2" t="s">
        <v>105</v>
      </c>
      <c r="D10" s="2" t="s">
        <v>196</v>
      </c>
      <c r="E10" s="2" t="s">
        <v>7</v>
      </c>
      <c r="F10" s="2" t="s">
        <v>197</v>
      </c>
      <c r="G10" s="2" t="s">
        <v>54</v>
      </c>
      <c r="H10" s="2" t="s">
        <v>198</v>
      </c>
      <c r="I10" s="2" t="s">
        <v>56</v>
      </c>
      <c r="K10" s="2" t="s">
        <v>57</v>
      </c>
      <c r="L10" s="2" t="s">
        <v>1</v>
      </c>
      <c r="M10" s="2" t="s">
        <v>1</v>
      </c>
      <c r="N10" s="2" t="s">
        <v>109</v>
      </c>
      <c r="O10" s="2" t="s">
        <v>1</v>
      </c>
      <c r="P10" s="2" t="s">
        <v>1</v>
      </c>
      <c r="Q10" s="2" t="s">
        <v>1</v>
      </c>
      <c r="R10" s="2" t="s">
        <v>1</v>
      </c>
      <c r="S10" s="2" t="s">
        <v>199</v>
      </c>
      <c r="T10" s="2" t="s">
        <v>1</v>
      </c>
      <c r="U10" s="2" t="s">
        <v>1</v>
      </c>
      <c r="V10" s="2" t="s">
        <v>410</v>
      </c>
      <c r="W10" s="2" t="s">
        <v>1</v>
      </c>
      <c r="X10" s="2" t="s">
        <v>57</v>
      </c>
      <c r="Z10" s="2" t="s">
        <v>57</v>
      </c>
      <c r="AA10" s="2" t="s">
        <v>1</v>
      </c>
      <c r="AB10" s="2" t="s">
        <v>1</v>
      </c>
      <c r="AC10" s="2" t="s">
        <v>7</v>
      </c>
    </row>
    <row r="11" spans="1:29" x14ac:dyDescent="0.4">
      <c r="A11" s="2" t="s">
        <v>100</v>
      </c>
      <c r="B11" s="2" t="s">
        <v>128</v>
      </c>
      <c r="C11" s="2" t="s">
        <v>129</v>
      </c>
      <c r="D11" s="2" t="s">
        <v>130</v>
      </c>
      <c r="E11" s="2" t="s">
        <v>131</v>
      </c>
      <c r="F11" s="2" t="s">
        <v>132</v>
      </c>
      <c r="G11" s="2" t="s">
        <v>61</v>
      </c>
      <c r="H11" s="2" t="s">
        <v>133</v>
      </c>
      <c r="I11" s="2" t="s">
        <v>63</v>
      </c>
      <c r="K11" s="2" t="s">
        <v>57</v>
      </c>
      <c r="L11" s="2" t="s">
        <v>1</v>
      </c>
      <c r="M11" s="2" t="s">
        <v>1</v>
      </c>
      <c r="N11" s="2" t="s">
        <v>1</v>
      </c>
      <c r="O11" s="2" t="s">
        <v>1</v>
      </c>
      <c r="P11" s="2" t="s">
        <v>1</v>
      </c>
      <c r="Q11" s="2" t="s">
        <v>1</v>
      </c>
      <c r="R11" s="2" t="s">
        <v>1</v>
      </c>
      <c r="S11" s="2" t="s">
        <v>134</v>
      </c>
      <c r="T11" s="2" t="s">
        <v>1</v>
      </c>
      <c r="U11" s="2" t="s">
        <v>1</v>
      </c>
      <c r="V11" s="2" t="s">
        <v>410</v>
      </c>
      <c r="W11" s="2" t="s">
        <v>1</v>
      </c>
      <c r="X11" s="2" t="s">
        <v>57</v>
      </c>
      <c r="Z11" s="2" t="s">
        <v>57</v>
      </c>
      <c r="AA11" s="2" t="s">
        <v>1</v>
      </c>
      <c r="AB11" s="2" t="s">
        <v>1</v>
      </c>
      <c r="AC11" s="2" t="s">
        <v>1</v>
      </c>
    </row>
    <row r="12" spans="1:29" x14ac:dyDescent="0.4">
      <c r="A12" s="2" t="s">
        <v>189</v>
      </c>
      <c r="B12" s="2" t="s">
        <v>104</v>
      </c>
      <c r="C12" s="2" t="s">
        <v>200</v>
      </c>
      <c r="D12" s="2" t="s">
        <v>201</v>
      </c>
      <c r="E12" s="2" t="s">
        <v>202</v>
      </c>
      <c r="F12" s="2" t="s">
        <v>203</v>
      </c>
      <c r="G12" s="2" t="s">
        <v>54</v>
      </c>
      <c r="H12" s="2" t="s">
        <v>204</v>
      </c>
      <c r="I12" s="2" t="s">
        <v>56</v>
      </c>
      <c r="K12" s="2" t="s">
        <v>57</v>
      </c>
      <c r="L12" s="2" t="s">
        <v>1</v>
      </c>
      <c r="M12" s="2" t="s">
        <v>1</v>
      </c>
      <c r="N12" s="2" t="s">
        <v>109</v>
      </c>
      <c r="O12" s="2" t="s">
        <v>1</v>
      </c>
      <c r="P12" s="2" t="s">
        <v>1</v>
      </c>
      <c r="Q12" s="2" t="s">
        <v>1</v>
      </c>
      <c r="R12" s="2" t="s">
        <v>1</v>
      </c>
      <c r="S12" s="2" t="s">
        <v>205</v>
      </c>
      <c r="T12" s="2" t="s">
        <v>1</v>
      </c>
      <c r="U12" s="2" t="s">
        <v>1</v>
      </c>
      <c r="V12" s="2" t="s">
        <v>410</v>
      </c>
      <c r="W12" s="2" t="s">
        <v>1</v>
      </c>
      <c r="X12" s="2" t="s">
        <v>57</v>
      </c>
      <c r="Z12" s="2" t="s">
        <v>57</v>
      </c>
      <c r="AA12" s="2" t="s">
        <v>1</v>
      </c>
      <c r="AB12" s="2" t="s">
        <v>1</v>
      </c>
      <c r="AC12" s="2" t="s">
        <v>7</v>
      </c>
    </row>
    <row r="13" spans="1:29" x14ac:dyDescent="0.4">
      <c r="A13" s="2" t="s">
        <v>101</v>
      </c>
      <c r="B13" s="2" t="s">
        <v>104</v>
      </c>
      <c r="C13" s="2" t="s">
        <v>105</v>
      </c>
      <c r="D13" s="2" t="s">
        <v>135</v>
      </c>
      <c r="E13" s="2" t="s">
        <v>7</v>
      </c>
      <c r="F13" s="2" t="s">
        <v>136</v>
      </c>
      <c r="G13" s="2" t="s">
        <v>54</v>
      </c>
      <c r="H13" s="2" t="s">
        <v>137</v>
      </c>
      <c r="I13" s="2" t="s">
        <v>56</v>
      </c>
      <c r="J13" s="2" t="s">
        <v>138</v>
      </c>
      <c r="K13" s="2" t="s">
        <v>57</v>
      </c>
      <c r="L13" s="2" t="s">
        <v>1</v>
      </c>
      <c r="M13" s="2" t="s">
        <v>1</v>
      </c>
      <c r="N13" s="2" t="s">
        <v>109</v>
      </c>
      <c r="O13" s="2" t="s">
        <v>1</v>
      </c>
      <c r="P13" s="2" t="s">
        <v>1</v>
      </c>
      <c r="Q13" s="2" t="s">
        <v>1</v>
      </c>
      <c r="R13" s="2" t="s">
        <v>1</v>
      </c>
      <c r="S13" s="2" t="s">
        <v>139</v>
      </c>
      <c r="T13" s="2" t="s">
        <v>1</v>
      </c>
      <c r="U13" s="2" t="s">
        <v>1</v>
      </c>
      <c r="V13" s="2" t="s">
        <v>410</v>
      </c>
      <c r="W13" s="2" t="s">
        <v>1</v>
      </c>
      <c r="X13" s="2" t="s">
        <v>57</v>
      </c>
      <c r="Z13" s="2" t="s">
        <v>57</v>
      </c>
      <c r="AA13" s="2" t="s">
        <v>1</v>
      </c>
      <c r="AB13" s="2" t="s">
        <v>1</v>
      </c>
      <c r="AC13" s="2" t="s">
        <v>7</v>
      </c>
    </row>
    <row r="14" spans="1:29" x14ac:dyDescent="0.4">
      <c r="A14" s="2" t="s">
        <v>102</v>
      </c>
      <c r="B14" s="2" t="s">
        <v>128</v>
      </c>
      <c r="C14" s="2" t="s">
        <v>140</v>
      </c>
      <c r="D14" s="2" t="s">
        <v>83</v>
      </c>
      <c r="E14" s="2" t="s">
        <v>141</v>
      </c>
      <c r="F14" s="2" t="s">
        <v>142</v>
      </c>
      <c r="G14" s="2" t="s">
        <v>54</v>
      </c>
      <c r="H14" s="2" t="s">
        <v>143</v>
      </c>
      <c r="I14" s="2" t="s">
        <v>56</v>
      </c>
      <c r="K14" s="2" t="s">
        <v>57</v>
      </c>
      <c r="L14" s="2" t="s">
        <v>1</v>
      </c>
      <c r="M14" s="2" t="s">
        <v>1</v>
      </c>
      <c r="N14" s="2" t="s">
        <v>109</v>
      </c>
      <c r="O14" s="2" t="s">
        <v>1</v>
      </c>
      <c r="P14" s="2" t="s">
        <v>1</v>
      </c>
      <c r="Q14" s="2" t="s">
        <v>1</v>
      </c>
      <c r="R14" s="2" t="s">
        <v>1</v>
      </c>
      <c r="S14" s="2" t="s">
        <v>144</v>
      </c>
      <c r="T14" s="2" t="s">
        <v>1</v>
      </c>
      <c r="U14" s="2" t="s">
        <v>1</v>
      </c>
      <c r="V14" s="2" t="s">
        <v>410</v>
      </c>
      <c r="W14" s="2" t="s">
        <v>1</v>
      </c>
      <c r="X14" s="2" t="s">
        <v>57</v>
      </c>
      <c r="Z14" s="2" t="s">
        <v>57</v>
      </c>
      <c r="AA14" s="2" t="s">
        <v>1</v>
      </c>
      <c r="AB14" s="2" t="s">
        <v>1</v>
      </c>
      <c r="AC14" s="2" t="s">
        <v>7</v>
      </c>
    </row>
    <row r="15" spans="1:29" x14ac:dyDescent="0.4">
      <c r="A15" s="2" t="s">
        <v>489</v>
      </c>
      <c r="B15" s="2" t="s">
        <v>104</v>
      </c>
      <c r="C15" s="2" t="s">
        <v>264</v>
      </c>
      <c r="D15" s="2" t="s">
        <v>85</v>
      </c>
      <c r="E15" s="2" t="s">
        <v>266</v>
      </c>
      <c r="F15" s="2" t="s">
        <v>146</v>
      </c>
      <c r="G15" s="2" t="s">
        <v>147</v>
      </c>
      <c r="H15" s="2" t="s">
        <v>148</v>
      </c>
      <c r="I15" s="2" t="s">
        <v>149</v>
      </c>
      <c r="K15" s="2" t="s">
        <v>211</v>
      </c>
      <c r="L15" s="2" t="s">
        <v>183</v>
      </c>
      <c r="M15" s="2" t="s">
        <v>7</v>
      </c>
      <c r="N15" s="2" t="s">
        <v>1</v>
      </c>
      <c r="O15" s="2" t="s">
        <v>1</v>
      </c>
      <c r="P15" s="2" t="s">
        <v>1</v>
      </c>
      <c r="Q15" s="2" t="s">
        <v>1</v>
      </c>
      <c r="R15" s="2" t="s">
        <v>1</v>
      </c>
      <c r="S15" s="2" t="s">
        <v>183</v>
      </c>
      <c r="T15" s="2" t="s">
        <v>493</v>
      </c>
      <c r="U15" s="2" t="s">
        <v>1</v>
      </c>
      <c r="V15" s="2" t="s">
        <v>410</v>
      </c>
      <c r="W15" s="2" t="s">
        <v>1</v>
      </c>
      <c r="X15" s="2" t="s">
        <v>57</v>
      </c>
      <c r="Z15" s="2" t="s">
        <v>57</v>
      </c>
      <c r="AA15" s="2" t="s">
        <v>1</v>
      </c>
      <c r="AB15" s="2" t="s">
        <v>1</v>
      </c>
      <c r="AC15" s="2" t="s">
        <v>1</v>
      </c>
    </row>
    <row r="16" spans="1:29" x14ac:dyDescent="0.4">
      <c r="A16" s="2" t="s">
        <v>190</v>
      </c>
      <c r="B16" s="2" t="s">
        <v>104</v>
      </c>
      <c r="C16" s="2" t="s">
        <v>206</v>
      </c>
      <c r="D16" s="2" t="s">
        <v>207</v>
      </c>
      <c r="E16" s="2" t="s">
        <v>208</v>
      </c>
      <c r="F16" s="2" t="s">
        <v>209</v>
      </c>
      <c r="G16" s="2" t="s">
        <v>54</v>
      </c>
      <c r="H16" s="2" t="s">
        <v>210</v>
      </c>
      <c r="I16" s="2" t="s">
        <v>56</v>
      </c>
      <c r="K16" s="2" t="s">
        <v>211</v>
      </c>
      <c r="L16" s="2" t="s">
        <v>460</v>
      </c>
      <c r="M16" s="2" t="s">
        <v>7</v>
      </c>
      <c r="N16" s="2" t="s">
        <v>1</v>
      </c>
      <c r="O16" s="2" t="s">
        <v>1</v>
      </c>
      <c r="P16" s="2" t="s">
        <v>1</v>
      </c>
      <c r="Q16" s="2" t="s">
        <v>1</v>
      </c>
      <c r="R16" s="2" t="s">
        <v>1</v>
      </c>
      <c r="S16" s="2" t="s">
        <v>461</v>
      </c>
      <c r="T16" s="2" t="s">
        <v>213</v>
      </c>
      <c r="U16" s="2" t="s">
        <v>1</v>
      </c>
      <c r="V16" s="2" t="s">
        <v>410</v>
      </c>
      <c r="W16" s="2" t="s">
        <v>1</v>
      </c>
      <c r="X16" s="2" t="s">
        <v>57</v>
      </c>
      <c r="Z16" s="2" t="s">
        <v>57</v>
      </c>
      <c r="AA16" s="2" t="s">
        <v>1</v>
      </c>
      <c r="AB16" s="2" t="s">
        <v>1</v>
      </c>
      <c r="AC16" s="2" t="s">
        <v>1</v>
      </c>
    </row>
    <row r="17" spans="1:29" x14ac:dyDescent="0.4">
      <c r="A17" s="2" t="s">
        <v>459</v>
      </c>
      <c r="B17" s="2" t="s">
        <v>104</v>
      </c>
      <c r="C17" s="2" t="s">
        <v>206</v>
      </c>
      <c r="D17" s="2" t="s">
        <v>462</v>
      </c>
      <c r="E17" s="2" t="s">
        <v>208</v>
      </c>
      <c r="F17" s="2" t="s">
        <v>463</v>
      </c>
      <c r="G17" s="2" t="s">
        <v>54</v>
      </c>
      <c r="H17" s="2" t="s">
        <v>464</v>
      </c>
      <c r="I17" s="2" t="s">
        <v>56</v>
      </c>
      <c r="J17" s="2" t="s">
        <v>476</v>
      </c>
      <c r="K17" s="2" t="s">
        <v>211</v>
      </c>
      <c r="L17" s="2" t="s">
        <v>465</v>
      </c>
      <c r="M17" s="2" t="s">
        <v>7</v>
      </c>
      <c r="N17" s="2" t="s">
        <v>1</v>
      </c>
      <c r="O17" s="2" t="s">
        <v>1</v>
      </c>
      <c r="P17" s="2" t="s">
        <v>1</v>
      </c>
      <c r="Q17" s="2" t="s">
        <v>1</v>
      </c>
      <c r="R17" s="2" t="s">
        <v>1</v>
      </c>
      <c r="S17" s="2" t="s">
        <v>466</v>
      </c>
      <c r="T17" s="2" t="s">
        <v>213</v>
      </c>
      <c r="U17" s="2" t="s">
        <v>1</v>
      </c>
      <c r="V17" s="2" t="s">
        <v>410</v>
      </c>
      <c r="W17" s="2" t="s">
        <v>1</v>
      </c>
      <c r="X17" s="2" t="s">
        <v>57</v>
      </c>
      <c r="Z17" s="2" t="s">
        <v>57</v>
      </c>
      <c r="AA17" s="2" t="s">
        <v>1</v>
      </c>
      <c r="AB17" s="2" t="s">
        <v>1</v>
      </c>
      <c r="AC17" s="2" t="s">
        <v>1</v>
      </c>
    </row>
    <row r="18" spans="1:29" x14ac:dyDescent="0.4">
      <c r="A18" s="2" t="s">
        <v>371</v>
      </c>
      <c r="B18" s="2" t="s">
        <v>271</v>
      </c>
      <c r="C18" s="2" t="s">
        <v>272</v>
      </c>
      <c r="D18" s="2" t="s">
        <v>379</v>
      </c>
      <c r="E18" s="2" t="s">
        <v>274</v>
      </c>
      <c r="F18" s="2" t="s">
        <v>380</v>
      </c>
      <c r="G18" s="2" t="s">
        <v>61</v>
      </c>
      <c r="H18" s="2" t="s">
        <v>486</v>
      </c>
      <c r="I18" s="2" t="s">
        <v>445</v>
      </c>
      <c r="K18" s="2" t="s">
        <v>57</v>
      </c>
      <c r="L18" s="2" t="s">
        <v>1</v>
      </c>
      <c r="M18" s="2" t="s">
        <v>7</v>
      </c>
      <c r="N18" s="2" t="s">
        <v>1</v>
      </c>
      <c r="O18" s="2" t="s">
        <v>1</v>
      </c>
      <c r="P18" s="2" t="s">
        <v>1</v>
      </c>
      <c r="Q18" s="2" t="s">
        <v>1</v>
      </c>
      <c r="R18" s="2" t="s">
        <v>1</v>
      </c>
      <c r="S18" s="2" t="s">
        <v>359</v>
      </c>
      <c r="T18" s="2" t="s">
        <v>1</v>
      </c>
      <c r="U18" s="2" t="s">
        <v>1</v>
      </c>
      <c r="V18" s="2" t="s">
        <v>410</v>
      </c>
      <c r="W18" s="2" t="s">
        <v>1</v>
      </c>
      <c r="X18" s="2" t="s">
        <v>57</v>
      </c>
      <c r="Z18" s="2" t="s">
        <v>57</v>
      </c>
      <c r="AA18" s="2" t="s">
        <v>1</v>
      </c>
      <c r="AB18" s="2" t="s">
        <v>1</v>
      </c>
      <c r="AC18" s="2" t="s">
        <v>1</v>
      </c>
    </row>
    <row r="19" spans="1:29" x14ac:dyDescent="0.4">
      <c r="A19" s="2" t="s">
        <v>369</v>
      </c>
      <c r="B19" s="2" t="s">
        <v>271</v>
      </c>
      <c r="C19" s="2" t="s">
        <v>272</v>
      </c>
      <c r="D19" s="2" t="s">
        <v>381</v>
      </c>
      <c r="E19" s="2" t="s">
        <v>274</v>
      </c>
      <c r="F19" s="2" t="s">
        <v>382</v>
      </c>
      <c r="G19" s="2" t="s">
        <v>147</v>
      </c>
      <c r="H19" s="2" t="s">
        <v>383</v>
      </c>
      <c r="I19" s="2" t="s">
        <v>149</v>
      </c>
      <c r="K19" s="2" t="s">
        <v>57</v>
      </c>
      <c r="L19" s="2" t="s">
        <v>1</v>
      </c>
      <c r="M19" s="2" t="s">
        <v>7</v>
      </c>
      <c r="N19" s="2" t="s">
        <v>1</v>
      </c>
      <c r="O19" s="2" t="s">
        <v>1</v>
      </c>
      <c r="P19" s="2" t="s">
        <v>1</v>
      </c>
      <c r="Q19" s="2" t="s">
        <v>1</v>
      </c>
      <c r="R19" s="2" t="s">
        <v>1</v>
      </c>
      <c r="S19" s="2" t="s">
        <v>360</v>
      </c>
      <c r="T19" s="2" t="s">
        <v>1</v>
      </c>
      <c r="U19" s="2" t="s">
        <v>1</v>
      </c>
      <c r="V19" s="2" t="s">
        <v>410</v>
      </c>
      <c r="W19" s="2" t="s">
        <v>1</v>
      </c>
      <c r="X19" s="2" t="s">
        <v>57</v>
      </c>
      <c r="Z19" s="2" t="s">
        <v>57</v>
      </c>
      <c r="AA19" s="2" t="s">
        <v>1</v>
      </c>
      <c r="AB19" s="2" t="s">
        <v>1</v>
      </c>
      <c r="AC19" s="2" t="s">
        <v>1</v>
      </c>
    </row>
    <row r="20" spans="1:29" x14ac:dyDescent="0.4">
      <c r="A20" s="2" t="s">
        <v>373</v>
      </c>
      <c r="B20" s="2" t="s">
        <v>271</v>
      </c>
      <c r="C20" s="2" t="s">
        <v>272</v>
      </c>
      <c r="D20" s="2" t="s">
        <v>384</v>
      </c>
      <c r="E20" s="2" t="s">
        <v>274</v>
      </c>
      <c r="F20" s="2" t="s">
        <v>385</v>
      </c>
      <c r="G20" s="2" t="s">
        <v>147</v>
      </c>
      <c r="H20" s="2" t="s">
        <v>386</v>
      </c>
      <c r="I20" s="2" t="s">
        <v>149</v>
      </c>
      <c r="K20" s="2" t="s">
        <v>57</v>
      </c>
      <c r="L20" s="2" t="s">
        <v>1</v>
      </c>
      <c r="M20" s="2" t="s">
        <v>7</v>
      </c>
      <c r="N20" s="2" t="s">
        <v>1</v>
      </c>
      <c r="O20" s="2" t="s">
        <v>1</v>
      </c>
      <c r="P20" s="2" t="s">
        <v>1</v>
      </c>
      <c r="Q20" s="2" t="s">
        <v>1</v>
      </c>
      <c r="R20" s="2" t="s">
        <v>1</v>
      </c>
      <c r="S20" s="2" t="s">
        <v>361</v>
      </c>
      <c r="T20" s="2" t="s">
        <v>1</v>
      </c>
      <c r="U20" s="2" t="s">
        <v>1</v>
      </c>
      <c r="V20" s="2" t="s">
        <v>410</v>
      </c>
      <c r="W20" s="2" t="s">
        <v>1</v>
      </c>
      <c r="X20" s="2" t="s">
        <v>57</v>
      </c>
      <c r="Z20" s="2" t="s">
        <v>57</v>
      </c>
      <c r="AA20" s="2" t="s">
        <v>1</v>
      </c>
      <c r="AB20" s="2" t="s">
        <v>1</v>
      </c>
      <c r="AC20" s="2" t="s">
        <v>1</v>
      </c>
    </row>
    <row r="21" spans="1:29" x14ac:dyDescent="0.4">
      <c r="A21" s="2" t="s">
        <v>375</v>
      </c>
      <c r="B21" s="2" t="s">
        <v>271</v>
      </c>
      <c r="C21" s="2" t="s">
        <v>272</v>
      </c>
      <c r="D21" s="2" t="s">
        <v>387</v>
      </c>
      <c r="E21" s="2" t="s">
        <v>274</v>
      </c>
      <c r="F21" s="2" t="s">
        <v>388</v>
      </c>
      <c r="G21" s="2" t="s">
        <v>147</v>
      </c>
      <c r="H21" s="2" t="s">
        <v>389</v>
      </c>
      <c r="I21" s="2" t="s">
        <v>149</v>
      </c>
      <c r="K21" s="2" t="s">
        <v>57</v>
      </c>
      <c r="L21" s="2" t="s">
        <v>1</v>
      </c>
      <c r="M21" s="2" t="s">
        <v>7</v>
      </c>
      <c r="N21" s="2" t="s">
        <v>1</v>
      </c>
      <c r="O21" s="2" t="s">
        <v>1</v>
      </c>
      <c r="P21" s="2" t="s">
        <v>1</v>
      </c>
      <c r="Q21" s="2" t="s">
        <v>1</v>
      </c>
      <c r="R21" s="2" t="s">
        <v>1</v>
      </c>
      <c r="S21" s="2" t="s">
        <v>362</v>
      </c>
      <c r="T21" s="2" t="s">
        <v>1</v>
      </c>
      <c r="U21" s="2" t="s">
        <v>1</v>
      </c>
      <c r="V21" s="2" t="s">
        <v>410</v>
      </c>
      <c r="W21" s="2" t="s">
        <v>1</v>
      </c>
      <c r="X21" s="2" t="s">
        <v>57</v>
      </c>
      <c r="Z21" s="2" t="s">
        <v>57</v>
      </c>
      <c r="AA21" s="2" t="s">
        <v>1</v>
      </c>
      <c r="AB21" s="2" t="s">
        <v>1</v>
      </c>
      <c r="AC21" s="2" t="s">
        <v>1</v>
      </c>
    </row>
    <row r="22" spans="1:29" x14ac:dyDescent="0.4">
      <c r="A22" s="2" t="s">
        <v>305</v>
      </c>
      <c r="B22" s="2" t="s">
        <v>271</v>
      </c>
      <c r="C22" s="2" t="s">
        <v>312</v>
      </c>
      <c r="D22" s="2" t="s">
        <v>313</v>
      </c>
      <c r="E22" s="2" t="s">
        <v>314</v>
      </c>
      <c r="F22" s="2" t="s">
        <v>315</v>
      </c>
      <c r="G22" s="2" t="s">
        <v>61</v>
      </c>
      <c r="H22" s="2" t="s">
        <v>521</v>
      </c>
      <c r="I22" s="2" t="s">
        <v>445</v>
      </c>
      <c r="K22" s="2" t="s">
        <v>57</v>
      </c>
      <c r="L22" s="2" t="s">
        <v>1</v>
      </c>
      <c r="M22" s="2" t="s">
        <v>7</v>
      </c>
      <c r="N22" s="2" t="s">
        <v>1</v>
      </c>
      <c r="O22" s="2" t="s">
        <v>1</v>
      </c>
      <c r="P22" s="2" t="s">
        <v>1</v>
      </c>
      <c r="Q22" s="2" t="s">
        <v>1</v>
      </c>
      <c r="R22" s="2" t="s">
        <v>1</v>
      </c>
      <c r="S22" s="2" t="s">
        <v>317</v>
      </c>
      <c r="T22" s="2" t="s">
        <v>1</v>
      </c>
      <c r="U22" s="2" t="s">
        <v>1</v>
      </c>
      <c r="V22" s="2" t="s">
        <v>410</v>
      </c>
      <c r="W22" s="2" t="s">
        <v>1</v>
      </c>
      <c r="X22" s="2" t="s">
        <v>57</v>
      </c>
      <c r="Z22" s="2" t="s">
        <v>57</v>
      </c>
      <c r="AA22" s="2" t="s">
        <v>1</v>
      </c>
      <c r="AB22" s="2" t="s">
        <v>1</v>
      </c>
      <c r="AC22" s="2" t="s">
        <v>1</v>
      </c>
    </row>
    <row r="23" spans="1:29" x14ac:dyDescent="0.4">
      <c r="A23" s="2" t="s">
        <v>303</v>
      </c>
      <c r="B23" s="2" t="s">
        <v>271</v>
      </c>
      <c r="C23" s="2" t="s">
        <v>312</v>
      </c>
      <c r="D23" s="2" t="s">
        <v>318</v>
      </c>
      <c r="E23" s="2" t="s">
        <v>314</v>
      </c>
      <c r="F23" s="2" t="s">
        <v>319</v>
      </c>
      <c r="G23" s="2" t="s">
        <v>147</v>
      </c>
      <c r="H23" s="2" t="s">
        <v>320</v>
      </c>
      <c r="I23" s="2" t="s">
        <v>149</v>
      </c>
      <c r="K23" s="2" t="s">
        <v>57</v>
      </c>
      <c r="L23" s="2" t="s">
        <v>1</v>
      </c>
      <c r="M23" s="2" t="s">
        <v>7</v>
      </c>
      <c r="N23" s="2" t="s">
        <v>1</v>
      </c>
      <c r="O23" s="2" t="s">
        <v>1</v>
      </c>
      <c r="P23" s="2" t="s">
        <v>1</v>
      </c>
      <c r="Q23" s="2" t="s">
        <v>1</v>
      </c>
      <c r="R23" s="2" t="s">
        <v>1</v>
      </c>
      <c r="S23" s="2" t="s">
        <v>321</v>
      </c>
      <c r="T23" s="2" t="s">
        <v>1</v>
      </c>
      <c r="U23" s="2" t="s">
        <v>1</v>
      </c>
      <c r="V23" s="2" t="s">
        <v>410</v>
      </c>
      <c r="W23" s="2" t="s">
        <v>1</v>
      </c>
      <c r="X23" s="2" t="s">
        <v>57</v>
      </c>
      <c r="Z23" s="2" t="s">
        <v>57</v>
      </c>
      <c r="AA23" s="2" t="s">
        <v>1</v>
      </c>
      <c r="AB23" s="2" t="s">
        <v>1</v>
      </c>
      <c r="AC23" s="2" t="s">
        <v>1</v>
      </c>
    </row>
    <row r="24" spans="1:29" x14ac:dyDescent="0.4">
      <c r="A24" s="2" t="s">
        <v>304</v>
      </c>
      <c r="B24" s="2" t="s">
        <v>271</v>
      </c>
      <c r="C24" s="2" t="s">
        <v>312</v>
      </c>
      <c r="D24" s="2" t="s">
        <v>322</v>
      </c>
      <c r="E24" s="2" t="s">
        <v>314</v>
      </c>
      <c r="F24" s="2" t="s">
        <v>323</v>
      </c>
      <c r="G24" s="2" t="s">
        <v>147</v>
      </c>
      <c r="H24" s="2" t="s">
        <v>320</v>
      </c>
      <c r="I24" s="2" t="s">
        <v>149</v>
      </c>
      <c r="K24" s="2" t="s">
        <v>57</v>
      </c>
      <c r="L24" s="2" t="s">
        <v>1</v>
      </c>
      <c r="M24" s="2" t="s">
        <v>7</v>
      </c>
      <c r="N24" s="2" t="s">
        <v>1</v>
      </c>
      <c r="O24" s="2" t="s">
        <v>1</v>
      </c>
      <c r="P24" s="2" t="s">
        <v>1</v>
      </c>
      <c r="Q24" s="2" t="s">
        <v>1</v>
      </c>
      <c r="R24" s="2" t="s">
        <v>1</v>
      </c>
      <c r="S24" s="2" t="s">
        <v>324</v>
      </c>
      <c r="T24" s="2" t="s">
        <v>1</v>
      </c>
      <c r="U24" s="2" t="s">
        <v>1</v>
      </c>
      <c r="V24" s="2" t="s">
        <v>410</v>
      </c>
      <c r="W24" s="2" t="s">
        <v>1</v>
      </c>
      <c r="X24" s="2" t="s">
        <v>57</v>
      </c>
      <c r="Z24" s="2" t="s">
        <v>57</v>
      </c>
      <c r="AA24" s="2" t="s">
        <v>1</v>
      </c>
      <c r="AB24" s="2" t="s">
        <v>1</v>
      </c>
      <c r="AC24" s="2" t="s">
        <v>1</v>
      </c>
    </row>
    <row r="25" spans="1:29" x14ac:dyDescent="0.4">
      <c r="A25" s="2" t="s">
        <v>307</v>
      </c>
      <c r="B25" s="2" t="s">
        <v>271</v>
      </c>
      <c r="C25" s="2" t="s">
        <v>312</v>
      </c>
      <c r="D25" s="2" t="s">
        <v>325</v>
      </c>
      <c r="E25" s="2" t="s">
        <v>326</v>
      </c>
      <c r="F25" s="2" t="s">
        <v>327</v>
      </c>
      <c r="G25" s="2" t="s">
        <v>147</v>
      </c>
      <c r="H25" s="2" t="s">
        <v>328</v>
      </c>
      <c r="I25" s="2" t="s">
        <v>149</v>
      </c>
      <c r="K25" s="2" t="s">
        <v>57</v>
      </c>
      <c r="L25" s="2" t="s">
        <v>1</v>
      </c>
      <c r="M25" s="2" t="s">
        <v>7</v>
      </c>
      <c r="N25" s="2" t="s">
        <v>1</v>
      </c>
      <c r="O25" s="2" t="s">
        <v>1</v>
      </c>
      <c r="P25" s="2" t="s">
        <v>1</v>
      </c>
      <c r="Q25" s="2" t="s">
        <v>1</v>
      </c>
      <c r="R25" s="2" t="s">
        <v>1</v>
      </c>
      <c r="S25" s="2" t="s">
        <v>329</v>
      </c>
      <c r="T25" s="2" t="s">
        <v>1</v>
      </c>
      <c r="U25" s="2" t="s">
        <v>1</v>
      </c>
      <c r="V25" s="2" t="s">
        <v>410</v>
      </c>
      <c r="W25" s="2" t="s">
        <v>1</v>
      </c>
      <c r="X25" s="2" t="s">
        <v>57</v>
      </c>
      <c r="Z25" s="2" t="s">
        <v>57</v>
      </c>
      <c r="AA25" s="2" t="s">
        <v>1</v>
      </c>
      <c r="AB25" s="2" t="s">
        <v>1</v>
      </c>
      <c r="AC25" s="2" t="s">
        <v>1</v>
      </c>
    </row>
    <row r="26" spans="1:29" x14ac:dyDescent="0.4">
      <c r="A26" s="2" t="s">
        <v>311</v>
      </c>
      <c r="B26" s="2" t="s">
        <v>271</v>
      </c>
      <c r="C26" s="2" t="s">
        <v>312</v>
      </c>
      <c r="D26" s="2" t="s">
        <v>330</v>
      </c>
      <c r="E26" s="2" t="s">
        <v>326</v>
      </c>
      <c r="F26" s="2" t="s">
        <v>331</v>
      </c>
      <c r="G26" s="2" t="s">
        <v>61</v>
      </c>
      <c r="H26" s="2" t="s">
        <v>521</v>
      </c>
      <c r="I26" s="2" t="s">
        <v>445</v>
      </c>
      <c r="K26" s="2" t="s">
        <v>57</v>
      </c>
      <c r="L26" s="2" t="s">
        <v>1</v>
      </c>
      <c r="M26" s="2" t="s">
        <v>7</v>
      </c>
      <c r="N26" s="2" t="s">
        <v>1</v>
      </c>
      <c r="O26" s="2" t="s">
        <v>1</v>
      </c>
      <c r="P26" s="2" t="s">
        <v>1</v>
      </c>
      <c r="Q26" s="2" t="s">
        <v>1</v>
      </c>
      <c r="R26" s="2" t="s">
        <v>1</v>
      </c>
      <c r="S26" s="2" t="s">
        <v>332</v>
      </c>
      <c r="T26" s="2" t="s">
        <v>1</v>
      </c>
      <c r="U26" s="2" t="s">
        <v>1</v>
      </c>
      <c r="V26" s="2" t="s">
        <v>410</v>
      </c>
      <c r="W26" s="2" t="s">
        <v>1</v>
      </c>
      <c r="X26" s="2" t="s">
        <v>57</v>
      </c>
      <c r="Z26" s="2" t="s">
        <v>57</v>
      </c>
      <c r="AA26" s="2" t="s">
        <v>1</v>
      </c>
      <c r="AB26" s="2" t="s">
        <v>1</v>
      </c>
      <c r="AC26" s="2" t="s">
        <v>1</v>
      </c>
    </row>
    <row r="27" spans="1:29" x14ac:dyDescent="0.4">
      <c r="A27" s="2" t="s">
        <v>308</v>
      </c>
      <c r="B27" s="2" t="s">
        <v>271</v>
      </c>
      <c r="C27" s="2" t="s">
        <v>312</v>
      </c>
      <c r="D27" s="2" t="s">
        <v>333</v>
      </c>
      <c r="E27" s="2" t="s">
        <v>326</v>
      </c>
      <c r="F27" s="2" t="s">
        <v>334</v>
      </c>
      <c r="G27" s="2" t="s">
        <v>147</v>
      </c>
      <c r="H27" s="2" t="s">
        <v>335</v>
      </c>
      <c r="I27" s="2" t="s">
        <v>149</v>
      </c>
      <c r="K27" s="2" t="s">
        <v>57</v>
      </c>
      <c r="L27" s="2" t="s">
        <v>1</v>
      </c>
      <c r="M27" s="2" t="s">
        <v>7</v>
      </c>
      <c r="N27" s="2" t="s">
        <v>1</v>
      </c>
      <c r="O27" s="2" t="s">
        <v>1</v>
      </c>
      <c r="P27" s="2" t="s">
        <v>1</v>
      </c>
      <c r="Q27" s="2" t="s">
        <v>1</v>
      </c>
      <c r="R27" s="2" t="s">
        <v>1</v>
      </c>
      <c r="S27" s="2" t="s">
        <v>336</v>
      </c>
      <c r="T27" s="2" t="s">
        <v>1</v>
      </c>
      <c r="U27" s="2" t="s">
        <v>1</v>
      </c>
      <c r="V27" s="2" t="s">
        <v>410</v>
      </c>
      <c r="W27" s="2" t="s">
        <v>1</v>
      </c>
      <c r="X27" s="2" t="s">
        <v>57</v>
      </c>
      <c r="Z27" s="2" t="s">
        <v>57</v>
      </c>
      <c r="AA27" s="2" t="s">
        <v>1</v>
      </c>
      <c r="AB27" s="2" t="s">
        <v>1</v>
      </c>
      <c r="AC27" s="2" t="s">
        <v>1</v>
      </c>
    </row>
    <row r="28" spans="1:29" x14ac:dyDescent="0.4">
      <c r="A28" s="2" t="s">
        <v>309</v>
      </c>
      <c r="B28" s="2" t="s">
        <v>271</v>
      </c>
      <c r="C28" s="2" t="s">
        <v>312</v>
      </c>
      <c r="D28" s="2" t="s">
        <v>337</v>
      </c>
      <c r="E28" s="2" t="s">
        <v>326</v>
      </c>
      <c r="F28" s="2" t="s">
        <v>338</v>
      </c>
      <c r="G28" s="2" t="s">
        <v>147</v>
      </c>
      <c r="H28" s="2" t="s">
        <v>339</v>
      </c>
      <c r="I28" s="2" t="s">
        <v>149</v>
      </c>
      <c r="K28" s="2" t="s">
        <v>57</v>
      </c>
      <c r="L28" s="2" t="s">
        <v>1</v>
      </c>
      <c r="M28" s="2" t="s">
        <v>7</v>
      </c>
      <c r="N28" s="2" t="s">
        <v>1</v>
      </c>
      <c r="O28" s="2" t="s">
        <v>1</v>
      </c>
      <c r="P28" s="2" t="s">
        <v>1</v>
      </c>
      <c r="Q28" s="2" t="s">
        <v>1</v>
      </c>
      <c r="R28" s="2" t="s">
        <v>1</v>
      </c>
      <c r="S28" s="2" t="s">
        <v>340</v>
      </c>
      <c r="T28" s="2" t="s">
        <v>1</v>
      </c>
      <c r="U28" s="2" t="s">
        <v>1</v>
      </c>
      <c r="V28" s="2" t="s">
        <v>410</v>
      </c>
      <c r="W28" s="2" t="s">
        <v>1</v>
      </c>
      <c r="X28" s="2" t="s">
        <v>57</v>
      </c>
      <c r="Z28" s="2" t="s">
        <v>57</v>
      </c>
      <c r="AA28" s="2" t="s">
        <v>1</v>
      </c>
      <c r="AB28" s="2" t="s">
        <v>1</v>
      </c>
      <c r="AC28" s="2" t="s">
        <v>1</v>
      </c>
    </row>
    <row r="29" spans="1:29" x14ac:dyDescent="0.4">
      <c r="A29" s="2" t="s">
        <v>310</v>
      </c>
      <c r="B29" s="2" t="s">
        <v>271</v>
      </c>
      <c r="C29" s="2" t="s">
        <v>312</v>
      </c>
      <c r="D29" s="2" t="s">
        <v>341</v>
      </c>
      <c r="E29" s="2" t="s">
        <v>326</v>
      </c>
      <c r="F29" s="2" t="s">
        <v>342</v>
      </c>
      <c r="G29" s="2" t="s">
        <v>147</v>
      </c>
      <c r="H29" s="2" t="s">
        <v>343</v>
      </c>
      <c r="I29" s="2" t="s">
        <v>149</v>
      </c>
      <c r="K29" s="2" t="s">
        <v>57</v>
      </c>
      <c r="L29" s="2" t="s">
        <v>1</v>
      </c>
      <c r="M29" s="2" t="s">
        <v>7</v>
      </c>
      <c r="N29" s="2" t="s">
        <v>1</v>
      </c>
      <c r="O29" s="2" t="s">
        <v>1</v>
      </c>
      <c r="P29" s="2" t="s">
        <v>1</v>
      </c>
      <c r="Q29" s="2" t="s">
        <v>1</v>
      </c>
      <c r="R29" s="2" t="s">
        <v>1</v>
      </c>
      <c r="S29" s="2" t="s">
        <v>344</v>
      </c>
      <c r="T29" s="2" t="s">
        <v>1</v>
      </c>
      <c r="U29" s="2" t="s">
        <v>1</v>
      </c>
      <c r="V29" s="2" t="s">
        <v>410</v>
      </c>
      <c r="W29" s="2" t="s">
        <v>1</v>
      </c>
      <c r="X29" s="2" t="s">
        <v>57</v>
      </c>
      <c r="Z29" s="2" t="s">
        <v>57</v>
      </c>
      <c r="AA29" s="2" t="s">
        <v>1</v>
      </c>
      <c r="AB29" s="2" t="s">
        <v>1</v>
      </c>
      <c r="AC29" s="2" t="s">
        <v>1</v>
      </c>
    </row>
    <row r="30" spans="1:29" x14ac:dyDescent="0.4">
      <c r="A30" s="2" t="s">
        <v>249</v>
      </c>
      <c r="B30" s="2" t="s">
        <v>1</v>
      </c>
      <c r="C30" s="2" t="s">
        <v>1</v>
      </c>
      <c r="D30" s="2" t="s">
        <v>1</v>
      </c>
      <c r="E30" s="2" t="s">
        <v>1</v>
      </c>
      <c r="F30" s="2" t="s">
        <v>1</v>
      </c>
      <c r="G30" s="2" t="s">
        <v>147</v>
      </c>
      <c r="H30" s="2" t="s">
        <v>256</v>
      </c>
      <c r="I30" s="2" t="s">
        <v>2</v>
      </c>
      <c r="K30" s="2" t="s">
        <v>57</v>
      </c>
      <c r="L30" s="2" t="s">
        <v>1</v>
      </c>
      <c r="M30" s="2" t="s">
        <v>1</v>
      </c>
      <c r="N30" s="2" t="s">
        <v>1</v>
      </c>
      <c r="O30" s="2" t="s">
        <v>1</v>
      </c>
      <c r="P30" s="2" t="s">
        <v>1</v>
      </c>
      <c r="Q30" s="2" t="s">
        <v>1</v>
      </c>
      <c r="R30" s="2" t="s">
        <v>1</v>
      </c>
      <c r="S30" s="2" t="s">
        <v>257</v>
      </c>
      <c r="T30" s="2" t="s">
        <v>1</v>
      </c>
      <c r="U30" s="2" t="s">
        <v>1</v>
      </c>
      <c r="V30" s="2" t="s">
        <v>410</v>
      </c>
      <c r="W30" s="2" t="s">
        <v>1</v>
      </c>
      <c r="X30" s="2" t="s">
        <v>211</v>
      </c>
      <c r="Z30" s="2" t="s">
        <v>211</v>
      </c>
      <c r="AA30" s="2" t="s">
        <v>1</v>
      </c>
      <c r="AB30" s="2" t="s">
        <v>1</v>
      </c>
      <c r="AC30" s="2" t="s">
        <v>1</v>
      </c>
    </row>
    <row r="31" spans="1:29" x14ac:dyDescent="0.4">
      <c r="A31" s="2" t="s">
        <v>248</v>
      </c>
      <c r="B31" s="2" t="s">
        <v>128</v>
      </c>
      <c r="C31" s="2" t="s">
        <v>258</v>
      </c>
      <c r="D31" s="2" t="s">
        <v>259</v>
      </c>
      <c r="E31" s="2" t="s">
        <v>260</v>
      </c>
      <c r="F31" s="2" t="s">
        <v>261</v>
      </c>
      <c r="G31" s="2" t="s">
        <v>54</v>
      </c>
      <c r="H31" s="2" t="s">
        <v>262</v>
      </c>
      <c r="I31" s="2" t="s">
        <v>56</v>
      </c>
      <c r="K31" s="2" t="s">
        <v>57</v>
      </c>
      <c r="L31" s="2" t="s">
        <v>1</v>
      </c>
      <c r="M31" s="2" t="s">
        <v>7</v>
      </c>
      <c r="N31" s="2" t="s">
        <v>1</v>
      </c>
      <c r="O31" s="2" t="s">
        <v>1</v>
      </c>
      <c r="P31" s="2" t="s">
        <v>1</v>
      </c>
      <c r="Q31" s="2" t="s">
        <v>1</v>
      </c>
      <c r="R31" s="2" t="s">
        <v>1</v>
      </c>
      <c r="S31" s="2" t="s">
        <v>453</v>
      </c>
      <c r="T31" s="2" t="s">
        <v>1</v>
      </c>
      <c r="U31" s="2" t="s">
        <v>1</v>
      </c>
      <c r="V31" s="2" t="s">
        <v>410</v>
      </c>
      <c r="W31" s="2" t="s">
        <v>1</v>
      </c>
      <c r="X31" s="2" t="s">
        <v>57</v>
      </c>
      <c r="Z31" s="2" t="s">
        <v>57</v>
      </c>
      <c r="AA31" s="2" t="s">
        <v>1</v>
      </c>
      <c r="AB31" s="2" t="s">
        <v>1</v>
      </c>
      <c r="AC31" s="2" t="s">
        <v>1</v>
      </c>
    </row>
    <row r="32" spans="1:29" x14ac:dyDescent="0.4">
      <c r="A32" s="2" t="s">
        <v>251</v>
      </c>
      <c r="B32" s="2" t="s">
        <v>104</v>
      </c>
      <c r="C32" s="2" t="s">
        <v>264</v>
      </c>
      <c r="D32" s="2" t="s">
        <v>265</v>
      </c>
      <c r="E32" s="2" t="s">
        <v>266</v>
      </c>
      <c r="F32" s="2" t="s">
        <v>267</v>
      </c>
      <c r="G32" s="2" t="s">
        <v>147</v>
      </c>
      <c r="H32" s="2" t="s">
        <v>268</v>
      </c>
      <c r="I32" s="2" t="s">
        <v>2</v>
      </c>
      <c r="K32" s="2" t="s">
        <v>211</v>
      </c>
      <c r="L32" s="2" t="s">
        <v>269</v>
      </c>
      <c r="M32" s="2" t="s">
        <v>7</v>
      </c>
      <c r="N32" s="2" t="s">
        <v>1</v>
      </c>
      <c r="O32" s="2" t="s">
        <v>1</v>
      </c>
      <c r="P32" s="2" t="s">
        <v>1</v>
      </c>
      <c r="Q32" s="2" t="s">
        <v>1</v>
      </c>
      <c r="R32" s="2" t="s">
        <v>1</v>
      </c>
      <c r="S32" s="2" t="s">
        <v>269</v>
      </c>
      <c r="T32" s="2" t="s">
        <v>270</v>
      </c>
      <c r="U32" s="2" t="s">
        <v>1</v>
      </c>
      <c r="V32" s="2" t="s">
        <v>410</v>
      </c>
      <c r="W32" s="2" t="s">
        <v>1</v>
      </c>
      <c r="X32" s="2" t="s">
        <v>57</v>
      </c>
      <c r="Z32" s="2" t="s">
        <v>57</v>
      </c>
      <c r="AA32" s="2" t="s">
        <v>1</v>
      </c>
      <c r="AB32" s="2" t="s">
        <v>1</v>
      </c>
      <c r="AC32" s="2" t="s">
        <v>1</v>
      </c>
    </row>
    <row r="33" spans="1:29" x14ac:dyDescent="0.4">
      <c r="A33" s="2" t="s">
        <v>252</v>
      </c>
      <c r="B33" s="2" t="s">
        <v>271</v>
      </c>
      <c r="C33" s="2" t="s">
        <v>272</v>
      </c>
      <c r="D33" s="2" t="s">
        <v>273</v>
      </c>
      <c r="E33" s="2" t="s">
        <v>274</v>
      </c>
      <c r="F33" s="2" t="s">
        <v>275</v>
      </c>
      <c r="G33" s="2" t="s">
        <v>61</v>
      </c>
      <c r="H33" s="2" t="s">
        <v>316</v>
      </c>
      <c r="I33" s="2" t="s">
        <v>63</v>
      </c>
      <c r="K33" s="2" t="s">
        <v>57</v>
      </c>
      <c r="L33" s="2" t="s">
        <v>1</v>
      </c>
      <c r="M33" s="2" t="s">
        <v>7</v>
      </c>
      <c r="N33" s="2" t="s">
        <v>1</v>
      </c>
      <c r="O33" s="2" t="s">
        <v>1</v>
      </c>
      <c r="P33" s="2" t="s">
        <v>1</v>
      </c>
      <c r="Q33" s="2" t="s">
        <v>1</v>
      </c>
      <c r="R33" s="2" t="s">
        <v>1</v>
      </c>
      <c r="S33" s="2" t="s">
        <v>276</v>
      </c>
      <c r="T33" s="2" t="s">
        <v>1</v>
      </c>
      <c r="U33" s="2" t="s">
        <v>1</v>
      </c>
      <c r="V33" s="2" t="s">
        <v>410</v>
      </c>
      <c r="W33" s="2" t="s">
        <v>1</v>
      </c>
      <c r="X33" s="2" t="s">
        <v>57</v>
      </c>
      <c r="Z33" s="2" t="s">
        <v>57</v>
      </c>
      <c r="AA33" s="2" t="s">
        <v>1</v>
      </c>
      <c r="AB33" s="2" t="s">
        <v>1</v>
      </c>
      <c r="AC33" s="2" t="s">
        <v>1</v>
      </c>
    </row>
    <row r="34" spans="1:29" x14ac:dyDescent="0.4">
      <c r="A34" s="2" t="s">
        <v>191</v>
      </c>
      <c r="B34" s="2" t="s">
        <v>128</v>
      </c>
      <c r="C34" s="2" t="s">
        <v>140</v>
      </c>
      <c r="D34" s="2" t="s">
        <v>214</v>
      </c>
      <c r="E34" s="2" t="s">
        <v>141</v>
      </c>
      <c r="F34" s="2" t="s">
        <v>215</v>
      </c>
      <c r="G34" s="2" t="s">
        <v>54</v>
      </c>
      <c r="H34" s="2" t="s">
        <v>216</v>
      </c>
      <c r="I34" s="2" t="s">
        <v>56</v>
      </c>
      <c r="K34" s="2" t="s">
        <v>57</v>
      </c>
      <c r="L34" s="2" t="s">
        <v>1</v>
      </c>
      <c r="M34" s="2" t="s">
        <v>1</v>
      </c>
      <c r="N34" s="2" t="s">
        <v>208</v>
      </c>
      <c r="O34" s="2" t="s">
        <v>1</v>
      </c>
      <c r="P34" s="2" t="s">
        <v>1</v>
      </c>
      <c r="Q34" s="2" t="s">
        <v>1</v>
      </c>
      <c r="R34" s="2" t="s">
        <v>1</v>
      </c>
      <c r="S34" s="2" t="s">
        <v>217</v>
      </c>
      <c r="T34" s="2" t="s">
        <v>1</v>
      </c>
      <c r="U34" s="2" t="s">
        <v>1</v>
      </c>
      <c r="V34" s="2" t="s">
        <v>410</v>
      </c>
      <c r="W34" s="2" t="s">
        <v>1</v>
      </c>
      <c r="X34" s="2" t="s">
        <v>57</v>
      </c>
      <c r="Z34" s="2" t="s">
        <v>57</v>
      </c>
      <c r="AA34" s="2" t="s">
        <v>1</v>
      </c>
      <c r="AB34" s="2" t="s">
        <v>1</v>
      </c>
      <c r="AC34" s="2" t="s">
        <v>7</v>
      </c>
    </row>
    <row r="35" spans="1:29" x14ac:dyDescent="0.4">
      <c r="A35" s="2" t="s">
        <v>253</v>
      </c>
      <c r="B35" s="2" t="s">
        <v>128</v>
      </c>
      <c r="C35" s="2" t="s">
        <v>140</v>
      </c>
      <c r="D35" s="2" t="s">
        <v>277</v>
      </c>
      <c r="E35" s="2" t="s">
        <v>145</v>
      </c>
      <c r="F35" s="2" t="s">
        <v>278</v>
      </c>
      <c r="G35" s="2" t="s">
        <v>54</v>
      </c>
      <c r="H35" s="2" t="s">
        <v>279</v>
      </c>
      <c r="I35" s="2" t="s">
        <v>56</v>
      </c>
      <c r="K35" s="2" t="s">
        <v>57</v>
      </c>
      <c r="L35" s="2" t="s">
        <v>1</v>
      </c>
      <c r="M35" s="2" t="s">
        <v>7</v>
      </c>
      <c r="N35" s="2" t="s">
        <v>1</v>
      </c>
      <c r="O35" s="2" t="s">
        <v>1</v>
      </c>
      <c r="P35" s="2" t="s">
        <v>1</v>
      </c>
      <c r="Q35" s="2" t="s">
        <v>1</v>
      </c>
      <c r="R35" s="2" t="s">
        <v>1</v>
      </c>
      <c r="S35" s="2" t="s">
        <v>280</v>
      </c>
      <c r="T35" s="2" t="s">
        <v>1</v>
      </c>
      <c r="U35" s="2" t="s">
        <v>1</v>
      </c>
      <c r="V35" s="2" t="s">
        <v>410</v>
      </c>
      <c r="W35" s="2" t="s">
        <v>1</v>
      </c>
      <c r="X35" s="2" t="s">
        <v>57</v>
      </c>
      <c r="Z35" s="2" t="s">
        <v>57</v>
      </c>
      <c r="AA35" s="2" t="s">
        <v>1</v>
      </c>
      <c r="AB35" s="2" t="s">
        <v>1</v>
      </c>
      <c r="AC35" s="2" t="s">
        <v>1</v>
      </c>
    </row>
    <row r="36" spans="1:29" x14ac:dyDescent="0.4">
      <c r="A36" s="2" t="s">
        <v>254</v>
      </c>
      <c r="B36" s="2" t="s">
        <v>128</v>
      </c>
      <c r="C36" s="2" t="s">
        <v>281</v>
      </c>
      <c r="D36" s="2" t="s">
        <v>282</v>
      </c>
      <c r="E36" s="2" t="s">
        <v>141</v>
      </c>
      <c r="F36" s="2" t="s">
        <v>283</v>
      </c>
      <c r="G36" s="2" t="s">
        <v>147</v>
      </c>
      <c r="H36" s="2" t="s">
        <v>284</v>
      </c>
      <c r="I36" s="2" t="s">
        <v>285</v>
      </c>
      <c r="K36" s="2" t="s">
        <v>57</v>
      </c>
      <c r="L36" s="2" t="s">
        <v>1</v>
      </c>
      <c r="M36" s="2" t="s">
        <v>7</v>
      </c>
      <c r="N36" s="2" t="s">
        <v>1</v>
      </c>
      <c r="O36" s="2" t="s">
        <v>1</v>
      </c>
      <c r="P36" s="2" t="s">
        <v>1</v>
      </c>
      <c r="Q36" s="2" t="s">
        <v>1</v>
      </c>
      <c r="R36" s="2" t="s">
        <v>1</v>
      </c>
      <c r="S36" s="2" t="s">
        <v>286</v>
      </c>
      <c r="T36" s="2" t="s">
        <v>1</v>
      </c>
      <c r="U36" s="2" t="s">
        <v>1</v>
      </c>
      <c r="V36" s="2" t="s">
        <v>410</v>
      </c>
      <c r="W36" s="2" t="s">
        <v>1</v>
      </c>
      <c r="X36" s="2" t="s">
        <v>57</v>
      </c>
      <c r="Z36" s="2" t="s">
        <v>57</v>
      </c>
      <c r="AA36" s="2" t="s">
        <v>1</v>
      </c>
      <c r="AB36" s="2" t="s">
        <v>1</v>
      </c>
      <c r="AC36" s="2" t="s">
        <v>1</v>
      </c>
    </row>
    <row r="37" spans="1:29" x14ac:dyDescent="0.4">
      <c r="A37" s="2" t="s">
        <v>192</v>
      </c>
      <c r="B37" s="2" t="s">
        <v>128</v>
      </c>
      <c r="C37" s="2" t="s">
        <v>140</v>
      </c>
      <c r="D37" s="2" t="s">
        <v>218</v>
      </c>
      <c r="E37" s="2" t="s">
        <v>145</v>
      </c>
      <c r="F37" s="2" t="s">
        <v>219</v>
      </c>
      <c r="G37" s="2" t="s">
        <v>147</v>
      </c>
      <c r="H37" s="2" t="s">
        <v>220</v>
      </c>
      <c r="I37" s="2" t="s">
        <v>149</v>
      </c>
      <c r="K37" s="2" t="s">
        <v>57</v>
      </c>
      <c r="L37" s="2" t="s">
        <v>1</v>
      </c>
      <c r="M37" s="2" t="s">
        <v>1</v>
      </c>
      <c r="N37" s="2" t="s">
        <v>1</v>
      </c>
      <c r="O37" s="2" t="s">
        <v>1</v>
      </c>
      <c r="P37" s="2" t="s">
        <v>1</v>
      </c>
      <c r="Q37" s="2" t="s">
        <v>1</v>
      </c>
      <c r="R37" s="2" t="s">
        <v>1</v>
      </c>
      <c r="S37" s="2" t="s">
        <v>221</v>
      </c>
      <c r="T37" s="2" t="s">
        <v>1</v>
      </c>
      <c r="U37" s="2" t="s">
        <v>1</v>
      </c>
      <c r="V37" s="2" t="s">
        <v>410</v>
      </c>
      <c r="W37" s="2" t="s">
        <v>1</v>
      </c>
      <c r="X37" s="2" t="s">
        <v>57</v>
      </c>
      <c r="Z37" s="2" t="s">
        <v>57</v>
      </c>
      <c r="AA37" s="2" t="s">
        <v>1</v>
      </c>
      <c r="AB37" s="2" t="s">
        <v>1</v>
      </c>
      <c r="AC37" s="2" t="s">
        <v>1</v>
      </c>
    </row>
    <row r="38" spans="1:29" x14ac:dyDescent="0.4">
      <c r="A38" s="2" t="s">
        <v>195</v>
      </c>
      <c r="B38" s="2" t="s">
        <v>128</v>
      </c>
      <c r="C38" s="2" t="s">
        <v>140</v>
      </c>
      <c r="D38" s="2" t="s">
        <v>222</v>
      </c>
      <c r="E38" s="2" t="s">
        <v>145</v>
      </c>
      <c r="F38" s="2" t="s">
        <v>223</v>
      </c>
      <c r="G38" s="2" t="s">
        <v>54</v>
      </c>
      <c r="H38" s="2" t="s">
        <v>224</v>
      </c>
      <c r="I38" s="2" t="s">
        <v>56</v>
      </c>
      <c r="K38" s="2" t="s">
        <v>57</v>
      </c>
      <c r="L38" s="2" t="s">
        <v>1</v>
      </c>
      <c r="M38" s="2" t="s">
        <v>1</v>
      </c>
      <c r="N38" s="2" t="s">
        <v>225</v>
      </c>
      <c r="O38" s="2" t="s">
        <v>1</v>
      </c>
      <c r="P38" s="2" t="s">
        <v>1</v>
      </c>
      <c r="Q38" s="2" t="s">
        <v>1</v>
      </c>
      <c r="R38" s="2" t="s">
        <v>1</v>
      </c>
      <c r="S38" s="2" t="s">
        <v>226</v>
      </c>
      <c r="T38" s="2" t="s">
        <v>1</v>
      </c>
      <c r="U38" s="2" t="s">
        <v>1</v>
      </c>
      <c r="V38" s="2" t="s">
        <v>410</v>
      </c>
      <c r="W38" s="2" t="s">
        <v>1</v>
      </c>
      <c r="X38" s="2" t="s">
        <v>57</v>
      </c>
      <c r="Z38" s="2" t="s">
        <v>57</v>
      </c>
      <c r="AA38" s="2" t="s">
        <v>1</v>
      </c>
      <c r="AB38" s="2" t="s">
        <v>1</v>
      </c>
      <c r="AC38" s="2" t="s">
        <v>7</v>
      </c>
    </row>
    <row r="39" spans="1:29" x14ac:dyDescent="0.4">
      <c r="A39" s="2" t="s">
        <v>255</v>
      </c>
      <c r="B39" s="2" t="s">
        <v>128</v>
      </c>
      <c r="C39" s="2" t="s">
        <v>281</v>
      </c>
      <c r="D39" s="2" t="s">
        <v>287</v>
      </c>
      <c r="E39" s="2" t="s">
        <v>141</v>
      </c>
      <c r="F39" s="2" t="s">
        <v>288</v>
      </c>
      <c r="G39" s="2" t="s">
        <v>147</v>
      </c>
      <c r="H39" s="2" t="s">
        <v>289</v>
      </c>
      <c r="I39" s="2" t="s">
        <v>2</v>
      </c>
      <c r="K39" s="2" t="s">
        <v>57</v>
      </c>
      <c r="L39" s="2" t="s">
        <v>1</v>
      </c>
      <c r="M39" s="2" t="s">
        <v>7</v>
      </c>
      <c r="N39" s="2" t="s">
        <v>1</v>
      </c>
      <c r="O39" s="2" t="s">
        <v>1</v>
      </c>
      <c r="P39" s="2" t="s">
        <v>1</v>
      </c>
      <c r="Q39" s="2" t="s">
        <v>1</v>
      </c>
      <c r="R39" s="2" t="s">
        <v>1</v>
      </c>
      <c r="S39" s="2" t="s">
        <v>290</v>
      </c>
      <c r="T39" s="2" t="s">
        <v>1</v>
      </c>
      <c r="U39" s="2" t="s">
        <v>1</v>
      </c>
      <c r="V39" s="2" t="s">
        <v>410</v>
      </c>
      <c r="W39" s="2" t="s">
        <v>1</v>
      </c>
      <c r="X39" s="2" t="s">
        <v>57</v>
      </c>
      <c r="Z39" s="2" t="s">
        <v>57</v>
      </c>
      <c r="AA39" s="2" t="s">
        <v>1</v>
      </c>
      <c r="AB39" s="2" t="s">
        <v>1</v>
      </c>
      <c r="AC39" s="2" t="s">
        <v>1</v>
      </c>
    </row>
    <row r="40" spans="1:29" x14ac:dyDescent="0.4">
      <c r="A40" s="2" t="s">
        <v>193</v>
      </c>
      <c r="B40" s="2" t="s">
        <v>128</v>
      </c>
      <c r="C40" s="2" t="s">
        <v>140</v>
      </c>
      <c r="D40" s="2" t="s">
        <v>227</v>
      </c>
      <c r="E40" s="2" t="s">
        <v>145</v>
      </c>
      <c r="F40" s="2" t="s">
        <v>228</v>
      </c>
      <c r="G40" s="2" t="s">
        <v>147</v>
      </c>
      <c r="H40" s="2" t="s">
        <v>229</v>
      </c>
      <c r="I40" s="2" t="s">
        <v>149</v>
      </c>
      <c r="K40" s="2" t="s">
        <v>57</v>
      </c>
      <c r="L40" s="2" t="s">
        <v>1</v>
      </c>
      <c r="M40" s="2" t="s">
        <v>1</v>
      </c>
      <c r="N40" s="2" t="s">
        <v>1</v>
      </c>
      <c r="O40" s="2" t="s">
        <v>1</v>
      </c>
      <c r="P40" s="2" t="s">
        <v>1</v>
      </c>
      <c r="Q40" s="2" t="s">
        <v>1</v>
      </c>
      <c r="R40" s="2" t="s">
        <v>1</v>
      </c>
      <c r="S40" s="2" t="s">
        <v>230</v>
      </c>
      <c r="T40" s="2" t="s">
        <v>1</v>
      </c>
      <c r="U40" s="2" t="s">
        <v>1</v>
      </c>
      <c r="V40" s="2" t="s">
        <v>410</v>
      </c>
      <c r="W40" s="2" t="s">
        <v>1</v>
      </c>
      <c r="X40" s="2" t="s">
        <v>57</v>
      </c>
      <c r="Z40" s="2" t="s">
        <v>57</v>
      </c>
      <c r="AA40" s="2" t="s">
        <v>1</v>
      </c>
      <c r="AB40" s="2" t="s">
        <v>1</v>
      </c>
      <c r="AC40" s="2" t="s">
        <v>1</v>
      </c>
    </row>
    <row r="41" spans="1:29" x14ac:dyDescent="0.4">
      <c r="A41" s="2" t="s">
        <v>194</v>
      </c>
      <c r="B41" s="2" t="s">
        <v>128</v>
      </c>
      <c r="C41" s="2" t="s">
        <v>140</v>
      </c>
      <c r="D41" s="2" t="s">
        <v>231</v>
      </c>
      <c r="E41" s="2" t="s">
        <v>145</v>
      </c>
      <c r="F41" s="2" t="s">
        <v>232</v>
      </c>
      <c r="G41" s="2" t="s">
        <v>54</v>
      </c>
      <c r="H41" s="2" t="s">
        <v>233</v>
      </c>
      <c r="I41" s="2" t="s">
        <v>56</v>
      </c>
      <c r="K41" s="2" t="s">
        <v>57</v>
      </c>
      <c r="L41" s="2" t="s">
        <v>1</v>
      </c>
      <c r="M41" s="2" t="s">
        <v>1</v>
      </c>
      <c r="N41" s="2" t="s">
        <v>225</v>
      </c>
      <c r="O41" s="2" t="s">
        <v>1</v>
      </c>
      <c r="P41" s="2" t="s">
        <v>1</v>
      </c>
      <c r="Q41" s="2" t="s">
        <v>1</v>
      </c>
      <c r="R41" s="2" t="s">
        <v>1</v>
      </c>
      <c r="S41" s="2" t="s">
        <v>234</v>
      </c>
      <c r="T41" s="2" t="s">
        <v>1</v>
      </c>
      <c r="U41" s="2" t="s">
        <v>1</v>
      </c>
      <c r="V41" s="2" t="s">
        <v>410</v>
      </c>
      <c r="W41" s="2" t="s">
        <v>1</v>
      </c>
      <c r="X41" s="2" t="s">
        <v>57</v>
      </c>
      <c r="Z41" s="2" t="s">
        <v>57</v>
      </c>
      <c r="AA41" s="2" t="s">
        <v>1</v>
      </c>
      <c r="AB41" s="2" t="s">
        <v>1</v>
      </c>
      <c r="AC41" s="2" t="s">
        <v>7</v>
      </c>
    </row>
    <row r="42" spans="1:29" x14ac:dyDescent="0.4">
      <c r="A42" s="2" t="s">
        <v>400</v>
      </c>
      <c r="B42" s="2" t="s">
        <v>128</v>
      </c>
      <c r="C42" s="2" t="s">
        <v>411</v>
      </c>
      <c r="D42" s="2" t="s">
        <v>412</v>
      </c>
      <c r="E42" s="2" t="s">
        <v>398</v>
      </c>
      <c r="F42" s="2" t="s">
        <v>413</v>
      </c>
      <c r="G42" s="2" t="s">
        <v>61</v>
      </c>
      <c r="H42" s="2" t="s">
        <v>316</v>
      </c>
      <c r="I42" s="2" t="s">
        <v>63</v>
      </c>
      <c r="K42" s="2" t="s">
        <v>211</v>
      </c>
      <c r="L42" s="2" t="s">
        <v>414</v>
      </c>
      <c r="M42" s="2" t="s">
        <v>1</v>
      </c>
      <c r="N42" s="2" t="s">
        <v>1</v>
      </c>
      <c r="O42" s="2" t="s">
        <v>415</v>
      </c>
      <c r="P42" s="2" t="s">
        <v>416</v>
      </c>
      <c r="Q42" s="2" t="s">
        <v>1</v>
      </c>
      <c r="R42" s="2" t="s">
        <v>1</v>
      </c>
      <c r="S42" s="2" t="s">
        <v>417</v>
      </c>
      <c r="T42" s="2" t="s">
        <v>418</v>
      </c>
      <c r="U42" s="2" t="s">
        <v>1</v>
      </c>
      <c r="V42" s="2" t="s">
        <v>410</v>
      </c>
      <c r="W42" s="2" t="s">
        <v>1</v>
      </c>
      <c r="X42" s="2" t="s">
        <v>57</v>
      </c>
      <c r="Z42" s="2" t="s">
        <v>57</v>
      </c>
      <c r="AA42" s="2" t="s">
        <v>1</v>
      </c>
      <c r="AB42" s="2" t="s">
        <v>1</v>
      </c>
      <c r="AC42" s="2" t="s">
        <v>1</v>
      </c>
    </row>
    <row r="43" spans="1:29" x14ac:dyDescent="0.4">
      <c r="A43" s="2" t="s">
        <v>401</v>
      </c>
      <c r="B43" s="2" t="s">
        <v>128</v>
      </c>
      <c r="C43" s="2" t="s">
        <v>411</v>
      </c>
      <c r="D43" s="2" t="s">
        <v>419</v>
      </c>
      <c r="E43" s="2" t="s">
        <v>398</v>
      </c>
      <c r="F43" s="2" t="s">
        <v>420</v>
      </c>
      <c r="G43" s="2" t="s">
        <v>54</v>
      </c>
      <c r="H43" s="2" t="s">
        <v>421</v>
      </c>
      <c r="I43" s="2" t="s">
        <v>56</v>
      </c>
      <c r="K43" s="2" t="s">
        <v>211</v>
      </c>
      <c r="L43" s="2" t="s">
        <v>422</v>
      </c>
      <c r="M43" s="2" t="s">
        <v>7</v>
      </c>
      <c r="N43" s="2" t="s">
        <v>1</v>
      </c>
      <c r="O43" s="2" t="s">
        <v>415</v>
      </c>
      <c r="P43" s="2" t="s">
        <v>416</v>
      </c>
      <c r="Q43" s="2" t="s">
        <v>1</v>
      </c>
      <c r="R43" s="2" t="s">
        <v>1</v>
      </c>
      <c r="S43" s="2" t="s">
        <v>423</v>
      </c>
      <c r="T43" s="2" t="s">
        <v>418</v>
      </c>
      <c r="U43" s="2" t="s">
        <v>1</v>
      </c>
      <c r="V43" s="2" t="s">
        <v>410</v>
      </c>
      <c r="W43" s="2" t="s">
        <v>1</v>
      </c>
      <c r="X43" s="2" t="s">
        <v>57</v>
      </c>
      <c r="Z43" s="2" t="s">
        <v>57</v>
      </c>
      <c r="AA43" s="2" t="s">
        <v>1</v>
      </c>
      <c r="AB43" s="2" t="s">
        <v>1</v>
      </c>
      <c r="AC43" s="2" t="s">
        <v>1</v>
      </c>
    </row>
    <row r="44" spans="1:29" x14ac:dyDescent="0.4">
      <c r="A44" s="2" t="s">
        <v>402</v>
      </c>
      <c r="B44" s="2" t="s">
        <v>128</v>
      </c>
      <c r="C44" s="2" t="s">
        <v>411</v>
      </c>
      <c r="D44" s="2" t="s">
        <v>424</v>
      </c>
      <c r="E44" s="2" t="s">
        <v>398</v>
      </c>
      <c r="F44" s="2" t="s">
        <v>425</v>
      </c>
      <c r="G44" s="2" t="s">
        <v>147</v>
      </c>
      <c r="H44" s="2" t="s">
        <v>7</v>
      </c>
      <c r="I44" s="2" t="s">
        <v>2</v>
      </c>
      <c r="K44" s="2" t="s">
        <v>211</v>
      </c>
      <c r="L44" s="2" t="s">
        <v>426</v>
      </c>
      <c r="M44" s="2" t="s">
        <v>1</v>
      </c>
      <c r="N44" s="2" t="s">
        <v>1</v>
      </c>
      <c r="O44" s="2" t="s">
        <v>415</v>
      </c>
      <c r="P44" s="2" t="s">
        <v>416</v>
      </c>
      <c r="Q44" s="2" t="s">
        <v>1</v>
      </c>
      <c r="R44" s="2" t="s">
        <v>1</v>
      </c>
      <c r="S44" s="2" t="s">
        <v>404</v>
      </c>
      <c r="T44" s="2" t="s">
        <v>418</v>
      </c>
      <c r="U44" s="2" t="s">
        <v>1</v>
      </c>
      <c r="V44" s="2" t="s">
        <v>427</v>
      </c>
      <c r="W44" s="2" t="s">
        <v>1</v>
      </c>
      <c r="X44" s="2" t="s">
        <v>57</v>
      </c>
      <c r="Z44" s="2" t="s">
        <v>57</v>
      </c>
      <c r="AA44" s="2" t="s">
        <v>1</v>
      </c>
      <c r="AB44" s="2" t="s">
        <v>1</v>
      </c>
      <c r="AC44" s="2" t="s">
        <v>1</v>
      </c>
    </row>
    <row r="45" spans="1:29" x14ac:dyDescent="0.4">
      <c r="A45" s="2" t="s">
        <v>47</v>
      </c>
      <c r="B45" s="2" t="s">
        <v>50</v>
      </c>
      <c r="C45" s="2" t="s">
        <v>51</v>
      </c>
      <c r="D45" s="2" t="s">
        <v>59</v>
      </c>
      <c r="E45" s="2" t="s">
        <v>1</v>
      </c>
      <c r="F45" s="2" t="s">
        <v>60</v>
      </c>
      <c r="G45" s="2" t="s">
        <v>61</v>
      </c>
      <c r="H45" s="2" t="s">
        <v>62</v>
      </c>
      <c r="I45" s="2" t="s">
        <v>63</v>
      </c>
      <c r="K45" s="2" t="s">
        <v>57</v>
      </c>
      <c r="L45" s="2" t="s">
        <v>1</v>
      </c>
      <c r="M45" s="2" t="s">
        <v>7</v>
      </c>
      <c r="N45" s="2" t="s">
        <v>1</v>
      </c>
      <c r="O45" s="2" t="s">
        <v>1</v>
      </c>
      <c r="P45" s="2" t="s">
        <v>1</v>
      </c>
      <c r="Q45" s="2" t="s">
        <v>1</v>
      </c>
      <c r="R45" s="2" t="s">
        <v>1</v>
      </c>
      <c r="S45" s="2" t="s">
        <v>64</v>
      </c>
      <c r="T45" s="2" t="s">
        <v>1</v>
      </c>
      <c r="U45" s="2" t="s">
        <v>1</v>
      </c>
      <c r="V45" s="2" t="s">
        <v>410</v>
      </c>
      <c r="W45" s="2" t="s">
        <v>1</v>
      </c>
      <c r="X45" s="2" t="s">
        <v>57</v>
      </c>
      <c r="Z45" s="2" t="s">
        <v>57</v>
      </c>
      <c r="AA45" s="2" t="s">
        <v>1</v>
      </c>
      <c r="AB45" s="2" t="s">
        <v>1</v>
      </c>
      <c r="AC45" s="2" t="s">
        <v>1</v>
      </c>
    </row>
    <row r="46" spans="1:29" x14ac:dyDescent="0.4">
      <c r="A46" s="2" t="s">
        <v>48</v>
      </c>
      <c r="B46" s="2" t="s">
        <v>65</v>
      </c>
      <c r="C46" s="2" t="s">
        <v>66</v>
      </c>
      <c r="D46" s="2" t="s">
        <v>67</v>
      </c>
      <c r="E46" s="2" t="s">
        <v>68</v>
      </c>
      <c r="F46" s="2" t="s">
        <v>69</v>
      </c>
      <c r="G46" s="2" t="s">
        <v>54</v>
      </c>
      <c r="H46" s="2" t="s">
        <v>70</v>
      </c>
      <c r="I46" s="2" t="s">
        <v>56</v>
      </c>
      <c r="K46" s="2" t="s">
        <v>57</v>
      </c>
      <c r="L46" s="2" t="s">
        <v>1</v>
      </c>
      <c r="M46" s="2" t="s">
        <v>7</v>
      </c>
      <c r="N46" s="2" t="s">
        <v>1</v>
      </c>
      <c r="O46" s="2" t="s">
        <v>1</v>
      </c>
      <c r="P46" s="2" t="s">
        <v>1</v>
      </c>
      <c r="Q46" s="2" t="s">
        <v>1</v>
      </c>
      <c r="R46" s="2" t="s">
        <v>1</v>
      </c>
      <c r="S46" s="2" t="s">
        <v>71</v>
      </c>
      <c r="T46" s="2" t="s">
        <v>1</v>
      </c>
      <c r="U46" s="2" t="s">
        <v>1</v>
      </c>
      <c r="V46" s="2" t="s">
        <v>410</v>
      </c>
      <c r="W46" s="2" t="s">
        <v>1</v>
      </c>
      <c r="X46" s="2" t="s">
        <v>57</v>
      </c>
      <c r="Z46" s="2" t="s">
        <v>57</v>
      </c>
      <c r="AA46" s="2" t="s">
        <v>1</v>
      </c>
      <c r="AB46" s="2" t="s">
        <v>1</v>
      </c>
      <c r="AC46" s="2" t="s">
        <v>1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A2DA1-62F4-4F78-BCEC-160514C25A22}">
  <dimension ref="A1:C54"/>
  <sheetViews>
    <sheetView workbookViewId="0"/>
  </sheetViews>
  <sheetFormatPr defaultRowHeight="18.75" x14ac:dyDescent="0.4"/>
  <sheetData>
    <row r="1" spans="1:1" x14ac:dyDescent="0.4">
      <c r="A1" s="2" t="s">
        <v>0</v>
      </c>
    </row>
    <row r="2" spans="1:1" x14ac:dyDescent="0.4">
      <c r="A2" s="2" t="s">
        <v>76</v>
      </c>
    </row>
    <row r="3" spans="1:1" x14ac:dyDescent="0.4">
      <c r="A3" s="2" t="s">
        <v>7</v>
      </c>
    </row>
    <row r="11" spans="1:1" x14ac:dyDescent="0.4">
      <c r="A11" s="2" t="s">
        <v>404</v>
      </c>
    </row>
    <row r="12" spans="1:1" x14ac:dyDescent="0.4">
      <c r="A12" s="2" t="s">
        <v>7</v>
      </c>
    </row>
    <row r="13" spans="1:1" x14ac:dyDescent="0.4">
      <c r="A13" s="2" t="s">
        <v>405</v>
      </c>
    </row>
    <row r="14" spans="1:1" x14ac:dyDescent="0.4">
      <c r="A14" s="2" t="s">
        <v>406</v>
      </c>
    </row>
    <row r="15" spans="1:1" x14ac:dyDescent="0.4">
      <c r="A15" s="2" t="s">
        <v>398</v>
      </c>
    </row>
    <row r="16" spans="1:1" x14ac:dyDescent="0.4">
      <c r="A16" s="2" t="s">
        <v>2</v>
      </c>
    </row>
    <row r="17" spans="1:3" x14ac:dyDescent="0.4">
      <c r="A17" s="2" t="s">
        <v>2</v>
      </c>
    </row>
    <row r="18" spans="1:3" x14ac:dyDescent="0.4">
      <c r="A18" s="2" t="s">
        <v>1</v>
      </c>
    </row>
    <row r="19" spans="1:3" x14ac:dyDescent="0.4">
      <c r="A19" s="2" t="s">
        <v>8</v>
      </c>
    </row>
    <row r="20" spans="1:3" x14ac:dyDescent="0.4">
      <c r="A20" s="2" t="s">
        <v>1</v>
      </c>
    </row>
    <row r="31" spans="1:3" x14ac:dyDescent="0.4">
      <c r="A31" s="2" t="s">
        <v>413</v>
      </c>
      <c r="B31" s="2" t="s">
        <v>417</v>
      </c>
      <c r="C31" s="2" t="s">
        <v>2</v>
      </c>
    </row>
    <row r="32" spans="1:3" x14ac:dyDescent="0.4">
      <c r="A32" s="2" t="s">
        <v>420</v>
      </c>
      <c r="B32" s="2" t="s">
        <v>423</v>
      </c>
      <c r="C32" s="2"/>
    </row>
    <row r="33" spans="1:3" x14ac:dyDescent="0.4">
      <c r="A33" s="2" t="s">
        <v>441</v>
      </c>
      <c r="B33" s="2"/>
      <c r="C33" s="2"/>
    </row>
    <row r="34" spans="1:3" x14ac:dyDescent="0.4">
      <c r="A34" s="2" t="s">
        <v>442</v>
      </c>
      <c r="B34" s="2"/>
      <c r="C34" s="2"/>
    </row>
    <row r="35" spans="1:3" x14ac:dyDescent="0.4">
      <c r="A35" s="2" t="s">
        <v>1</v>
      </c>
      <c r="B35" s="2"/>
      <c r="C35" s="2"/>
    </row>
    <row r="36" spans="1:3" x14ac:dyDescent="0.4">
      <c r="A36" s="2" t="s">
        <v>2</v>
      </c>
      <c r="B36" s="2"/>
      <c r="C36" s="2"/>
    </row>
    <row r="37" spans="1:3" x14ac:dyDescent="0.4">
      <c r="A37" s="2" t="s">
        <v>2</v>
      </c>
      <c r="B37" s="2"/>
      <c r="C37" s="2"/>
    </row>
    <row r="38" spans="1:3" x14ac:dyDescent="0.4">
      <c r="A38" s="2" t="s">
        <v>1</v>
      </c>
      <c r="B38" s="2"/>
      <c r="C38" s="2"/>
    </row>
    <row r="39" spans="1:3" x14ac:dyDescent="0.4">
      <c r="A39" t="s">
        <v>505</v>
      </c>
    </row>
    <row r="51" spans="1:1" x14ac:dyDescent="0.4">
      <c r="A51" s="2" t="s">
        <v>527</v>
      </c>
    </row>
    <row r="52" spans="1:1" x14ac:dyDescent="0.4">
      <c r="A52" s="2" t="s">
        <v>1</v>
      </c>
    </row>
    <row r="53" spans="1:1" x14ac:dyDescent="0.4">
      <c r="A53" s="2" t="s">
        <v>1</v>
      </c>
    </row>
    <row r="54" spans="1:1" x14ac:dyDescent="0.4">
      <c r="A54" s="2" t="s">
        <v>1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A1699-A8EB-42D1-9482-8F39494C2D5B}">
  <dimension ref="B1:AZ43"/>
  <sheetViews>
    <sheetView tabSelected="1" view="pageBreakPreview" topLeftCell="A8" zoomScale="115" zoomScaleNormal="100" zoomScaleSheetLayoutView="115" workbookViewId="0">
      <selection activeCell="BA37" sqref="BA37"/>
    </sheetView>
  </sheetViews>
  <sheetFormatPr defaultColWidth="2.25" defaultRowHeight="18.75" x14ac:dyDescent="0.4"/>
  <cols>
    <col min="36" max="52" width="2.25" hidden="1" customWidth="1"/>
  </cols>
  <sheetData>
    <row r="1" spans="2:52" x14ac:dyDescent="0.4">
      <c r="B1" s="49" t="s">
        <v>41</v>
      </c>
      <c r="C1" s="49"/>
      <c r="D1" s="49"/>
      <c r="E1" s="49"/>
      <c r="F1" s="49"/>
      <c r="G1" s="49"/>
      <c r="H1" s="49"/>
      <c r="I1" s="49"/>
      <c r="J1" s="49"/>
      <c r="K1" s="49"/>
      <c r="S1" s="4"/>
      <c r="T1" s="4"/>
    </row>
    <row r="2" spans="2:52" x14ac:dyDescent="0.4">
      <c r="B2" s="49"/>
      <c r="C2" s="49"/>
      <c r="D2" s="49"/>
      <c r="E2" s="49"/>
      <c r="F2" s="49"/>
      <c r="G2" s="49"/>
      <c r="H2" s="49"/>
      <c r="I2" s="49"/>
      <c r="J2" s="49"/>
      <c r="K2" s="49"/>
      <c r="S2" s="4"/>
      <c r="T2" s="4"/>
      <c r="Y2" s="27" t="s">
        <v>42</v>
      </c>
      <c r="Z2" s="27"/>
      <c r="AA2" s="27"/>
      <c r="AB2" s="27"/>
      <c r="AC2" s="50" t="s">
        <v>43</v>
      </c>
      <c r="AD2" s="50"/>
      <c r="AE2" s="50"/>
      <c r="AF2" s="50"/>
      <c r="AG2" s="50"/>
      <c r="AH2" s="50"/>
      <c r="AI2" s="50"/>
    </row>
    <row r="3" spans="2:52" ht="6.75" customHeight="1" x14ac:dyDescent="0.4">
      <c r="S3" s="5"/>
      <c r="T3" s="5"/>
    </row>
    <row r="4" spans="2:52" x14ac:dyDescent="0.4">
      <c r="B4" s="39" t="s">
        <v>44</v>
      </c>
      <c r="C4" s="39"/>
      <c r="D4" s="39"/>
      <c r="E4" s="39"/>
      <c r="F4" s="39"/>
      <c r="G4" s="52" t="s">
        <v>93</v>
      </c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38" t="s">
        <v>96</v>
      </c>
      <c r="T4" s="38"/>
      <c r="U4" s="38"/>
      <c r="V4" s="38"/>
      <c r="W4" s="38"/>
      <c r="X4" s="51" t="s">
        <v>94</v>
      </c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</row>
    <row r="5" spans="2:52" x14ac:dyDescent="0.4">
      <c r="B5" s="39"/>
      <c r="C5" s="39"/>
      <c r="D5" s="39"/>
      <c r="E5" s="39"/>
      <c r="F5" s="39"/>
      <c r="G5" s="53" t="s">
        <v>92</v>
      </c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38" t="s">
        <v>97</v>
      </c>
      <c r="T5" s="38"/>
      <c r="U5" s="38"/>
      <c r="V5" s="38"/>
      <c r="W5" s="38"/>
      <c r="X5" s="38" t="str">
        <f>AK5&amp;"  "&amp;"歳"&amp;"　　"&amp;AL5</f>
        <v>##患者情報.本人情報.年齢  歳　　##患者情報.本人情報.性別</v>
      </c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6"/>
      <c r="AK5" s="7" t="s">
        <v>172</v>
      </c>
      <c r="AL5" s="8" t="s">
        <v>173</v>
      </c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</row>
    <row r="6" spans="2:52" x14ac:dyDescent="0.4">
      <c r="B6" s="39" t="s">
        <v>45</v>
      </c>
      <c r="C6" s="39"/>
      <c r="D6" s="39"/>
      <c r="E6" s="39"/>
      <c r="F6" s="39"/>
      <c r="G6" s="37" t="s">
        <v>98</v>
      </c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</row>
    <row r="7" spans="2:52" x14ac:dyDescent="0.4">
      <c r="B7" s="39" t="s">
        <v>80</v>
      </c>
      <c r="C7" s="39"/>
      <c r="D7" s="39"/>
      <c r="E7" s="39"/>
      <c r="F7" s="39"/>
      <c r="G7" s="51" t="s">
        <v>99</v>
      </c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38" t="s">
        <v>164</v>
      </c>
      <c r="T7" s="38"/>
      <c r="U7" s="38"/>
      <c r="V7" s="38"/>
      <c r="W7" s="38"/>
      <c r="X7" s="37" t="s">
        <v>188</v>
      </c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6"/>
      <c r="AK7" s="10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</row>
    <row r="8" spans="2:52" x14ac:dyDescent="0.4">
      <c r="B8" s="39" t="s">
        <v>81</v>
      </c>
      <c r="C8" s="39"/>
      <c r="D8" s="39"/>
      <c r="E8" s="39"/>
      <c r="F8" s="39"/>
      <c r="G8" s="51" t="s">
        <v>100</v>
      </c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38" t="s">
        <v>165</v>
      </c>
      <c r="T8" s="38"/>
      <c r="U8" s="38"/>
      <c r="V8" s="38"/>
      <c r="W8" s="38"/>
      <c r="X8" s="37" t="s">
        <v>189</v>
      </c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</row>
    <row r="9" spans="2:52" x14ac:dyDescent="0.4">
      <c r="B9" s="39" t="s">
        <v>82</v>
      </c>
      <c r="C9" s="39"/>
      <c r="D9" s="39"/>
      <c r="E9" s="39"/>
      <c r="F9" s="39"/>
      <c r="G9" s="37" t="s">
        <v>101</v>
      </c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8" t="s">
        <v>166</v>
      </c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</row>
    <row r="10" spans="2:52" x14ac:dyDescent="0.4">
      <c r="B10" s="39" t="s">
        <v>84</v>
      </c>
      <c r="C10" s="39"/>
      <c r="D10" s="39"/>
      <c r="E10" s="39"/>
      <c r="F10" s="39"/>
      <c r="G10" s="37" t="s">
        <v>102</v>
      </c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</row>
    <row r="11" spans="2:52" x14ac:dyDescent="0.4">
      <c r="B11" s="39" t="s">
        <v>86</v>
      </c>
      <c r="C11" s="39"/>
      <c r="D11" s="39"/>
      <c r="E11" s="39"/>
      <c r="F11" s="39"/>
      <c r="G11" s="58" t="s">
        <v>490</v>
      </c>
      <c r="H11" s="59"/>
      <c r="I11" s="59"/>
      <c r="J11" s="59"/>
      <c r="K11" s="59"/>
      <c r="L11" s="60" t="s">
        <v>171</v>
      </c>
      <c r="M11" s="60"/>
      <c r="N11" s="60"/>
      <c r="O11" s="60"/>
      <c r="P11" s="60"/>
      <c r="Q11" s="60"/>
      <c r="R11" s="61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</row>
    <row r="12" spans="2:52" ht="13.5" customHeight="1" x14ac:dyDescent="0.4">
      <c r="B12" s="39" t="s">
        <v>87</v>
      </c>
      <c r="C12" s="39"/>
      <c r="D12" s="39"/>
      <c r="E12" s="39"/>
      <c r="F12" s="39"/>
      <c r="G12" s="43" t="s">
        <v>300</v>
      </c>
      <c r="H12" s="43"/>
      <c r="I12" s="43"/>
      <c r="J12" s="43" t="s">
        <v>358</v>
      </c>
      <c r="K12" s="43"/>
      <c r="L12" s="43"/>
      <c r="M12" s="43" t="s">
        <v>301</v>
      </c>
      <c r="N12" s="43"/>
      <c r="O12" s="43"/>
      <c r="P12" s="43" t="s">
        <v>302</v>
      </c>
      <c r="Q12" s="43"/>
      <c r="R12" s="43"/>
      <c r="S12" s="38" t="s">
        <v>167</v>
      </c>
      <c r="T12" s="38"/>
      <c r="U12" s="38"/>
      <c r="V12" s="38"/>
      <c r="W12" s="38"/>
      <c r="X12" s="37" t="str">
        <f>AT12&amp;" "&amp;AU12</f>
        <v>##患者情報.感染症(+)(-)(不明).感染症 ##患者情報.感染症(+)(-)(不明).感染症結果</v>
      </c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8" t="s">
        <v>190</v>
      </c>
      <c r="AU12" s="8" t="s">
        <v>459</v>
      </c>
      <c r="AV12" s="6"/>
      <c r="AW12" s="6"/>
      <c r="AX12" s="6"/>
      <c r="AY12" s="6"/>
      <c r="AZ12" s="6"/>
    </row>
    <row r="13" spans="2:52" ht="13.5" customHeight="1" x14ac:dyDescent="0.4">
      <c r="B13" s="39"/>
      <c r="C13" s="39"/>
      <c r="D13" s="39"/>
      <c r="E13" s="39"/>
      <c r="F13" s="39"/>
      <c r="G13" s="44" t="s">
        <v>372</v>
      </c>
      <c r="H13" s="44"/>
      <c r="I13" s="44"/>
      <c r="J13" s="45" t="s">
        <v>370</v>
      </c>
      <c r="K13" s="45"/>
      <c r="L13" s="45"/>
      <c r="M13" s="45" t="s">
        <v>374</v>
      </c>
      <c r="N13" s="45"/>
      <c r="O13" s="45"/>
      <c r="P13" s="45" t="s">
        <v>376</v>
      </c>
      <c r="Q13" s="45"/>
      <c r="R13" s="45"/>
      <c r="S13" s="38"/>
      <c r="T13" s="38"/>
      <c r="U13" s="38"/>
      <c r="V13" s="38"/>
      <c r="W13" s="38"/>
      <c r="X13" s="37" t="str">
        <f t="shared" ref="X13:X19" si="0">AT13&amp;" "&amp;AU13</f>
        <v xml:space="preserve"> </v>
      </c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</row>
    <row r="14" spans="2:52" ht="13.5" customHeight="1" x14ac:dyDescent="0.4">
      <c r="B14" s="39"/>
      <c r="C14" s="39"/>
      <c r="D14" s="39"/>
      <c r="E14" s="39"/>
      <c r="F14" s="39"/>
      <c r="G14" s="41" t="s">
        <v>377</v>
      </c>
      <c r="H14" s="41"/>
      <c r="I14" s="41"/>
      <c r="J14" s="42" t="s">
        <v>306</v>
      </c>
      <c r="K14" s="42"/>
      <c r="L14" s="42"/>
      <c r="M14" s="42" t="s">
        <v>378</v>
      </c>
      <c r="N14" s="42"/>
      <c r="O14" s="42"/>
      <c r="P14" s="42" t="s">
        <v>509</v>
      </c>
      <c r="Q14" s="42"/>
      <c r="R14" s="42"/>
      <c r="S14" s="38"/>
      <c r="T14" s="38"/>
      <c r="U14" s="38"/>
      <c r="V14" s="38"/>
      <c r="W14" s="38"/>
      <c r="X14" s="37" t="str">
        <f t="shared" si="0"/>
        <v xml:space="preserve"> </v>
      </c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</row>
    <row r="15" spans="2:52" ht="13.5" customHeight="1" x14ac:dyDescent="0.4">
      <c r="B15" s="39"/>
      <c r="C15" s="39"/>
      <c r="D15" s="39"/>
      <c r="E15" s="39"/>
      <c r="F15" s="39"/>
      <c r="G15" s="41" t="s">
        <v>458</v>
      </c>
      <c r="H15" s="41"/>
      <c r="I15" s="41"/>
      <c r="J15" s="42" t="s">
        <v>513</v>
      </c>
      <c r="K15" s="42"/>
      <c r="L15" s="42"/>
      <c r="M15" s="42" t="s">
        <v>514</v>
      </c>
      <c r="N15" s="42"/>
      <c r="O15" s="42"/>
      <c r="P15" s="42" t="s">
        <v>515</v>
      </c>
      <c r="Q15" s="42"/>
      <c r="R15" s="42"/>
      <c r="S15" s="38"/>
      <c r="T15" s="38"/>
      <c r="U15" s="38"/>
      <c r="V15" s="38"/>
      <c r="W15" s="38"/>
      <c r="X15" s="37" t="str">
        <f t="shared" si="0"/>
        <v xml:space="preserve"> </v>
      </c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</row>
    <row r="16" spans="2:52" ht="13.5" customHeight="1" x14ac:dyDescent="0.4">
      <c r="B16" s="39"/>
      <c r="C16" s="39"/>
      <c r="D16" s="39"/>
      <c r="E16" s="39"/>
      <c r="F16" s="39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38"/>
      <c r="T16" s="38"/>
      <c r="U16" s="38"/>
      <c r="V16" s="38"/>
      <c r="W16" s="38"/>
      <c r="X16" s="37" t="str">
        <f t="shared" si="0"/>
        <v xml:space="preserve"> </v>
      </c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</row>
    <row r="17" spans="2:52" ht="13.5" customHeight="1" x14ac:dyDescent="0.4">
      <c r="B17" s="39"/>
      <c r="C17" s="39"/>
      <c r="D17" s="39"/>
      <c r="E17" s="39"/>
      <c r="F17" s="39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38"/>
      <c r="T17" s="38"/>
      <c r="U17" s="38"/>
      <c r="V17" s="38"/>
      <c r="W17" s="38"/>
      <c r="X17" s="37" t="str">
        <f t="shared" si="0"/>
        <v xml:space="preserve"> </v>
      </c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</row>
    <row r="18" spans="2:52" ht="13.5" customHeight="1" x14ac:dyDescent="0.4">
      <c r="B18" s="39"/>
      <c r="C18" s="39"/>
      <c r="D18" s="39"/>
      <c r="E18" s="39"/>
      <c r="F18" s="39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38"/>
      <c r="T18" s="38"/>
      <c r="U18" s="38"/>
      <c r="V18" s="38"/>
      <c r="W18" s="38"/>
      <c r="X18" s="37" t="str">
        <f t="shared" si="0"/>
        <v xml:space="preserve"> </v>
      </c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</row>
    <row r="19" spans="2:52" ht="13.5" customHeight="1" x14ac:dyDescent="0.4">
      <c r="B19" s="39" t="s">
        <v>88</v>
      </c>
      <c r="C19" s="39"/>
      <c r="D19" s="39"/>
      <c r="E19" s="39"/>
      <c r="F19" s="39"/>
      <c r="G19" s="62" t="str" cm="1">
        <f t="array" ref="G19">_xlfn.TEXTJOIN("・", TRUE, IF(AL19:AR19&lt;&gt;"", AL19:AR19, ""))</f>
        <v>#・#・指・示・.・透・析</v>
      </c>
      <c r="H19" s="63"/>
      <c r="I19" s="63"/>
      <c r="J19" s="63"/>
      <c r="K19" s="63"/>
      <c r="L19" s="63"/>
      <c r="M19" s="64" t="s">
        <v>250</v>
      </c>
      <c r="N19" s="64"/>
      <c r="O19" s="64"/>
      <c r="P19" s="64"/>
      <c r="Q19" s="65" t="s">
        <v>161</v>
      </c>
      <c r="R19" s="66"/>
      <c r="S19" s="38"/>
      <c r="T19" s="38"/>
      <c r="U19" s="38"/>
      <c r="V19" s="38"/>
      <c r="W19" s="38"/>
      <c r="X19" s="37" t="str">
        <f t="shared" si="0"/>
        <v xml:space="preserve"> </v>
      </c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8" t="s">
        <v>248</v>
      </c>
      <c r="AK19" s="11"/>
      <c r="AL19" s="6" t="str">
        <f>IF(LEN($AJ19) &gt;= 1, MID($AJ19, 1, 1), "")</f>
        <v>#</v>
      </c>
      <c r="AM19" s="6" t="str">
        <f>IF(LEN($AJ19) &gt;= 2, MID($AJ19, 2, 1), "")</f>
        <v>#</v>
      </c>
      <c r="AN19" s="6" t="str">
        <f>IF(LEN($AJ19) &gt;= 3, MID($AJ19, 3, 1), "")</f>
        <v>指</v>
      </c>
      <c r="AO19" s="6" t="str">
        <f>IF(LEN($AJ19) &gt;= 4, MID($AJ19, 4, 1), "")</f>
        <v>示</v>
      </c>
      <c r="AP19" s="6" t="str">
        <f>IF(LEN($AJ19) &gt;= 5, MID($AJ19, 5, 1), "")</f>
        <v>.</v>
      </c>
      <c r="AQ19" s="6" t="str">
        <f>IF(LEN($AJ19) &gt;= 6, MID($AJ19, 6, 1), "")</f>
        <v>透</v>
      </c>
      <c r="AR19" s="6" t="str">
        <f>IF(LEN($AJ19) &gt;= 7, MID($AJ19, 7, 1), "")</f>
        <v>析</v>
      </c>
      <c r="AS19" s="6"/>
      <c r="AT19" s="6"/>
      <c r="AU19" s="6"/>
      <c r="AV19" s="6"/>
      <c r="AW19" s="6"/>
      <c r="AX19" s="6"/>
      <c r="AY19" s="6"/>
      <c r="AZ19" s="6"/>
    </row>
    <row r="20" spans="2:52" x14ac:dyDescent="0.4">
      <c r="B20" s="39" t="s">
        <v>89</v>
      </c>
      <c r="C20" s="39"/>
      <c r="D20" s="39"/>
      <c r="E20" s="39"/>
      <c r="F20" s="39"/>
      <c r="G20" s="56" t="s">
        <v>251</v>
      </c>
      <c r="H20" s="57"/>
      <c r="I20" s="57"/>
      <c r="J20" s="57"/>
      <c r="K20" s="67" t="s">
        <v>162</v>
      </c>
      <c r="L20" s="67"/>
      <c r="M20" s="68" t="s">
        <v>252</v>
      </c>
      <c r="N20" s="68"/>
      <c r="O20" s="68"/>
      <c r="P20" s="68"/>
      <c r="Q20" s="68"/>
      <c r="R20" s="69"/>
      <c r="S20" s="38" t="s">
        <v>168</v>
      </c>
      <c r="T20" s="38"/>
      <c r="U20" s="38"/>
      <c r="V20" s="38"/>
      <c r="W20" s="38"/>
      <c r="X20" s="46" t="s">
        <v>191</v>
      </c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8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</row>
    <row r="21" spans="2:52" x14ac:dyDescent="0.4">
      <c r="B21" s="39" t="s">
        <v>90</v>
      </c>
      <c r="C21" s="39"/>
      <c r="D21" s="39"/>
      <c r="E21" s="39"/>
      <c r="F21" s="39"/>
      <c r="G21" s="62" t="s">
        <v>253</v>
      </c>
      <c r="H21" s="63"/>
      <c r="I21" s="63"/>
      <c r="J21" s="63"/>
      <c r="K21" s="63"/>
      <c r="L21" s="63"/>
      <c r="M21" s="71" t="s">
        <v>254</v>
      </c>
      <c r="N21" s="71"/>
      <c r="O21" s="71"/>
      <c r="P21" s="71"/>
      <c r="Q21" s="67" t="s">
        <v>163</v>
      </c>
      <c r="R21" s="70"/>
      <c r="S21" s="38" t="s">
        <v>169</v>
      </c>
      <c r="T21" s="38"/>
      <c r="U21" s="38"/>
      <c r="V21" s="38"/>
      <c r="W21" s="38"/>
      <c r="X21" s="33" t="s">
        <v>192</v>
      </c>
      <c r="Y21" s="34"/>
      <c r="Z21" s="34"/>
      <c r="AA21" s="34"/>
      <c r="AB21" s="34"/>
      <c r="AC21" s="34"/>
      <c r="AD21" s="35" t="s">
        <v>195</v>
      </c>
      <c r="AE21" s="35"/>
      <c r="AF21" s="35"/>
      <c r="AG21" s="35"/>
      <c r="AH21" s="35"/>
      <c r="AI21" s="3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</row>
    <row r="22" spans="2:52" x14ac:dyDescent="0.4">
      <c r="B22" s="39" t="s">
        <v>91</v>
      </c>
      <c r="C22" s="39"/>
      <c r="D22" s="39"/>
      <c r="E22" s="39"/>
      <c r="F22" s="39"/>
      <c r="G22" s="56" t="s">
        <v>255</v>
      </c>
      <c r="H22" s="57"/>
      <c r="I22" s="57"/>
      <c r="J22" s="54" t="s">
        <v>399</v>
      </c>
      <c r="K22" s="54"/>
      <c r="L22" s="54"/>
      <c r="M22" s="54"/>
      <c r="N22" s="54"/>
      <c r="O22" s="54"/>
      <c r="P22" s="54"/>
      <c r="Q22" s="54"/>
      <c r="R22" s="55"/>
      <c r="S22" s="38" t="s">
        <v>170</v>
      </c>
      <c r="T22" s="38"/>
      <c r="U22" s="38"/>
      <c r="V22" s="38"/>
      <c r="W22" s="38"/>
      <c r="X22" s="33" t="s">
        <v>193</v>
      </c>
      <c r="Y22" s="34"/>
      <c r="Z22" s="34"/>
      <c r="AA22" s="34"/>
      <c r="AB22" s="34"/>
      <c r="AC22" s="34"/>
      <c r="AD22" s="35" t="s">
        <v>194</v>
      </c>
      <c r="AE22" s="35"/>
      <c r="AF22" s="35"/>
      <c r="AG22" s="35"/>
      <c r="AH22" s="35"/>
      <c r="AI22" s="3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</row>
    <row r="23" spans="2:52" ht="5.25" customHeight="1" x14ac:dyDescent="0.4"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</row>
    <row r="24" spans="2:52" x14ac:dyDescent="0.4">
      <c r="B24" s="14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4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</row>
    <row r="25" spans="2:52" x14ac:dyDescent="0.4">
      <c r="B25" s="20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2"/>
      <c r="R25" s="14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</row>
    <row r="26" spans="2:52" x14ac:dyDescent="0.4">
      <c r="B26" s="23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5"/>
      <c r="R26" s="14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</row>
    <row r="27" spans="2:52" x14ac:dyDescent="0.4">
      <c r="B27" s="23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5"/>
      <c r="R27" s="14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</row>
    <row r="28" spans="2:52" x14ac:dyDescent="0.4">
      <c r="B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5"/>
      <c r="R28" s="14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</row>
    <row r="29" spans="2:52" x14ac:dyDescent="0.4">
      <c r="B29" s="23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5"/>
      <c r="R29" s="14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</row>
    <row r="30" spans="2:52" x14ac:dyDescent="0.4">
      <c r="B30" s="23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5"/>
      <c r="R30" s="14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</row>
    <row r="31" spans="2:52" x14ac:dyDescent="0.4">
      <c r="B31" s="23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5"/>
      <c r="R31" s="14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</row>
    <row r="32" spans="2:52" x14ac:dyDescent="0.4">
      <c r="B32" s="23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5"/>
      <c r="R32" s="14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</row>
    <row r="33" spans="2:52" x14ac:dyDescent="0.4">
      <c r="B33" s="26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8"/>
      <c r="R33" s="14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6"/>
      <c r="AJ33" s="9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</row>
    <row r="34" spans="2:52" ht="5.25" customHeight="1" x14ac:dyDescent="0.4"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14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</row>
    <row r="35" spans="2:52" x14ac:dyDescent="0.4">
      <c r="B35" s="30" t="s">
        <v>49</v>
      </c>
      <c r="C35" s="30"/>
      <c r="D35" s="30"/>
      <c r="E35" s="30"/>
      <c r="F35" s="30"/>
      <c r="G35" s="30"/>
      <c r="H35" s="30"/>
      <c r="I35" s="30"/>
      <c r="J35" s="12"/>
      <c r="K35" s="12"/>
      <c r="L35" s="12"/>
      <c r="M35" s="12"/>
      <c r="N35" s="12"/>
      <c r="O35" s="12"/>
      <c r="P35" s="12"/>
      <c r="Q35" s="12"/>
      <c r="R35" s="14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</row>
    <row r="36" spans="2:52" x14ac:dyDescent="0.4">
      <c r="B36" s="31"/>
      <c r="C36" s="31"/>
      <c r="D36" s="31"/>
      <c r="E36" s="31"/>
      <c r="F36" s="31"/>
      <c r="G36" s="31"/>
      <c r="H36" s="31"/>
      <c r="I36" s="31"/>
      <c r="J36" s="29" t="s">
        <v>400</v>
      </c>
      <c r="K36" s="29"/>
      <c r="L36" s="12"/>
      <c r="M36" s="12"/>
      <c r="N36" s="12"/>
      <c r="O36" s="12"/>
      <c r="P36" s="12"/>
      <c r="Q36" s="12"/>
      <c r="R36" s="14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</row>
    <row r="37" spans="2:52" x14ac:dyDescent="0.4">
      <c r="B37" s="13" t="s">
        <v>401</v>
      </c>
      <c r="C37" s="13"/>
      <c r="D37" s="13"/>
      <c r="E37" s="13"/>
      <c r="F37" s="13"/>
      <c r="G37" s="13"/>
      <c r="H37" s="13"/>
      <c r="I37" s="13"/>
      <c r="J37" s="32" t="s">
        <v>403</v>
      </c>
      <c r="K37" s="32"/>
      <c r="L37" s="12"/>
      <c r="M37" s="12"/>
      <c r="N37" s="12"/>
      <c r="O37" s="12"/>
      <c r="P37" s="12"/>
      <c r="Q37" s="12"/>
      <c r="R37" s="14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</row>
    <row r="38" spans="2:52" x14ac:dyDescent="0.4"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4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</row>
    <row r="39" spans="2:52" x14ac:dyDescent="0.4"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4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</row>
    <row r="40" spans="2:52" x14ac:dyDescent="0.4"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4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</row>
    <row r="41" spans="2:52" x14ac:dyDescent="0.4"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4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</row>
    <row r="42" spans="2:52" x14ac:dyDescent="0.4"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4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</row>
    <row r="43" spans="2:52" x14ac:dyDescent="0.4">
      <c r="B43" s="17" t="s">
        <v>46</v>
      </c>
      <c r="C43" s="17"/>
      <c r="D43" s="17"/>
      <c r="E43" s="18" t="s">
        <v>47</v>
      </c>
      <c r="F43" s="18"/>
      <c r="G43" s="18"/>
      <c r="H43" s="18"/>
      <c r="I43" s="18"/>
      <c r="J43" s="18"/>
      <c r="K43" s="18"/>
      <c r="T43" s="19" t="s">
        <v>48</v>
      </c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</row>
  </sheetData>
  <mergeCells count="137">
    <mergeCell ref="G9:R9"/>
    <mergeCell ref="X22:AC22"/>
    <mergeCell ref="AD22:AI22"/>
    <mergeCell ref="J22:R22"/>
    <mergeCell ref="G22:I22"/>
    <mergeCell ref="G11:K11"/>
    <mergeCell ref="L11:R11"/>
    <mergeCell ref="G19:L19"/>
    <mergeCell ref="M19:P19"/>
    <mergeCell ref="Q19:R19"/>
    <mergeCell ref="G20:J20"/>
    <mergeCell ref="K20:L20"/>
    <mergeCell ref="M20:R20"/>
    <mergeCell ref="Q21:R21"/>
    <mergeCell ref="M21:P21"/>
    <mergeCell ref="G21:L21"/>
    <mergeCell ref="G18:I18"/>
    <mergeCell ref="J18:L18"/>
    <mergeCell ref="M18:O18"/>
    <mergeCell ref="P18:R18"/>
    <mergeCell ref="M14:O14"/>
    <mergeCell ref="P14:R14"/>
    <mergeCell ref="G15:I15"/>
    <mergeCell ref="J15:L15"/>
    <mergeCell ref="X19:AI19"/>
    <mergeCell ref="X20:AI20"/>
    <mergeCell ref="B8:F8"/>
    <mergeCell ref="B9:F9"/>
    <mergeCell ref="B10:F10"/>
    <mergeCell ref="B11:F11"/>
    <mergeCell ref="B1:K2"/>
    <mergeCell ref="AC2:AI2"/>
    <mergeCell ref="Y2:AB2"/>
    <mergeCell ref="B4:F5"/>
    <mergeCell ref="B6:F6"/>
    <mergeCell ref="B7:F7"/>
    <mergeCell ref="S4:W4"/>
    <mergeCell ref="S5:W5"/>
    <mergeCell ref="X4:AI4"/>
    <mergeCell ref="X5:AI5"/>
    <mergeCell ref="S7:W7"/>
    <mergeCell ref="S8:W8"/>
    <mergeCell ref="S9:W11"/>
    <mergeCell ref="G4:R4"/>
    <mergeCell ref="G5:R5"/>
    <mergeCell ref="G6:AI6"/>
    <mergeCell ref="G7:R7"/>
    <mergeCell ref="G8:R8"/>
    <mergeCell ref="B12:F18"/>
    <mergeCell ref="M16:O16"/>
    <mergeCell ref="P16:R16"/>
    <mergeCell ref="G17:I17"/>
    <mergeCell ref="J17:L17"/>
    <mergeCell ref="M17:O17"/>
    <mergeCell ref="P17:R17"/>
    <mergeCell ref="G14:I14"/>
    <mergeCell ref="J14:L14"/>
    <mergeCell ref="P15:R15"/>
    <mergeCell ref="G12:I12"/>
    <mergeCell ref="J12:L12"/>
    <mergeCell ref="M12:O12"/>
    <mergeCell ref="P12:R12"/>
    <mergeCell ref="G13:I13"/>
    <mergeCell ref="J13:L13"/>
    <mergeCell ref="M13:O13"/>
    <mergeCell ref="P13:R13"/>
    <mergeCell ref="M15:O15"/>
    <mergeCell ref="X21:AC21"/>
    <mergeCell ref="AD21:AI21"/>
    <mergeCell ref="B23:AI23"/>
    <mergeCell ref="X7:AI7"/>
    <mergeCell ref="X8:AI8"/>
    <mergeCell ref="X9:AI11"/>
    <mergeCell ref="X12:AI12"/>
    <mergeCell ref="X13:AI13"/>
    <mergeCell ref="X14:AI14"/>
    <mergeCell ref="X15:AI15"/>
    <mergeCell ref="X16:AI16"/>
    <mergeCell ref="X17:AI17"/>
    <mergeCell ref="S12:W19"/>
    <mergeCell ref="S20:W20"/>
    <mergeCell ref="B22:F22"/>
    <mergeCell ref="S21:W21"/>
    <mergeCell ref="S22:W22"/>
    <mergeCell ref="G10:R10"/>
    <mergeCell ref="J16:L16"/>
    <mergeCell ref="B21:F21"/>
    <mergeCell ref="B19:F19"/>
    <mergeCell ref="B20:F20"/>
    <mergeCell ref="G16:I16"/>
    <mergeCell ref="X18:AI18"/>
    <mergeCell ref="R33:AI33"/>
    <mergeCell ref="R25:AI32"/>
    <mergeCell ref="R24:AI24"/>
    <mergeCell ref="B24:Q24"/>
    <mergeCell ref="B43:D43"/>
    <mergeCell ref="E43:K43"/>
    <mergeCell ref="T43:AI43"/>
    <mergeCell ref="B25:Q33"/>
    <mergeCell ref="R34:AI42"/>
    <mergeCell ref="B39:I39"/>
    <mergeCell ref="B40:I40"/>
    <mergeCell ref="B41:I41"/>
    <mergeCell ref="B42:I42"/>
    <mergeCell ref="P36:Q36"/>
    <mergeCell ref="J36:K36"/>
    <mergeCell ref="L36:M36"/>
    <mergeCell ref="N36:O36"/>
    <mergeCell ref="B35:I35"/>
    <mergeCell ref="J35:Q35"/>
    <mergeCell ref="B36:I36"/>
    <mergeCell ref="J37:K37"/>
    <mergeCell ref="L37:M37"/>
    <mergeCell ref="N37:O37"/>
    <mergeCell ref="P37:Q37"/>
    <mergeCell ref="J38:K38"/>
    <mergeCell ref="L38:M38"/>
    <mergeCell ref="N38:O38"/>
    <mergeCell ref="P38:Q38"/>
    <mergeCell ref="B37:I37"/>
    <mergeCell ref="B38:I38"/>
    <mergeCell ref="J41:K41"/>
    <mergeCell ref="L41:M41"/>
    <mergeCell ref="N41:O41"/>
    <mergeCell ref="P41:Q41"/>
    <mergeCell ref="J42:K42"/>
    <mergeCell ref="L42:M42"/>
    <mergeCell ref="N42:O42"/>
    <mergeCell ref="P42:Q42"/>
    <mergeCell ref="J39:K39"/>
    <mergeCell ref="L39:M39"/>
    <mergeCell ref="N39:O39"/>
    <mergeCell ref="P39:Q39"/>
    <mergeCell ref="J40:K40"/>
    <mergeCell ref="L40:M40"/>
    <mergeCell ref="N40:O40"/>
    <mergeCell ref="P40:Q40"/>
  </mergeCells>
  <phoneticPr fontId="1"/>
  <pageMargins left="0.7" right="0.7" top="0.75" bottom="0.75" header="0.3" footer="0.3"/>
  <pageSetup paperSize="9" scale="9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FA6D4543145724180696487D743FC46" ma:contentTypeVersion="16" ma:contentTypeDescription="新しいドキュメントを作成します。" ma:contentTypeScope="" ma:versionID="15f4f4717138a03f16807162298d82b8">
  <xsd:schema xmlns:xsd="http://www.w3.org/2001/XMLSchema" xmlns:xs="http://www.w3.org/2001/XMLSchema" xmlns:p="http://schemas.microsoft.com/office/2006/metadata/properties" xmlns:ns2="69bd1c32-15f9-417b-a931-9141d9ec92c0" xmlns:ns3="c150e9fd-535a-4b9a-a5f4-a818706e335b" targetNamespace="http://schemas.microsoft.com/office/2006/metadata/properties" ma:root="true" ma:fieldsID="815784c6b291c32c3f18a55b98f2dce2" ns2:_="" ns3:_="">
    <xsd:import namespace="69bd1c32-15f9-417b-a931-9141d9ec92c0"/>
    <xsd:import namespace="c150e9fd-535a-4b9a-a5f4-a818706e33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_x5fa9__x5143__x5143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d1c32-15f9-417b-a931-9141d9ec92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0fc917cd-6125-4706-a086-2559fd5842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x5fa9__x5143__x5143_" ma:index="21" nillable="true" ma:displayName="復元元" ma:format="Dropdown" ma:internalName="_x5fa9__x5143__x5143_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0e9fd-535a-4b9a-a5f4-a818706e335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ae8a858-461c-404a-bfdb-6bc61694b6af}" ma:internalName="TaxCatchAll" ma:showField="CatchAllData" ma:web="c150e9fd-535a-4b9a-a5f4-a818706e33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bd1c32-15f9-417b-a931-9141d9ec92c0">
      <Terms xmlns="http://schemas.microsoft.com/office/infopath/2007/PartnerControls"/>
    </lcf76f155ced4ddcb4097134ff3c332f>
    <TaxCatchAll xmlns="c150e9fd-535a-4b9a-a5f4-a818706e335b" xsi:nil="true"/>
    <_x5fa9__x5143__x5143_ xmlns="69bd1c32-15f9-417b-a931-9141d9ec92c0" xsi:nil="true"/>
  </documentManagement>
</p:properties>
</file>

<file path=customXml/itemProps1.xml><?xml version="1.0" encoding="utf-8"?>
<ds:datastoreItem xmlns:ds="http://schemas.openxmlformats.org/officeDocument/2006/customXml" ds:itemID="{C80B7447-2F3B-469E-87DF-EA6D14655AE6}"/>
</file>

<file path=customXml/itemProps2.xml><?xml version="1.0" encoding="utf-8"?>
<ds:datastoreItem xmlns:ds="http://schemas.openxmlformats.org/officeDocument/2006/customXml" ds:itemID="{2458673A-E106-44F2-B953-E6B488B9EE29}"/>
</file>

<file path=customXml/itemProps3.xml><?xml version="1.0" encoding="utf-8"?>
<ds:datastoreItem xmlns:ds="http://schemas.openxmlformats.org/officeDocument/2006/customXml" ds:itemID="{E36E1A72-2914-4F15-B5BE-54A4BC7D04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レイアウト</vt:lpstr>
      <vt:lpstr>レイアウト!Print_Area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内野 裕輝</dc:creator>
  <cp:lastModifiedBy>内野 裕輝</cp:lastModifiedBy>
  <cp:lastPrinted>2025-10-16T03:14:51Z</cp:lastPrinted>
  <dcterms:created xsi:type="dcterms:W3CDTF">2025-06-23T07:40:09Z</dcterms:created>
  <dcterms:modified xsi:type="dcterms:W3CDTF">2025-10-21T01:51:27Z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0x0101007FA6D4543145724180696487D743FC46</vt:lpwstr>
  </property>
</Properties>
</file>