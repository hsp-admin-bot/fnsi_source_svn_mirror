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634AEA63-2560-4815-9248-CD546B7ADD7C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" sheetId="8" state="veryHidden" r:id="rId4"/>
    <sheet name="レイアウト" sheetId="4" r:id="rId5"/>
  </sheets>
  <definedNames>
    <definedName name="_xlnm.Print_Area" localSheetId="4">レイアウト!$A$1:$Q$66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P1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3" i="4"/>
  <c r="P12" i="4"/>
  <c r="P14" i="4"/>
  <c r="B64" i="4"/>
  <c r="B63" i="4"/>
  <c r="B62" i="4"/>
  <c r="B61" i="4"/>
  <c r="B60" i="4"/>
  <c r="B59" i="4"/>
  <c r="B58" i="4"/>
  <c r="B57" i="4"/>
  <c r="B56" i="4"/>
  <c r="B55" i="4"/>
  <c r="B54" i="4"/>
  <c r="B53" i="4"/>
  <c r="B16" i="4"/>
  <c r="Q1" i="4"/>
  <c r="B15" i="4"/>
  <c r="B14" i="4"/>
  <c r="B1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2" i="4"/>
  <c r="D16" i="4"/>
  <c r="D15" i="4"/>
  <c r="D14" i="4"/>
  <c r="D13" i="4"/>
</calcChain>
</file>

<file path=xl/sharedStrings.xml><?xml version="1.0" encoding="utf-8"?>
<sst xmlns="http://schemas.openxmlformats.org/spreadsheetml/2006/main" count="2445" uniqueCount="470">
  <si>
    <t>【人工透析記録（会計用）】</t>
    <rPh sb="1" eb="3">
      <t>ジンコウ</t>
    </rPh>
    <rPh sb="3" eb="5">
      <t>トウセキ</t>
    </rPh>
    <rPh sb="5" eb="7">
      <t>キロク</t>
    </rPh>
    <rPh sb="8" eb="11">
      <t>カイケイヨウ</t>
    </rPh>
    <phoneticPr fontId="1"/>
  </si>
  <si>
    <t/>
  </si>
  <si>
    <t>入外区分</t>
    <rPh sb="0" eb="1">
      <t>ニュウ</t>
    </rPh>
    <rPh sb="1" eb="2">
      <t>ガイ</t>
    </rPh>
    <rPh sb="2" eb="4">
      <t>クブン</t>
    </rPh>
    <phoneticPr fontId="1"/>
  </si>
  <si>
    <t>クール</t>
    <phoneticPr fontId="1"/>
  </si>
  <si>
    <t>透析時間</t>
    <rPh sb="0" eb="2">
      <t>トウセキ</t>
    </rPh>
    <rPh sb="2" eb="4">
      <t>ジカン</t>
    </rPh>
    <phoneticPr fontId="1"/>
  </si>
  <si>
    <t>患者ID</t>
    <rPh sb="0" eb="2">
      <t>カンジャ</t>
    </rPh>
    <phoneticPr fontId="1"/>
  </si>
  <si>
    <t>フリガナ</t>
    <phoneticPr fontId="1"/>
  </si>
  <si>
    <t>患者氏名</t>
    <rPh sb="0" eb="2">
      <t>カンジャ</t>
    </rPh>
    <rPh sb="2" eb="4">
      <t>シメイ</t>
    </rPh>
    <phoneticPr fontId="1"/>
  </si>
  <si>
    <t>生年月日</t>
    <rPh sb="0" eb="2">
      <t>セイネン</t>
    </rPh>
    <rPh sb="2" eb="4">
      <t>ガッピ</t>
    </rPh>
    <phoneticPr fontId="1"/>
  </si>
  <si>
    <t>透析導入日</t>
    <rPh sb="0" eb="2">
      <t>トウセキ</t>
    </rPh>
    <rPh sb="2" eb="4">
      <t>ドウニュウ</t>
    </rPh>
    <rPh sb="4" eb="5">
      <t>ビ</t>
    </rPh>
    <phoneticPr fontId="1"/>
  </si>
  <si>
    <t>透析困難症</t>
    <rPh sb="0" eb="2">
      <t>トウセキ</t>
    </rPh>
    <rPh sb="2" eb="4">
      <t>コンナン</t>
    </rPh>
    <rPh sb="4" eb="5">
      <t>ショウ</t>
    </rPh>
    <phoneticPr fontId="1"/>
  </si>
  <si>
    <t>実施日</t>
    <rPh sb="0" eb="2">
      <t>ジッシ</t>
    </rPh>
    <rPh sb="2" eb="3">
      <t>ヒ</t>
    </rPh>
    <phoneticPr fontId="1"/>
  </si>
  <si>
    <t>項目</t>
    <rPh sb="0" eb="2">
      <t>コウモク</t>
    </rPh>
    <phoneticPr fontId="1"/>
  </si>
  <si>
    <t>型番</t>
    <rPh sb="0" eb="2">
      <t>カタバン</t>
    </rPh>
    <phoneticPr fontId="1"/>
  </si>
  <si>
    <t>数量</t>
    <rPh sb="0" eb="2">
      <t>スウリョウ</t>
    </rPh>
    <phoneticPr fontId="1"/>
  </si>
  <si>
    <t>OnePatient</t>
  </si>
  <si>
    <t>0</t>
  </si>
  <si>
    <t>120386</t>
  </si>
  <si>
    <t>2025/01/17 15:52:42</t>
  </si>
  <si>
    <t>帳票設定</t>
  </si>
  <si>
    <t xml:space="preserve">有り_x000D_
</t>
  </si>
  <si>
    <t>1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</si>
  <si>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</si>
  <si>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</si>
  <si>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</si>
  <si>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</si>
  <si>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</si>
  <si>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</si>
  <si>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</si>
  <si>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</si>
  <si>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</si>
  <si>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</si>
  <si>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</si>
  <si>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</si>
  <si>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</si>
  <si>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</si>
  <si>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</si>
  <si>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</si>
  <si>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</si>
  <si>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</si>
  <si>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</si>
  <si>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</si>
  <si>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</si>
  <si>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</si>
  <si>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</si>
  <si>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</si>
  <si>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</si>
  <si>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</si>
  <si>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GroupPath</t>
  </si>
  <si>
    <t>RepeatCount</t>
  </si>
  <si>
    <t>2025/01/17 15:52:55</t>
  </si>
  <si>
    <t>集計設定</t>
  </si>
  <si>
    <t xml:space="preserve">縦の合計: ⇒ 0_x000D_
横の合計: ⇒ 0_x000D_
</t>
  </si>
  <si>
    <t>##患者情報.本人情報.患者ID</t>
  </si>
  <si>
    <t>##患者情報.本人情報.フリガナ</t>
  </si>
  <si>
    <t>##患者情報.本人情報.患者名</t>
  </si>
  <si>
    <t>##患者情報.本人情報.生年月日</t>
  </si>
  <si>
    <t>##患者情報.診療情報.透析導入日</t>
  </si>
  <si>
    <t>##患者情報.透析困難(主).透析困難理由</t>
  </si>
  <si>
    <t>##実績.実績情報.入外区分</t>
  </si>
  <si>
    <t>##実績.実績情報.透析日</t>
  </si>
  <si>
    <t>##実績.実績情報.クール名</t>
  </si>
  <si>
    <t>##実績.実績情報.透析終了日時</t>
  </si>
  <si>
    <t>##実績.実績情報.透析時間</t>
  </si>
  <si>
    <t>##実績.実績情報.治療方法名</t>
  </si>
  <si>
    <t>治療方法</t>
    <rPh sb="0" eb="4">
      <t>チリョウホウホウ</t>
    </rPh>
    <phoneticPr fontId="1"/>
  </si>
  <si>
    <t>治療時刻</t>
    <rPh sb="0" eb="4">
      <t>チリョウジコク</t>
    </rPh>
    <phoneticPr fontId="1"/>
  </si>
  <si>
    <t>月透析回数</t>
    <rPh sb="0" eb="5">
      <t>ツキトウセキカイスウ</t>
    </rPh>
    <phoneticPr fontId="1"/>
  </si>
  <si>
    <t>～</t>
    <phoneticPr fontId="1"/>
  </si>
  <si>
    <t>##実績.実績情報.透析終了時刻</t>
  </si>
  <si>
    <t>患者情報</t>
  </si>
  <si>
    <t>本人情報</t>
  </si>
  <si>
    <t>患者ID</t>
  </si>
  <si>
    <t>hosp_pat_id</t>
  </si>
  <si>
    <t>string</t>
  </si>
  <si>
    <t>123456789012</t>
  </si>
  <si>
    <t>G/標準</t>
  </si>
  <si>
    <t>False</t>
  </si>
  <si>
    <t>B3:E3</t>
  </si>
  <si>
    <t>実績</t>
  </si>
  <si>
    <t>実績情報</t>
  </si>
  <si>
    <t>入外区分</t>
  </si>
  <si>
    <t>95</t>
  </si>
  <si>
    <t>rst_in_out_class</t>
  </si>
  <si>
    <t>外来</t>
  </si>
  <si>
    <t>I3:L3</t>
  </si>
  <si>
    <t>フリガナ</t>
  </si>
  <si>
    <t>pat_name_kana</t>
  </si>
  <si>
    <t>ニッキソウ　タロウ</t>
  </si>
  <si>
    <t>B4:E4</t>
  </si>
  <si>
    <t>透析日</t>
  </si>
  <si>
    <t>treat_date</t>
  </si>
  <si>
    <t>DateTime</t>
  </si>
  <si>
    <t>I4:L4</t>
  </si>
  <si>
    <t>患者名</t>
  </si>
  <si>
    <t>pat_name</t>
  </si>
  <si>
    <t>日機装　太郎</t>
  </si>
  <si>
    <t>B5:E6</t>
  </si>
  <si>
    <t>2</t>
  </si>
  <si>
    <t>クール名</t>
  </si>
  <si>
    <t>7</t>
  </si>
  <si>
    <t>rst_kur_name</t>
  </si>
  <si>
    <t>テストクール</t>
  </si>
  <si>
    <t>I6:L6</t>
  </si>
  <si>
    <t>生年月日</t>
  </si>
  <si>
    <t>pat_birthday</t>
  </si>
  <si>
    <t>B7:E7</t>
  </si>
  <si>
    <t>hh:mm</t>
  </si>
  <si>
    <t>I7</t>
  </si>
  <si>
    <t>透析終了時刻</t>
  </si>
  <si>
    <t>treat_end_time</t>
  </si>
  <si>
    <t>L7</t>
  </si>
  <si>
    <t>診療情報</t>
  </si>
  <si>
    <t>透析導入日</t>
  </si>
  <si>
    <t>19</t>
  </si>
  <si>
    <t>dialysis_start_date</t>
  </si>
  <si>
    <t>B8:E8</t>
  </si>
  <si>
    <t>透析時間</t>
  </si>
  <si>
    <t>rst_date</t>
  </si>
  <si>
    <t>I8:L8</t>
  </si>
  <si>
    <t>透析困難(主)</t>
  </si>
  <si>
    <t>透析困難理由</t>
  </si>
  <si>
    <t>18</t>
  </si>
  <si>
    <t>pat_dial_diff_name</t>
  </si>
  <si>
    <t>高血圧</t>
  </si>
  <si>
    <t>B9:E9</t>
  </si>
  <si>
    <t>治療方法名</t>
  </si>
  <si>
    <t>rst_treatment_name</t>
  </si>
  <si>
    <t>テスト治療方法</t>
  </si>
  <si>
    <t>I9:L9</t>
  </si>
  <si>
    <t>2025/01/17 16:01:13</t>
  </si>
  <si>
    <t xml:space="preserve">新規追加_x000D_
表示文字数:34_x000D_
改頁しない_x000D_
プレビューデータ:123456789012_x000D_
書式:G/標準_x000D_
縮小しない_x000D_
テンプレート内外:_x000D_
</t>
  </si>
  <si>
    <t xml:space="preserve">新規追加_x000D_
改頁しない_x000D_
プレビューデータ:外来_x000D_
書式:G/標準_x000D_
データ変換:&lt;convTable cls="入外区分"&gt;&lt;conv code="0" item="外来" disp="外来" /&gt;&lt;conv code="1" item="入院" disp="入院" /&gt;&lt;/convTable&gt;_x000D_
縮小しない_x000D_
テンプレート内外:_x000D_
</t>
  </si>
  <si>
    <t xml:space="preserve">新規追加_x000D_
表示文字数:34_x000D_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</si>
  <si>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プレビューデータ:2025/01/17_x000D_
書式:yyyy/mm/dd_x000D_
縮小しない_x000D_
テンプレート内外:_x000D_
</t>
  </si>
  <si>
    <t xml:space="preserve">新規追加_x000D_
表示文字数:34_x000D_
改頁しない_x000D_
プレビューデータ:日機装　太郎_x000D_
書式:G/標準_x000D_
縮小しない_x000D_
テンプレート内外:_x000D_
</t>
  </si>
  <si>
    <t xml:space="preserve">新規追加_x000D_
改頁しない_x000D_
プレビューデータ:テストクール_x000D_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</si>
  <si>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</si>
  <si>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改頁しない_x000D_
プレビューデータ:16:00_x000D_
書式:hh:mm_x000D_
縮小しない_x000D_
テンプレート内外:_x000D_
</t>
  </si>
  <si>
    <t xml:space="preserve">新規追加_x000D_
改頁しない_x000D_
プレビューデータ:2011/3/12  12:45_x000D_
書式:hh:mm_x000D_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</si>
  <si>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</si>
  <si>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改頁しない_x000D_
プレビューデータ:15:58_x000D_
書式:hh:mm_x000D_
縮小しない_x000D_
テンプレート内外:_x000D_
</t>
  </si>
  <si>
    <t xml:space="preserve">新規追加_x000D_
表示文字数:34_x000D_
改頁しない_x000D_
プレビューデータ:高血圧_x000D_
書式:G/標準_x000D_
縮小しない_x000D_
テンプレート内外:_x000D_
</t>
  </si>
  <si>
    <t xml:space="preserve">新規追加_x000D_
改頁しない_x000D_
プレビューデータ:テスト治療方法_x000D_
書式:G/標準_x000D_
縮小しない_x000D_
テンプレート内外:_x000D_
</t>
  </si>
  <si>
    <t>連携コード</t>
    <rPh sb="0" eb="2">
      <t>レンケイ</t>
    </rPh>
    <phoneticPr fontId="1"/>
  </si>
  <si>
    <t>2025/01/17 16:07:00</t>
  </si>
  <si>
    <t xml:space="preserve">設定変更_x000D_
データ変換:&lt;convTable cls=""&gt;&lt;conv code="0" item="外来" disp="外来" /&gt;&lt;conv code="1" item="入院" disp="入院" /&gt;&lt;/convTable&gt; ⇒ &lt;convTable cls="入外区分"&gt;&lt;conv code="0" item="外来" disp="外来" /&gt;&lt;conv code="1" item="入院" disp="入院" /&gt;&lt;/convTable&gt;_x000D_
</t>
  </si>
  <si>
    <t>ggge"年"m"月"d"日"</t>
  </si>
  <si>
    <t>2025/01/17 16:26:17</t>
  </si>
  <si>
    <t xml:space="preserve">設定変更_x000D_
プレビューデータ:2025/01/17 ⇒ 令和7年1月17日_x000D_
書式:yyyy/mm/dd ⇒ ggge"年"m"月"d"日"_x000D_
</t>
  </si>
  <si>
    <t xml:space="preserve">設定変更_x000D_
プレビューデータ:1945/01/01 ⇒ 令和7年1月17日_x000D_
書式:yyyy/mm/dd ⇒ ggge"年"m"月"d"日"_x000D_
</t>
  </si>
  <si>
    <t xml:space="preserve">設定変更_x000D_
プレビューデータ:2000/02/10 ⇒ 令和7年1月17日_x000D_
書式:yyyy/mm/dd ⇒ ggge"年"m"月"d"日"_x000D_
</t>
  </si>
  <si>
    <t>##実績.実績情報.透析開始時刻</t>
  </si>
  <si>
    <t>##実績.実績情報.透析開始時刻</t>
    <phoneticPr fontId="1"/>
  </si>
  <si>
    <t>##実績.実績情報.月透析回数</t>
  </si>
  <si>
    <t>##レセプト.明細.項目</t>
  </si>
  <si>
    <t>##レセプト.明細.連携コード１</t>
  </si>
  <si>
    <t>##レセプト.明細.数量</t>
  </si>
  <si>
    <t>##レセプト.明細.単位</t>
  </si>
  <si>
    <t>##レセプト.明細.データ分類</t>
  </si>
  <si>
    <t>月透析回数</t>
  </si>
  <si>
    <t>236</t>
  </si>
  <si>
    <t>rst_dialysis_cnt</t>
  </si>
  <si>
    <t>3</t>
  </si>
  <si>
    <t>I5:L5</t>
  </si>
  <si>
    <t>透析開始時刻</t>
  </si>
  <si>
    <t>treat_start_time</t>
  </si>
  <si>
    <t>レセプト</t>
  </si>
  <si>
    <t>明細</t>
  </si>
  <si>
    <t>239</t>
  </si>
  <si>
    <t>ダイアライザ</t>
  </si>
  <si>
    <t>True</t>
  </si>
  <si>
    <t>Receipt</t>
  </si>
  <si>
    <t>A12</t>
  </si>
  <si>
    <t>レセプト.明細</t>
  </si>
  <si>
    <t>項目</t>
  </si>
  <si>
    <t>receipt_name</t>
  </si>
  <si>
    <t>FDX-120GW</t>
  </si>
  <si>
    <t>B12:F12</t>
  </si>
  <si>
    <t>連携コード１</t>
  </si>
  <si>
    <t>in_hospital_cd_1</t>
  </si>
  <si>
    <t>1234</t>
  </si>
  <si>
    <t>G12:H12</t>
  </si>
  <si>
    <t>I12:J12</t>
  </si>
  <si>
    <t>単位</t>
  </si>
  <si>
    <t>receipt_unit</t>
  </si>
  <si>
    <t>本</t>
  </si>
  <si>
    <t>K12:L12</t>
  </si>
  <si>
    <t>2025/04/10 14:35:36</t>
  </si>
  <si>
    <t xml:space="preserve">新規追加_x000D_
改頁しない_x000D_
プレビューデータ:3_x000D_
書式:G/標準_x000D_
縮小しない_x000D_
テンプレート内外:_x000D_
</t>
  </si>
  <si>
    <t xml:space="preserve">設定変更_x000D_
プレビューデータ:16:00 ⇒ 14:32_x000D_
</t>
  </si>
  <si>
    <t xml:space="preserve">新規追加_x000D_
改頁しない_x000D_
繰返場所:A12,A13,A14,A15,A16,A17,A18,A19,A20,A21,A22,A23,A24,A25,A26,A27,A28_x000D_
グループ名:レセプト.明細_x000D_
プレビューデータ:ダイアライザ_x000D_
書式:G/標準_x000D_
縮小しない_x000D_
テンプレート内外:_x000D_
</t>
  </si>
  <si>
    <t xml:space="preserve">新規追加_x000D_
改頁しない_x000D_
繰返場所:B12:F12,B13:F13,B14:F14,B15:F15,B16:F16,B17:F17,B18:F18,B19:F19,B20:F20,B21:F21,B22:F22,B23:F23,B24:F24,B25:F25,B26:F26,B27:F27,B28:F28_x000D_
グループ名:レセプト.明細_x000D_
プレビューデータ:FDX-120GW_x000D_
書式:G/標準_x000D_
縮小しない_x000D_
テンプレート内外:_x000D_
</t>
  </si>
  <si>
    <t xml:space="preserve">新規追加_x000D_
改頁しない_x000D_
繰返場所:G12:H12,G13:H13,G14:H14,G15:H15,G16:H16,G17:H17,G18:H18,G19:H19,G20:H20,G21:H21,G22:H22,G23:H23,G24:H24,G25:H25,G26:H26,G27:H27,G28:H28_x000D_
グループ名:レセプト.明細_x000D_
プレビューデータ:1234_x000D_
書式:G/標準_x000D_
縮小しない_x000D_
テンプレート内外:_x000D_
</t>
  </si>
  <si>
    <t xml:space="preserve">新規追加_x000D_
改頁しない_x000D_
繰返場所:I12:J12,I13:J13,I14:J14,I15:J15,I16:J16,I17:J17,I18:J18,I19:J19,I20:J20,I21:J21,I22:J22,I23:J23,I24:J24,I25:J25,I26:J26,I27:J27,I28:J28_x000D_
グループ名:レセプト.明細_x000D_
プレビューデータ:1_x000D_
書式:0_x000D_
縮小しない_x000D_
テンプレート内外:_x000D_
</t>
  </si>
  <si>
    <t xml:space="preserve">新規追加_x000D_
改頁しない_x000D_
繰返場所:K12:L12,K13:L13,K14:L14,K15:L15,K16:L16,K17:L17,K18:L18,K19:L19,K20:L20,K21:L21,K22:L22,K23:L23,K24:L24,K25:L25,K26:L26,K27:L27,K28:L28_x000D_
グループ名:レセプト.明細_x000D_
プレビューデータ:本_x000D_
書式:G/標準_x000D_
縮小しない_x000D_
テンプレート内外:_x000D_
</t>
  </si>
  <si>
    <t>レセプト.明細.レセプト.明細.B12:F12</t>
  </si>
  <si>
    <t>2025/04/10 14:35:37</t>
  </si>
  <si>
    <t>グループ</t>
  </si>
  <si>
    <t xml:space="preserve">改頁しない_x000D_
抽出条件:&lt;SelectSetting&gt;&lt;Item tag="Receipt" checkState="Checked" /&gt;&lt;/SelectSetting&gt;_x000D_
</t>
  </si>
  <si>
    <t>2025/04/10 14:37:46</t>
  </si>
  <si>
    <t xml:space="preserve">設定変更_x000D_
抽出条件: ⇒ &lt;SelectSetting&gt;&lt;Item tag="Receipt" checkState="Indeterminate"&gt;&lt;Item tag="6" checkState="Checked" /&gt;&lt;Item tag="7" checkState="Checked" /&gt;&lt;/Item&gt;&lt;/SelectSetting&gt;_x000D_
</t>
  </si>
  <si>
    <t xml:space="preserve">抽出条件:&lt;SelectSetting&gt;&lt;Item tag="Receipt" checkState="Checked" /&gt;&lt;/SelectSetting&gt; ⇒ &lt;SelectSetting&gt;&lt;Item tag="Receipt" checkState="Indeterminate"&gt;&lt;Item tag="6" checkState="Checked" /&gt;&lt;Item tag="7" checkState="Checked" /&gt;&lt;/Item&gt;&lt;/SelectSetting&gt;_x000D_
</t>
  </si>
  <si>
    <t>##レセプト.明細.データ種別</t>
  </si>
  <si>
    <t>&lt;SelectSetting&gt;&lt;Item tag="Receipt" checkState="Checked" /&gt;&lt;/SelectSetting&gt;</t>
  </si>
  <si>
    <t>2025/04/10 14:38:44</t>
  </si>
  <si>
    <t xml:space="preserve">設定変更_x000D_
抽出条件:&lt;SelectSetting&gt;&lt;Item tag="Receipt" checkState="Indeterminate"&gt;&lt;Item tag="6" checkState="Checked" /&gt;&lt;Item tag="7" checkState="Checked" /&gt;&lt;/Item&gt;&lt;/SelectSetting&gt; ⇒ &lt;SelectSetting&gt;&lt;Item tag="Receipt" checkState="Checked" /&gt;&lt;/SelectSetting&gt;_x000D_
</t>
  </si>
  <si>
    <t>2025/04/10 14:38:45</t>
  </si>
  <si>
    <t xml:space="preserve">抽出条件:&lt;SelectSetting&gt;&lt;Item tag="Receipt" checkState="Indeterminate"&gt;&lt;Item tag="6" checkState="Checked" /&gt;&lt;Item tag="7" checkState="Checked" /&gt;&lt;/Item&gt;&lt;/SelectSetting&gt; ⇒ &lt;SelectSetting&gt;&lt;Item tag="Receipt" checkState="Checked" /&gt;&lt;/SelectSetting&gt;_x000D_
</t>
  </si>
  <si>
    <t>データ分類</t>
  </si>
  <si>
    <t>receipt_kind</t>
  </si>
  <si>
    <t>2025/04/10 14:39:34</t>
  </si>
  <si>
    <t xml:space="preserve">設定変更_x000D_
抽出条件:&lt;SelectSetting&gt;&lt;Item tag="Receipt" checkState="Checked" /&gt;&lt;/SelectSetting&gt; ⇒ _x000D_
</t>
  </si>
  <si>
    <t>定期日常点検・交換部品記録簿設定</t>
  </si>
  <si>
    <t xml:space="preserve">帳票区分: ⇒ 1_x000D_
</t>
  </si>
  <si>
    <t>2025/04/10 14:45:06</t>
  </si>
  <si>
    <t>テンプレート設定</t>
  </si>
  <si>
    <t xml:space="preserve">設定:無効 ⇒ 有効_x000D_
範囲:未設定 ⇒ A1:L28_x000D_
</t>
  </si>
  <si>
    <t xml:space="preserve">設定変更_x000D_
テンプレート内外: ⇒ 内_x000D_
</t>
  </si>
  <si>
    <t>レセプト.明細.レセプト.明細.内.A12</t>
  </si>
  <si>
    <t>削除</t>
  </si>
  <si>
    <t>2025/04/10 14:45:07</t>
  </si>
  <si>
    <t>2025/04/10 14:45:20</t>
  </si>
  <si>
    <t xml:space="preserve">設定:有効 ⇒ 無効_x000D_
</t>
  </si>
  <si>
    <t xml:space="preserve">設定変更_x000D_
テンプレート内外:内 ⇒ _x000D_
</t>
  </si>
  <si>
    <t>2025/04/10 14:45:21</t>
  </si>
  <si>
    <t>##印刷情報.共通情報.ログイン者</t>
  </si>
  <si>
    <t>##印刷情報.共通情報.印刷日時</t>
  </si>
  <si>
    <t>##印刷情報.共通情報.印刷日時</t>
    <phoneticPr fontId="1"/>
  </si>
  <si>
    <t>N</t>
  </si>
  <si>
    <t>印刷情報</t>
  </si>
  <si>
    <t>共通情報</t>
  </si>
  <si>
    <t>印刷日時</t>
  </si>
  <si>
    <t>prt_dt</t>
  </si>
  <si>
    <t>yyyy/mm/dd hh:mm</t>
  </si>
  <si>
    <t>C71:E71</t>
  </si>
  <si>
    <t>ログイン者</t>
  </si>
  <si>
    <t>login</t>
  </si>
  <si>
    <t>確認テスト</t>
  </si>
  <si>
    <t>F71:H71</t>
  </si>
  <si>
    <t>2025/04/14 15:56:45</t>
  </si>
  <si>
    <t xml:space="preserve">設定変更_x000D_
繰返場所:A12,A13,A14,A15,A16,A17,A18,A19,A20,A21,A22,A23,A24,A25,A26,A27,A28 ⇒ A12,A13,A14,A15,A16,A17,A18,A19,A20,A21,A22,A23,A24,A25,A26,A27,A28,A29,A30,A31,A32,A33,A34,A35,A36,A37,A38,A39,A40,A41,A42,A43,A44,A45,A46,A47,A48,A49,A50,A51,A52,A53,A54,A55,A56,A57,A58,A59,A60,A61,A62,A63,A64,A65,A66,A67,A68,A69_x000D_
</t>
  </si>
  <si>
    <t xml:space="preserve">設定変更_x000D_
繰返場所:B12:F12,B13:F13,B14:F14,B15:F15,B16:F16,B17:F17,B18:F18,B19:F19,B20:F20,B21:F21,B22:F22,B23:F23,B24:F24,B25:F25,B26:F26,B27:F27,B28:F28 ⇒ B12:F12,B13:F13,B14:F14,B15:F15,B16:F16,B17:F17,B18:F18,B19:F19,B20:F20,B21:F21,B22:F22,B23:F23,B24:F24,B25:F25,B26:F26,B27:F27,B28:F28,B29:F29,B30:F30,B31:F31,B32:F32,B33:F33,B34:F34,B35:F35,B36:F36,B37:F37,B38:F38,B39:F39,B40:F40,B41:F41,B42:F42,B43:F43,B44:F44,B45:F45,B46:F46,B47:F47,B48:F48,B49:F49,B50:F50,B51:F51,B52:F52,B53:F53,B54:F54,B55:F55,B56:F56,B57:F57,B58:F58,B59:F59,B60:F60,B61:F61,B62:F62,B63:F63,B64:F64,B65:F65,B66:F66,B67:F67,B68:F68,B69:F69_x000D_
</t>
  </si>
  <si>
    <t xml:space="preserve">設定変更_x000D_
繰返場所:G12:H12,G13:H13,G14:H14,G15:H15,G16:H16,G17:H17,G18:H18,G19:H19,G20:H20,G21:H21,G22:H22,G23:H23,G24:H24,G25:H25,G26:H26,G27:H27,G28:H28 ⇒ G12:H12,G13:H13,G14:H14,G15:H15,G16:H16,G17:H17,G18:H18,G19:H19,G20:H20,G21:H21,G22:H22,G23:H23,G24:H24,G25:H25,G26:H26,G27:H27,G28:H28,G29:H29,G30:H30,G31:H31,G32:H32,G33:H33,G34:H34,G35:H35,G36:H36,G37:H37,G38:H38,G39:H39,G40:H40,G41:H41,G42:H42,G43:H43,G44:H44,G45:H45,G46:H46,G47:H47,G48:H48,G49:H49,G50:H50,G51:H51,G52:H52,G53:H53,G54:H54,G55:H55,G56:H56,G57:H57,G58:H58,G59:H59,G60:H60,G61:H61,G62:H62,G63:H63,G64:H64,G65:H65,G66:H66,G67:H67,G68:H68,G69:H69_x000D_
</t>
  </si>
  <si>
    <t xml:space="preserve">設定変更_x000D_
繰返場所:I12:J12,I13:J13,I14:J14,I15:J15,I16:J16,I17:J17,I18:J18,I19:J19,I20:J20,I21:J21,I22:J22,I23:J23,I24:J24,I25:J25,I26:J26,I27:J27,I28:J28 ⇒ I12:J12,I13:J13,I14:J14,I15:J15,I16:J16,I17:J17,I18:J18,I19:J19,I20:J20,I21:J21,I22:J22,I23:J23,I24:J24,I25:J25,I26:J26,I27:J27,I28:J28,I29:J29,I30:J30,I31:J31,I32:J32,I33:J33,I34:J34,I35:J35,I36:J36,I37:J37,I38:J38,I39:J39,I40:J40,I41:J41,I42:J42,I43:J43,I44:J44,I45:J45,I46:J46,I47:J47,I48:J48,I49:J49,I50:J50,I51:J51,I52:J52,I53:J53,I54:J54,I55:J55,I56:J56,I57:J57,I58:J58,I59:J59,I60:J60,I61:J61,I62:J62,I63:J63,I64:J64,I65:J65,I66:J66,I67:J67,I68:J68,I69:J69_x000D_
</t>
  </si>
  <si>
    <t xml:space="preserve">設定変更_x000D_
繰返場所:K12:L12,K13:L13,K14:L14,K15:L15,K16:L16,K17:L17,K18:L18,K19:L19,K20:L20,K21:L21,K22:L22,K23:L23,K24:L24,K25:L25,K26:L26,K27:L27,K28:L28 ⇒ K12:L12,K13:L13,K14:L14,K15:L15,K16:L16,K17:L17,K18:L18,K19:L19,K20:L20,K21:L21,K22:L22,K23:L23,K24:L24,K25:L25,K26:L26,K27:L27,K28:L28,K29:L29,K30:L30,K31:L31,K32:L32,K33:L33,K34:L34,K35:L35,K36:L36,K37:L37,K38:L38,K39:L39,K40:L40,K41:L41,K42:L42,K43:L43,K44:L44,K45:L45,K46:L46,K47:L47,K48:L48,K49:L49,K50:L50,K51:L51,K52:L52,K53:L53,K54:L54,K55:L55,K56:L56,K57:L57,K58:L58,K59:L59,K60:L60,K61:L61,K62:L62,K63:L63,K64:L64,K65:L65,K66:L66,K67:L67,K68:L68,K69:L69_x000D_
</t>
  </si>
  <si>
    <t xml:space="preserve">新規追加_x000D_
改頁しない_x000D_
プレビューデータ:2025/04/14 15:55_x000D_
書式:yyyy/mm/dd hh:mm_x000D_
縮小しない_x000D_
テンプレート内外:_x000D_
</t>
  </si>
  <si>
    <t xml:space="preserve">新規追加_x000D_
改頁しない_x000D_
プレビューデータ:確認テスト_x000D_
書式:G/標準_x000D_
縮小しない_x000D_
テンプレート内外:_x000D_
</t>
  </si>
  <si>
    <t>改頁しない</t>
  </si>
  <si>
    <t>2025/04/14 17:01:18</t>
  </si>
  <si>
    <t>2025/04/14 17:21:40</t>
  </si>
  <si>
    <t xml:space="preserve">設定変更_x000D_
書式:0 ⇒ G/標準_x000D_
</t>
  </si>
  <si>
    <t>2025/04/14 18:05:05</t>
  </si>
  <si>
    <t xml:space="preserve">設定変更_x000D_
書式:G/標準 ⇒ 0_x000D_
</t>
  </si>
  <si>
    <t>2025/04/14 18:05:35</t>
  </si>
  <si>
    <t>数量</t>
  </si>
  <si>
    <t>receipt_amount</t>
  </si>
  <si>
    <t>2025/04/14 18:06:36</t>
  </si>
  <si>
    <t xml:space="preserve">新規追加_x000D_
改頁しない_x000D_
繰返場所:I12:J12,I13:J13,I14:J14,I15:J15,I16:J16,I17:J17,I18:J18,I19:J19,I20:J20,I21:J21,I22:J22,I23:J23,I24:J24,I25:J25,I26:J26,I27:J27,I28:J28,I29:J29,I30:J30,I31:J31,I32:J32,I33:J33,I34:J34,I35:J35,I36:J36,I37:J37,I38:J38,I39:J39,I40:J40,I41:J41,I42:J42,I43:J43,I44:J44,I45:J45,I46:J46,I47:J47,I48:J48,I49:J49,I50:J50,I51:J51,I52:J52,I53:J53,I54:J54,I55:J55,I56:J56,I57:J57,I58:J58,I59:J59,I60:J60,I61:J61,I62:J62,I63:J63,I64:J64,I65:J65,I66:J66,I67:J67,I68:J68,I69:J69_x000D_
グループ名:レセプト.明細_x000D_
プレビューデータ:1_x000D_
書式:0_x000D_
縮小しない_x000D_
テンプレート内外:_x000D_
</t>
  </si>
  <si>
    <t>##レセプト.明細.数量</t>
    <phoneticPr fontId="1"/>
  </si>
  <si>
    <t>2025/04/14 18:15:15</t>
  </si>
  <si>
    <t>C3:F3</t>
  </si>
  <si>
    <t>J3:M3</t>
  </si>
  <si>
    <t>C4:F4</t>
  </si>
  <si>
    <t>令和7年4月15日</t>
  </si>
  <si>
    <t>J4:M4</t>
  </si>
  <si>
    <t>C5:F6</t>
  </si>
  <si>
    <t>J5:M5</t>
  </si>
  <si>
    <t>J6:M6</t>
  </si>
  <si>
    <t>C7:F7</t>
  </si>
  <si>
    <t>J7</t>
  </si>
  <si>
    <t>M7</t>
  </si>
  <si>
    <t>C8:F8</t>
  </si>
  <si>
    <t>J8:M8</t>
  </si>
  <si>
    <t>C9:F9</t>
  </si>
  <si>
    <t>J9:M9</t>
  </si>
  <si>
    <t>C12:G12</t>
  </si>
  <si>
    <t>H12:I12</t>
  </si>
  <si>
    <t>J12:K12</t>
  </si>
  <si>
    <t>L12:M12</t>
  </si>
  <si>
    <t>D71:F71</t>
  </si>
  <si>
    <t>G71:I71</t>
  </si>
  <si>
    <t>2025/04/15 08:01:26</t>
  </si>
  <si>
    <t xml:space="preserve">新規追加_x000D_
表示文字数:42_x000D_
改頁しない_x000D_
プレビューデータ:123456789012_x000D_
書式:G/標準_x000D_
縮小しない_x000D_
テンプレート内外:_x000D_
</t>
  </si>
  <si>
    <t xml:space="preserve">新規追加_x000D_
表示文字数:42_x000D_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</si>
  <si>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プレビューデータ:令和7年4月15日_x000D_
書式:ggge"年"m"月"d"日"_x000D_
縮小しない_x000D_
テンプレート内外:_x000D_
</t>
  </si>
  <si>
    <t xml:space="preserve">新規追加_x000D_
表示文字数:26_x000D_
改頁しない_x000D_
プレビューデータ:日機装　太郎_x000D_
書式:G/標準_x000D_
縮小しない_x000D_
テンプレート内外:_x000D_
</t>
  </si>
  <si>
    <t xml:space="preserve">新規追加_x000D_
改頁しない_x000D_
プレビューデータ:07:54_x000D_
書式:hh:mm_x000D_
縮小しない_x000D_
テンプレート内外:_x000D_
</t>
  </si>
  <si>
    <t xml:space="preserve">新規追加_x000D_
表示文字数:42_x000D_
改頁しない_x000D_
プレビューデータ:高血圧_x000D_
書式:G/標準_x000D_
縮小しない_x000D_
テンプレート内外:_x000D_
</t>
  </si>
  <si>
    <t xml:space="preserve">新規追加_x000D_
改頁しない_x000D_
繰返場所:C12:G12,C13:G13,C14:G14,C15:G15,C16:G16,C17:G17,C18:G18,C19:G19,C20:G20,C21:G21,C22:G22,C23:G23,C24:G24,C25:G25,C26:G26,C27:G27,C28:G28,C29:G29,C30:G30,C31:G31,C32:G32,C33:G33,C34:G34,C35:G35,C36:G36,C37:G37,C38:G38,C39:G39,C40:G40,C41:G41,C42:G42,C43:G43,C44:G44,C45:G45,C46:G46,C47:G47,C48:G48,C49:G49,C50:G50,C51:G51,C52:G52,C53:G53,C54:G54,C55:G55,C56:G56,C57:G57,C58:G58,C59:G59,C60:G60,C61:G61,C62:G62,C63:G63,C64:G64,C65:G65,C66:G66,C67:G67,C68:G68,C69:G69_x000D_
グループ名:レセプト.明細_x000D_
プレビューデータ:FDX-120GW_x000D_
書式:G/標準_x000D_
縮小しない_x000D_
テンプレート内外:_x000D_
</t>
  </si>
  <si>
    <t xml:space="preserve">新規追加_x000D_
改頁しない_x000D_
繰返場所:H12:I12,H13:I13,H14:I14,H15:I15,H16:I16,H17:I17,H18:I18,H19:I19,H20:I20,H21:I21,H22:I22,H23:I23,H24:I24,H25:I25,H26:I26,H27:I27,H28:I28,H29:I29,H30:I30,H31:I31,H32:I32,H33:I33,H34:I34,H35:I35,H36:I36,H37:I37,H38:I38,H39:I39,H40:I40,H41:I41,H42:I42,H43:I43,H44:I44,H45:I45,H46:I46,H47:I47,H48:I48,H49:I49,H50:I50,H51:I51,H52:I52,H53:I53,H54:I54,H55:I55,H56:I56,H57:I57,H58:I58,H59:I59,H60:I60,H61:I61,H62:I62,H63:I63,H64:I64,H65:I65,H66:I66,H67:I67,H68:I68,H69:I69_x000D_
グループ名:レセプト.明細_x000D_
プレビューデータ:1234_x000D_
書式:G/標準_x000D_
縮小しない_x000D_
テンプレート内外:_x000D_
</t>
  </si>
  <si>
    <t xml:space="preserve">新規追加_x000D_
改頁しない_x000D_
繰返場所: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,J66:K66,J67:K67,J68:K68,J69:K69_x000D_
グループ名:レセプト.明細_x000D_
プレビューデータ:1_x000D_
書式:G/標準_x000D_
縮小しない_x000D_
テンプレート内外:_x000D_
</t>
  </si>
  <si>
    <t xml:space="preserve">新規追加_x000D_
改頁しない_x000D_
繰返場所: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,L66:M66,L67:M67,L68:M68,L69:M69_x000D_
グループ名:レセプト.明細_x000D_
プレビューデータ:本_x000D_
書式:G/標準_x000D_
縮小しない_x000D_
テンプレート内外:_x000D_
</t>
  </si>
  <si>
    <t xml:space="preserve">新規追加_x000D_
改頁しない_x000D_
プレビューデータ:2025/04/15 07:54_x000D_
書式:yyyy/mm/dd hh:mm_x000D_
縮小しない_x000D_
テンプレート内外:_x000D_
</t>
  </si>
  <si>
    <t>2025/04/15 08:04:09</t>
  </si>
  <si>
    <t>2025/04/15 08:06:38</t>
  </si>
  <si>
    <t>2025/04/15 08:09:26</t>
  </si>
  <si>
    <t>2025/04/15 08:10:43</t>
  </si>
  <si>
    <t>D68:F68</t>
  </si>
  <si>
    <t>G68:I68</t>
  </si>
  <si>
    <t>2025/04/15 08:12:37</t>
  </si>
  <si>
    <t xml:space="preserve">設定変更_x000D_
繰返場所:A12,A13,A14,A15,A16,A17,A18,A19,A20,A21,A22,A23,A24,A25,A26,A27,A28,A29,A30,A31,A32,A33,A34,A35,A36,A37,A38,A39,A40,A41,A42,A43,A44,A45,A46,A47,A48,A49,A50,A51,A52,A53,A54,A55,A56,A57,A58,A59,A60,A61,A62,A63,A64,A65,A66,A67,A68,A69 ⇒ A12,A13,A14,A15,A16,A17,A18,A19,A20,A21,A22,A23,A24,A25,A26,A27,A28,A29,A30,A31,A32,A33,A34,A35,A36,A37,A38,A39,A40,A41,A42,A43,A44,A45,A46,A47,A48,A49,A50,A51,A52,A53,A54,A55,A56,A57,A58,A59,A60,A61,A62,A63,A64,A65,A66_x000D_
</t>
  </si>
  <si>
    <t xml:space="preserve">設定変更_x000D_
繰返場所:C12:G12,C13:G13,C14:G14,C15:G15,C16:G16,C17:G17,C18:G18,C19:G19,C20:G20,C21:G21,C22:G22,C23:G23,C24:G24,C25:G25,C26:G26,C27:G27,C28:G28,C29:G29,C30:G30,C31:G31,C32:G32,C33:G33,C34:G34,C35:G35,C36:G36,C37:G37,C38:G38,C39:G39,C40:G40,C41:G41,C42:G42,C43:G43,C44:G44,C45:G45,C46:G46,C47:G47,C48:G48,C49:G49,C50:G50,C51:G51,C52:G52,C53:G53,C54:G54,C55:G55,C56:G56,C57:G57,C58:G58,C59:G59,C60:G60,C61:G61,C62:G62,C63:G63,C64:G64,C65:G65,C66:G66,C67:G67,C68:G68,C69:G69 ⇒ C12:G12,C13:G13,C14:G14,C15:G15,C16:G16,C17:G17,C18:G18,C19:G19,C20:G20,C21:G21,C22:G22,C23:G23,C24:G24,C25:G25,C26:G26,C27:G27,C28:G28,C29:G29,C30:G30,C31:G31,C32:G32,C33:G33,C34:G34,C35:G35,C36:G36,C37:G37,C38:G38,C39:G39,C40:G40,C41:G41,C42:G42,C43:G43,C44:G44,C45:G45,C46:G46,C47:G47,C48:G48,C49:G49,C50:G50,C51:G51,C52:G52,C53:G53,C54:G54,C55:G55,C56:G56,C57:G57,C58:G58,C59:G59,C60:G60,C61:G61,C62:G62,C63:G63,C64:G64,C65:G65,C66:G66_x000D_
</t>
  </si>
  <si>
    <t xml:space="preserve">設定変更_x000D_
繰返場所:H12:I12,H13:I13,H14:I14,H15:I15,H16:I16,H17:I17,H18:I18,H19:I19,H20:I20,H21:I21,H22:I22,H23:I23,H24:I24,H25:I25,H26:I26,H27:I27,H28:I28,H29:I29,H30:I30,H31:I31,H32:I32,H33:I33,H34:I34,H35:I35,H36:I36,H37:I37,H38:I38,H39:I39,H40:I40,H41:I41,H42:I42,H43:I43,H44:I44,H45:I45,H46:I46,H47:I47,H48:I48,H49:I49,H50:I50,H51:I51,H52:I52,H53:I53,H54:I54,H55:I55,H56:I56,H57:I57,H58:I58,H59:I59,H60:I60,H61:I61,H62:I62,H63:I63,H64:I64,H65:I65,H66:I66,H67:I67,H68:I68,H69:I69 ⇒ H12:I12,H13:I13,H14:I14,H15:I15,H16:I16,H17:I17,H18:I18,H19:I19,H20:I20,H21:I21,H22:I22,H23:I23,H24:I24,H25:I25,H26:I26,H27:I27,H28:I28,H29:I29,H30:I30,H31:I31,H32:I32,H33:I33,H34:I34,H35:I35,H36:I36,H37:I37,H38:I38,H39:I39,H40:I40,H41:I41,H42:I42,H43:I43,H44:I44,H45:I45,H46:I46,H47:I47,H48:I48,H49:I49,H50:I50,H51:I51,H52:I52,H53:I53,H54:I54,H55:I55,H56:I56,H57:I57,H58:I58,H59:I59,H60:I60,H61:I61,H62:I62,H63:I63,H64:I64,H65:I65,H66:I66_x000D_
</t>
  </si>
  <si>
    <t xml:space="preserve">設定変更_x000D_
繰返場所: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,J66:K66,J67:K67,J68:K68,J69:K69 ⇒ 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,J66:K66_x000D_
</t>
  </si>
  <si>
    <t xml:space="preserve">設定変更_x000D_
繰返場所: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,L66:M66,L67:M67,L68:M68,L69:M69 ⇒ 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,L66:M66_x000D_
</t>
  </si>
  <si>
    <t xml:space="preserve">新規追加_x000D_
改頁しない_x000D_
プレビューデータ:2025/04/15 08:11_x000D_
書式:yyyy/mm/dd hh:mm_x000D_
縮小しない_x000D_
テンプレート内外:_x000D_
</t>
  </si>
  <si>
    <t>D3:G3</t>
  </si>
  <si>
    <t>K3:N3</t>
  </si>
  <si>
    <t>D4:G4</t>
  </si>
  <si>
    <t>K4:N4</t>
  </si>
  <si>
    <t>D5:G6</t>
  </si>
  <si>
    <t>K5:N5</t>
  </si>
  <si>
    <t>K6:N6</t>
  </si>
  <si>
    <t>D7:G7</t>
  </si>
  <si>
    <t>K7</t>
  </si>
  <si>
    <t>N7</t>
  </si>
  <si>
    <t>D8:G8</t>
  </si>
  <si>
    <t>K8:N8</t>
  </si>
  <si>
    <t>D9:G9</t>
  </si>
  <si>
    <t>K9:N9</t>
  </si>
  <si>
    <t>D12:H12</t>
  </si>
  <si>
    <t>M12:N12</t>
  </si>
  <si>
    <t>E68:G68</t>
  </si>
  <si>
    <t>H68:J68</t>
  </si>
  <si>
    <t>2025/04/15 08:21:44</t>
  </si>
  <si>
    <t xml:space="preserve">新規追加_x000D_
改頁しない_x000D_
プレビューデータ:08:16_x000D_
書式:hh:mm_x000D_
縮小しない_x000D_
テンプレート内外:_x000D_
</t>
  </si>
  <si>
    <t xml:space="preserve">新規追加_x000D_
改頁しない_x000D_
繰返場所:D12:H12,D13:H13,D14:H14,D15:H15,D16:H16,D17:H17,D18:H18,D19:H19,D20:H20,D21:H21,D22:H22,D23:H23,D24:H24,D25:H25,D26:H26,D27:H27,D28:H28,D29:H29,D30:H30,D31:H31,D32:H32,D33:H33,D34:H34,D35:H35,D36:H36,D37:H37,D38:H38,D39:H39,D40:H40,D41:H41,D42:H42,D43:H43,D44:H44,D45:H45,D46:H46,D47:H47,D48:H48,D49:H49,D50:H50,D51:H51,D52:H52,D53:H53,D54:H54,D55:H55,D56:H56,D57:H57,D58:H58,D59:H59,D60:H60,D61:H61,D62:H62,D63:H63,D64:H64,D65:H65,D66:H66_x000D_
グループ名:レセプト.明細_x000D_
プレビューデータ:FDX-120GW_x000D_
書式:G/標準_x000D_
縮小しない_x000D_
テンプレート内外:_x000D_
</t>
  </si>
  <si>
    <t xml:space="preserve">新規追加_x000D_
改頁しない_x000D_
繰返場所:I12:J12,I13:J13,I14:J14,I15:J15,I16:J16,I17:J17,I18:J18,I19:J19,I20:J20,I21:J21,I22:J22,I23:J23,I24:J24,I25:J25,I26:J26,I27:J27,I28:J28,I29:J29,I30:J30,I31:J31,I32:J32,I33:J33,I34:J34,I35:J35,I36:J36,I37:J37,I38:J38,I39:J39,I40:J40,I41:J41,I42:J42,I43:J43,I44:J44,I45:J45,I46:J46,I47:J47,I48:J48,I49:J49,I50:J50,I51:J51,I52:J52,I53:J53,I54:J54,I55:J55,I56:J56,I57:J57,I58:J58,I59:J59,I60:J60,I61:J61,I62:J62,I63:J63,I64:J64,I65:J65,I66:J66_x000D_
グループ名:レセプト.明細_x000D_
プレビューデータ:1234_x000D_
書式:G/標準_x000D_
縮小しない_x000D_
テンプレート内外:_x000D_
</t>
  </si>
  <si>
    <t xml:space="preserve">新規追加_x000D_
改頁しない_x000D_
繰返場所:K12:L12,K13:L13,K14:L14,K15:L15,K16:L16,K17:L17,K18:L18,K19:L19,K20:L20,K21:L21,K22:L22,K23:L23,K24:L24,K25:L25,K26:L26,K27:L27,K28:L28,K29:L29,K30:L30,K31:L31,K32:L32,K33:L33,K34:L34,K35:L35,K36:L36,K37:L37,K38:L38,K39:L39,K40:L40,K41:L41,K42:L42,K43:L43,K44:L44,K45:L45,K46:L46,K47:L47,K48:L48,K49:L49,K50:L50,K51:L51,K52:L52,K53:L53,K54:L54,K55:L55,K56:L56,K57:L57,K58:L58,K59:L59,K60:L60,K61:L61,K62:L62,K63:L63,K64:L64,K65:L65,K66:L66_x000D_
グループ名:レセプト.明細_x000D_
プレビューデータ:1_x000D_
書式:G/標準_x000D_
縮小しない_x000D_
テンプレート内外:_x000D_
</t>
  </si>
  <si>
    <t xml:space="preserve">新規追加_x000D_
改頁しない_x000D_
繰返場所:M12:N12,M13:N13,M14:N14,M15:N15,M16:N16,M17:N17,M18:N18,M19:N19,M20:N20,M21:N21,M22:N22,M23:N23,M24:N24,M25:N25,M26:N26,M27:N27,M28:N28,M29:N29,M30:N30,M31:N31,M32:N32,M33:N33,M34:N34,M35:N35,M36:N36,M37:N37,M38:N38,M39:N39,M40:N40,M41:N41,M42:N42,M43:N43,M44:N44,M45:N45,M46:N46,M47:N47,M48:N48,M49:N49,M50:N50,M51:N51,M52:N52,M53:N53,M54:N54,M55:N55,M56:N56,M57:N57,M58:N58,M59:N59,M60:N60,M61:N61,M62:N62,M63:N63,M64:N64,M65:N65,M66:N66_x000D_
グループ名:レセプト.明細_x000D_
プレビューデータ:本_x000D_
書式:G/標準_x000D_
縮小しない_x000D_
テンプレート内外:_x000D_
</t>
  </si>
  <si>
    <t xml:space="preserve">新規追加_x000D_
改頁しない_x000D_
プレビューデータ:2025/04/15 08:16_x000D_
書式:yyyy/mm/dd hh:mm_x000D_
縮小しない_x000D_
テンプレート内外:_x000D_
</t>
  </si>
  <si>
    <t>レセプト.明細.レセプト.明細.D12:H12</t>
  </si>
  <si>
    <t>2025/04/15 08:21:45</t>
  </si>
  <si>
    <t>##=IF(AND(A13&lt;&gt;"",A13&lt;&gt;"メーカ"),A13,"")</t>
  </si>
  <si>
    <t>B13</t>
  </si>
  <si>
    <t>2025/04/15 08:22:44</t>
  </si>
  <si>
    <t xml:space="preserve">新規追加_x000D_
改頁しない_x000D_
プレビューデータ:0_x000D_
書式:G/標準_x000D_
縮小しない_x000D_
テンプレート内外:_x000D_
</t>
  </si>
  <si>
    <t>2025/04/15 08:23:20</t>
  </si>
  <si>
    <t>E3:H3</t>
  </si>
  <si>
    <t>L3:O3</t>
  </si>
  <si>
    <t>E4:H4</t>
  </si>
  <si>
    <t>L4:O4</t>
  </si>
  <si>
    <t>E5:H6</t>
  </si>
  <si>
    <t>L5:O5</t>
  </si>
  <si>
    <t>L6:O6</t>
  </si>
  <si>
    <t>E7:H7</t>
  </si>
  <si>
    <t>O7</t>
  </si>
  <si>
    <t>E8:H8</t>
  </si>
  <si>
    <t>L8:O8</t>
  </si>
  <si>
    <t>E9:H9</t>
  </si>
  <si>
    <t>L9:O9</t>
  </si>
  <si>
    <t>E12:I12</t>
  </si>
  <si>
    <t>N12:O12</t>
  </si>
  <si>
    <t>F68:H68</t>
  </si>
  <si>
    <t>I68:K68</t>
  </si>
  <si>
    <t>2025/04/15 08:32:34</t>
  </si>
  <si>
    <t xml:space="preserve">新規追加_x000D_
改頁しない_x000D_
プレビューデータ:08:27_x000D_
書式:hh:mm_x000D_
縮小しない_x000D_
テンプレート内外:_x000D_
</t>
  </si>
  <si>
    <t xml:space="preserve">新規追加_x000D_
改頁しない_x000D_
繰返場所:E12:I12,E13:I13,E14:I14,E15:I15,E16:I16,E17:I17,E18:I18,E19:I19,E20:I20,E21:I21,E22:I22,E23:I23,E24:I24,E25:I25,E26:I26,E27:I27,E28:I28,E29:I29,E30:I30,E31:I31,E32:I32,E33:I33,E34:I34,E35:I35,E36:I36,E37:I37,E38:I38,E39:I39,E40:I40,E41:I41,E42:I42,E43:I43,E44:I44,E45:I45,E46:I46,E47:I47,E48:I48,E49:I49,E50:I50,E51:I51,E52:I52,E53:I53,E54:I54,E55:I55,E56:I56,E57:I57,E58:I58,E59:I59,E60:I60,E61:I61,E62:I62,E63:I63,E64:I64,E65:I65,E66:I66_x000D_
グループ名:レセプト.明細_x000D_
プレビューデータ:FDX-120GW_x000D_
書式:G/標準_x000D_
縮小しない_x000D_
テンプレート内外:_x000D_
</t>
  </si>
  <si>
    <t xml:space="preserve">新規追加_x000D_
改頁しない_x000D_
繰返場所: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,J66:K66_x000D_
グループ名:レセプト.明細_x000D_
プレビューデータ:1234_x000D_
書式:G/標準_x000D_
縮小しない_x000D_
テンプレート内外:_x000D_
</t>
  </si>
  <si>
    <t xml:space="preserve">新規追加_x000D_
改頁しない_x000D_
繰返場所: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,L66:M66_x000D_
グループ名:レセプト.明細_x000D_
プレビューデータ:1_x000D_
書式:G/標準_x000D_
縮小しない_x000D_
テンプレート内外:_x000D_
</t>
  </si>
  <si>
    <t xml:space="preserve">新規追加_x000D_
改頁しない_x000D_
繰返場所:N12:O12,N13:O13,N14:O14,N15:O15,N16:O16,N17:O17,N18:O18,N19:O19,N20:O20,N21:O21,N22:O22,N23:O23,N24:O24,N25:O25,N26:O26,N27:O27,N28:O28,N29:O29,N30:O30,N31:O31,N32:O32,N33:O33,N34:O34,N35:O35,N36:O36,N37:O37,N38:O38,N39:O39,N40:O40,N41:O41,N42:O42,N43:O43,N44:O44,N45:O45,N46:O46,N47:O47,N48:O48,N49:O49,N50:O50,N51:O51,N52:O52,N53:O53,N54:O54,N55:O55,N56:O56,N57:O57,N58:O58,N59:O59,N60:O60,N61:O61,N62:O62,N63:O63,N64:O64,N65:O65,N66:O66_x000D_
グループ名:レセプト.明細_x000D_
プレビューデータ:本_x000D_
書式:G/標準_x000D_
縮小しない_x000D_
テンプレート内外:_x000D_
</t>
  </si>
  <si>
    <t xml:space="preserve">新規追加_x000D_
改頁しない_x000D_
プレビューデータ:2025/04/15 08:27_x000D_
書式:yyyy/mm/dd hh:mm_x000D_
縮小しない_x000D_
テンプレート内外:_x000D_
</t>
  </si>
  <si>
    <t>2025/04/15 08:49:21</t>
  </si>
  <si>
    <t>2025/04/15 08:53:39</t>
  </si>
  <si>
    <t>2025/04/15 08:58:55</t>
  </si>
  <si>
    <t>2025/04/15 09:03:25</t>
  </si>
  <si>
    <t>2025/04/15 09:04:29</t>
  </si>
  <si>
    <t>2025/04/15 09:05:52</t>
  </si>
  <si>
    <t>2025/04/15 09:06:23</t>
  </si>
  <si>
    <t>2025/04/15 09:12:51</t>
  </si>
  <si>
    <t>F67:H67</t>
  </si>
  <si>
    <t>I67:K67</t>
  </si>
  <si>
    <t>2025/04/15 09:23:12</t>
  </si>
  <si>
    <t xml:space="preserve">設定変更_x000D_
繰返場所:A12,A13,A14,A15,A16,A17,A18,A19,A20,A21,A22,A23,A24,A25,A26,A27,A28,A29,A30,A31,A32,A33,A34,A35,A36,A37,A38,A39,A40,A41,A42,A43,A44,A45,A46,A47,A48,A49,A50,A51,A52,A53,A54,A55,A56,A57,A58,A59,A60,A61,A62,A63,A64,A65,A66 ⇒ A12,A13,A14,A15,A16,A17,A18,A19,A20,A21,A22,A23,A24,A25,A26,A27,A28,A29,A30,A31,A32,A33,A34,A35,A36,A37,A38,A39,A40,A41,A42,A43,A44,A45,A46,A47,A48,A49,A50,A51,A52,A53,A54,A55,A56,A57,A58,A59,A60,A61,A62,A63,A64,A65_x000D_
</t>
  </si>
  <si>
    <t xml:space="preserve">設定変更_x000D_
繰返場所:E12:I12,E13:I13,E14:I14,E15:I15,E16:I16,E17:I17,E18:I18,E19:I19,E20:I20,E21:I21,E22:I22,E23:I23,E24:I24,E25:I25,E26:I26,E27:I27,E28:I28,E29:I29,E30:I30,E31:I31,E32:I32,E33:I33,E34:I34,E35:I35,E36:I36,E37:I37,E38:I38,E39:I39,E40:I40,E41:I41,E42:I42,E43:I43,E44:I44,E45:I45,E46:I46,E47:I47,E48:I48,E49:I49,E50:I50,E51:I51,E52:I52,E53:I53,E54:I54,E55:I55,E56:I56,E57:I57,E58:I58,E59:I59,E60:I60,E61:I61,E62:I62,E63:I63,E64:I64,E65:I65,E66:I66 ⇒ E12:I12,E13:I13,E14:I14,E15:I15,E16:I16,E17:I17,E18:I18,E19:I19,E20:I20,E21:I21,E22:I22,E23:I23,E24:I24,E25:I25,E26:I26,E27:I27,E28:I28,E29:I29,E30:I30,E31:I31,E32:I32,E33:I33,E34:I34,E35:I35,E36:I36,E37:I37,E38:I38,E39:I39,E40:I40,E41:I41,E42:I42,E43:I43,E44:I44,E45:I45,E46:I46,E47:I47,E48:I48,E49:I49,E50:I50,E51:I51,E52:I52,E53:I53,E54:I54,E55:I55,E56:I56,E57:I57,E58:I58,E59:I59,E60:I60,E61:I61,E62:I62,E63:I63,E64:I64,E65:I65_x000D_
</t>
  </si>
  <si>
    <t xml:space="preserve">設定変更_x000D_
繰返場所: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,J66:K66 ⇒ 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_x000D_
</t>
  </si>
  <si>
    <t xml:space="preserve">設定変更_x000D_
繰返場所: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,L66:M66 ⇒ 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_x000D_
</t>
  </si>
  <si>
    <t xml:space="preserve">設定変更_x000D_
繰返場所:N12:O12,N13:O13,N14:O14,N15:O15,N16:O16,N17:O17,N18:O18,N19:O19,N20:O20,N21:O21,N22:O22,N23:O23,N24:O24,N25:O25,N26:O26,N27:O27,N28:O28,N29:O29,N30:O30,N31:O31,N32:O32,N33:O33,N34:O34,N35:O35,N36:O36,N37:O37,N38:O38,N39:O39,N40:O40,N41:O41,N42:O42,N43:O43,N44:O44,N45:O45,N46:O46,N47:O47,N48:O48,N49:O49,N50:O50,N51:O51,N52:O52,N53:O53,N54:O54,N55:O55,N56:O56,N57:O57,N58:O58,N59:O59,N60:O60,N61:O61,N62:O62,N63:O63,N64:O64,N65:O65,N66:O66 ⇒ N12:O12,N13:O13,N14:O14,N15:O15,N16:O16,N17:O17,N18:O18,N19:O19,N20:O20,N21:O21,N22:O22,N23:O23,N24:O24,N25:O25,N26:O26,N27:O27,N28:O28,N29:O29,N30:O30,N31:O31,N32:O32,N33:O33,N34:O34,N35:O35,N36:O36,N37:O37,N38:O38,N39:O39,N40:O40,N41:O41,N42:O42,N43:O43,N44:O44,N45:O45,N46:O46,N47:O47,N48:O48,N49:O49,N50:O50,N51:O51,N52:O52,N53:O53,N54:O54,N55:O55,N56:O56,N57:O57,N58:O58,N59:O59,N60:O60,N61:O61,N62:O62,N63:O63,N64:O64,N65:O65_x000D_
</t>
  </si>
  <si>
    <t xml:space="preserve">新規追加_x000D_
改頁しない_x000D_
プレビューデータ:2025/04/15 09:20_x000D_
書式:yyyy/mm/dd hh:mm_x000D_
縮小しない_x000D_
テンプレート内外:_x000D_
</t>
  </si>
  <si>
    <t>2025/04/15 09:24:00</t>
  </si>
  <si>
    <t>2025/04/15 09:24:29</t>
  </si>
  <si>
    <t>##印刷情報.共通情報.単位ページ番号</t>
  </si>
  <si>
    <t>##印刷情報.共通情報.単位ページ総数</t>
  </si>
  <si>
    <t>単位ページ番号</t>
  </si>
  <si>
    <t>currentPage</t>
  </si>
  <si>
    <t>A1</t>
  </si>
  <si>
    <t>単位ページ総数</t>
  </si>
  <si>
    <t>totalPages</t>
  </si>
  <si>
    <t>A2</t>
  </si>
  <si>
    <t>2025/04/15 09:27:06</t>
  </si>
  <si>
    <t xml:space="preserve">新規追加_x000D_
改頁しない_x000D_
プレビューデータ:1_x000D_
書式:G/標準_x000D_
縮小しない_x000D_
テンプレート内外:_x000D_
</t>
  </si>
  <si>
    <t>2025/04/15 09:28:55</t>
  </si>
  <si>
    <t>A12,A13,A14,A15,A16,A17,A18,A19,A20,A21,A22,A23,A24,A25,A26,A27,A28,A29,A30,A31,A32,A33,A34,A35,A36,A37,A38,A39,A40,A41,A42,A43,A44,A45,A46,A47,A48,A49,A50,A51,A52,A53,A54,A55,A56,A57,A58,A59,A60,A61,A62,A63,A64</t>
  </si>
  <si>
    <t>F66:H66</t>
  </si>
  <si>
    <t>I66:K66</t>
  </si>
  <si>
    <t>2025/04/15 09:31:15</t>
  </si>
  <si>
    <t xml:space="preserve">設定変更_x000D_
繰返場所:A12,A13,A14,A15,A16,A17,A18,A19,A20,A21,A22,A23,A24,A25,A26,A27,A28,A29,A30,A31,A32,A33,A34,A35,A36,A37,A38,A39,A40,A41,A42,A43,A44,A45,A46,A47,A48,A49,A50,A51,A52,A53,A54,A55,A56,A57,A58,A59,A60,A61,A62,A63,A64,A65 ⇒ A12,A13,A14,A15,A16,A17,A18,A19,A20,A21,A22,A23,A24,A25,A26,A27,A28,A29,A30,A31,A32,A33,A34,A35,A36,A37,A38,A39,A40,A41,A42,A43,A44,A45,A46,A47,A48,A49,A50,A51,A52,A53,A54,A55,A56,A57,A58,A59,A60,A61,A62,A63,A64_x000D_
</t>
  </si>
  <si>
    <t xml:space="preserve">設定変更_x000D_
繰返場所:E12:I12,E13:I13,E14:I14,E15:I15,E16:I16,E17:I17,E18:I18,E19:I19,E20:I20,E21:I21,E22:I22,E23:I23,E24:I24,E25:I25,E26:I26,E27:I27,E28:I28,E29:I29,E30:I30,E31:I31,E32:I32,E33:I33,E34:I34,E35:I35,E36:I36,E37:I37,E38:I38,E39:I39,E40:I40,E41:I41,E42:I42,E43:I43,E44:I44,E45:I45,E46:I46,E47:I47,E48:I48,E49:I49,E50:I50,E51:I51,E52:I52,E53:I53,E54:I54,E55:I55,E56:I56,E57:I57,E58:I58,E59:I59,E60:I60,E61:I61,E62:I62,E63:I63,E64:I64,E65:I65 ⇒ E12:I12,E13:I13,E14:I14,E15:I15,E16:I16,E17:I17,E18:I18,E19:I19,E20:I20,E21:I21,E22:I22,E23:I23,E24:I24,E25:I25,E26:I26,E27:I27,E28:I28,E29:I29,E30:I30,E31:I31,E32:I32,E33:I33,E34:I34,E35:I35,E36:I36,E37:I37,E38:I38,E39:I39,E40:I40,E41:I41,E42:I42,E43:I43,E44:I44,E45:I45,E46:I46,E47:I47,E48:I48,E49:I49,E50:I50,E51:I51,E52:I52,E53:I53,E54:I54,E55:I55,E56:I56,E57:I57,E58:I58,E59:I59,E60:I60,E61:I61,E62:I62,E63:I63,E64:I64_x000D_
</t>
  </si>
  <si>
    <t xml:space="preserve">設定変更_x000D_
繰返場所: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,J65:K65 ⇒ J12:K12,J13:K13,J14:K14,J15:K15,J16:K16,J17:K17,J18:K18,J19:K19,J20:K20,J21:K21,J22:K22,J23:K23,J24:K24,J25:K25,J26:K26,J27:K27,J28:K28,J29:K29,J30:K30,J31:K31,J32:K32,J33:K33,J34:K34,J35:K35,J36:K36,J37:K37,J38:K38,J39:K39,J40:K40,J41:K41,J42:K42,J43:K43,J44:K44,J45:K45,J46:K46,J47:K47,J48:K48,J49:K49,J50:K50,J51:K51,J52:K52,J53:K53,J54:K54,J55:K55,J56:K56,J57:K57,J58:K58,J59:K59,J60:K60,J61:K61,J62:K62,J63:K63,J64:K64_x000D_
</t>
  </si>
  <si>
    <t xml:space="preserve">設定変更_x000D_
繰返場所: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,L65:M65 ⇒ L12:M12,L13:M13,L14:M14,L15:M15,L16:M16,L17:M17,L18:M18,L19:M19,L20:M20,L21:M21,L22:M22,L23:M23,L24:M24,L25:M25,L26:M26,L27:M27,L28:M28,L29:M29,L30:M30,L31:M31,L32:M32,L33:M33,L34:M34,L35:M35,L36:M36,L37:M37,L38:M38,L39:M39,L40:M40,L41:M41,L42:M42,L43:M43,L44:M44,L45:M45,L46:M46,L47:M47,L48:M48,L49:M49,L50:M50,L51:M51,L52:M52,L53:M53,L54:M54,L55:M55,L56:M56,L57:M57,L58:M58,L59:M59,L60:M60,L61:M61,L62:M62,L63:M63,L64:M64_x000D_
</t>
  </si>
  <si>
    <t xml:space="preserve">設定変更_x000D_
繰返場所:N12:O12,N13:O13,N14:O14,N15:O15,N16:O16,N17:O17,N18:O18,N19:O19,N20:O20,N21:O21,N22:O22,N23:O23,N24:O24,N25:O25,N26:O26,N27:O27,N28:O28,N29:O29,N30:O30,N31:O31,N32:O32,N33:O33,N34:O34,N35:O35,N36:O36,N37:O37,N38:O38,N39:O39,N40:O40,N41:O41,N42:O42,N43:O43,N44:O44,N45:O45,N46:O46,N47:O47,N48:O48,N49:O49,N50:O50,N51:O51,N52:O52,N53:O53,N54:O54,N55:O55,N56:O56,N57:O57,N58:O58,N59:O59,N60:O60,N61:O61,N62:O62,N63:O63,N64:O64,N65:O65 ⇒ N12:O12,N13:O13,N14:O14,N15:O15,N16:O16,N17:O17,N18:O18,N19:O19,N20:O20,N21:O21,N22:O22,N23:O23,N24:O24,N25:O25,N26:O26,N27:O27,N28:O28,N29:O29,N30:O30,N31:O31,N32:O32,N33:O33,N34:O34,N35:O35,N36:O36,N37:O37,N38:O38,N39:O39,N40:O40,N41:O41,N42:O42,N43:O43,N44:O44,N45:O45,N46:O46,N47:O47,N48:O48,N49:O49,N50:O50,N51:O51,N52:O52,N53:O53,N54:O54,N55:O55,N56:O56,N57:O57,N58:O58,N59:O59,N60:O60,N61:O61,N62:O62,N63:O63,N64:O64_x000D_
</t>
  </si>
  <si>
    <t xml:space="preserve">新規追加_x000D_
改頁しない_x000D_
プレビューデータ:2025/04/15 09:29_x000D_
書式:yyyy/mm/dd hh:mm_x000D_
縮小しない_x000D_
テンプレート内外:_x000D_
</t>
  </si>
  <si>
    <t>53</t>
  </si>
  <si>
    <t>2025/04/15 09:32:26</t>
  </si>
  <si>
    <t>単位</t>
    <phoneticPr fontId="1"/>
  </si>
  <si>
    <t>L3:P3</t>
  </si>
  <si>
    <t>L4:P4</t>
  </si>
  <si>
    <t>L5:P5</t>
  </si>
  <si>
    <t>L6:P6</t>
  </si>
  <si>
    <t>P7</t>
  </si>
  <si>
    <t>L8:P8</t>
  </si>
  <si>
    <t>L9:P9</t>
  </si>
  <si>
    <t>N12</t>
  </si>
  <si>
    <t>2025/04/15 09:41:06</t>
  </si>
  <si>
    <t xml:space="preserve">新規追加_x000D_
改頁しない_x000D_
プレビューデータ:09:35_x000D_
書式:hh:mm_x000D_
縮小しない_x000D_
テンプレート内外:_x000D_
</t>
  </si>
  <si>
    <t xml:space="preserve">新規追加_x000D_
改頁しない_x000D_
繰返場所:N12,N13,N14,N15,N16,N17,N18,N19,N20,N21,N22,N23,N24,N25,N26,N27,N28,N29,N30,N31,N32,N33,N34,N35,N36,N37,N38,N39,N40,N41,N42,N43,N44,N45,N46,N47,N48,N49,N50,N51,N52,N53,N54,N55,N56,N57,N58,N59,N60,N61,N62,N63,N64_x000D_
グループ名:レセプト.明細_x000D_
プレビューデータ:本_x000D_
書式:G/標準_x000D_
縮小しない_x000D_
テンプレート内外:_x000D_
</t>
  </si>
  <si>
    <t>2025/04/15 09:45:14</t>
  </si>
  <si>
    <t>2025/04/15 09:46:57</t>
  </si>
  <si>
    <t>2025/04/15 09:48:18</t>
  </si>
  <si>
    <t>##患者情報.透析困難(主).透析困難理由</t>
    <phoneticPr fontId="1"/>
  </si>
  <si>
    <t>##患者情報.透析困難・重症度・搬送区分.透析困難有無</t>
  </si>
  <si>
    <t>52</t>
  </si>
  <si>
    <t>E3:I3</t>
  </si>
  <si>
    <t>M3:Q3</t>
  </si>
  <si>
    <t>E4:I4</t>
  </si>
  <si>
    <t>M4:Q4</t>
  </si>
  <si>
    <t>32</t>
  </si>
  <si>
    <t>E5:I6</t>
  </si>
  <si>
    <t>M5:Q5</t>
  </si>
  <si>
    <t>M6:Q6</t>
  </si>
  <si>
    <t>E7:I7</t>
  </si>
  <si>
    <t>10:17</t>
  </si>
  <si>
    <t>Q7</t>
  </si>
  <si>
    <t>E8:I8</t>
  </si>
  <si>
    <t>M8:Q8</t>
  </si>
  <si>
    <t>E9</t>
  </si>
  <si>
    <t>F9:I9</t>
  </si>
  <si>
    <t>M9:Q9</t>
  </si>
  <si>
    <t>E12:J12,E13:J13,E14:J14,E15:J15,E16:J16,E17:J17,E18:J18,E19:J19,E20:J20,E21:J21,E22:J22,E23:J23,E24:J24,E25:J25,E26:J26,E27:J27,E28:J28,E29:J29,E30:J30,E31:J31,E32:J32,E33:J33,E34:J34,E35:J35,E36:J36,E37:J37,E38:J38,E39:J39,E40:J40,E41:J41,E42:J42,E43:J43,E44:J44,E45:J45,E46:J46,E47:J47,E48:J48,E49:J49,E50:J50,E51:J51,E52:J52,E53:J53,E54:J54,E55:J55,E56:J56,E57:J57,E58:J58,E59:J59,E60:J60,E61:J61,E62:J62,E63:J63,E64:J64</t>
  </si>
  <si>
    <t>E12:J12</t>
  </si>
  <si>
    <t>K12:L12,K13:L13,K14:L14,K15:L15,K16:L16,K17:L17,K18:L18,K19:L19,K20:L20,K21:L21,K22:L22,K23:L23,K24:L24,K25:L25,K26:L26,K27:L27,K28:L28,K29:L29,K30:L30,K31:L31,K32:L32,K33:L33,K34:L34,K35:L35,K36:L36,K37:L37,K38:L38,K39:L39,K40:L40,K41:L41,K42:L42,K43:L43,K44:L44,K45:L45,K46:L46,K47:L47,K48:L48,K49:L49,K50:L50,K51:L51,K52:L52,K53:L53,K54:L54,K55:L55,K56:L56,K57:L57,K58:L58,K59:L59,K60:L60,K61:L61,K62:L62,K63:L63,K64:L64</t>
  </si>
  <si>
    <t>M12:N12,M13:N13,M14:N14,M15:N15,M16:N16,M17:N17,M18:N18,M19:N19,M20:N20,M21:N21,M22:N22,M23:N23,M24:N24,M25:N25,M26:N26,M27:N27,M28:N28,M29:N29,M30:N30,M31:N31,M32:N32,M33:N33,M34:N34,M35:N35,M36:N36,M37:N37,M38:N38,M39:N39,M40:N40,M41:N41,M42:N42,M43:N43,M44:N44,M45:N45,M46:N46,M47:N47,M48:N48,M49:N49,M50:N50,M51:N51,M52:N52,M53:N53,M54:N54,M55:N55,M56:N56,M57:N57,M58:N58,M59:N59,M60:N60,M61:N61,M62:N62,M63:N63,M64:N64</t>
  </si>
  <si>
    <t>O12,O13,O14,O15,O16,O17,O18,O19,O20,O21,O22,O23,O24,O25,O26,O27,O28,O29,O30,O31,O32,O33,O34,O35,O36,O37,O38,O39,O40,O41,O42,O43,O44,O45,O46,O47,O48,O49,O50,O51,O52,O53,O54,O55,O56,O57,O58,O59,O60,O61,O62,O63,O64</t>
  </si>
  <si>
    <t>O12</t>
  </si>
  <si>
    <t>2025/04/15 10:17</t>
  </si>
  <si>
    <t>G66:I66</t>
  </si>
  <si>
    <t>J66:L66</t>
  </si>
  <si>
    <t>2025/04/15 10:19:55</t>
  </si>
  <si>
    <t xml:space="preserve">新規追加_x000D_
表示文字数:52_x000D_
改頁しない_x000D_
プレビューデータ:123456789012_x000D_
書式:G/標準_x000D_
縮小しない_x000D_
テンプレート内外:_x000D_
</t>
  </si>
  <si>
    <t xml:space="preserve">新規追加_x000D_
表示文字数:52_x000D_
改頁しない_x000D_
プレビューデータ:ニッキソウ　タロウ_x000D_
書式:G/標準_x000D_
縮小しない_x000D_
テンプレート内外:_x000D_
</t>
  </si>
  <si>
    <t xml:space="preserve">新規追加_x000D_
表示文字数:32_x000D_
改頁しない_x000D_
プレビューデータ:日機装　太郎_x000D_
書式:G/標準_x000D_
縮小しない_x000D_
テンプレート内外:_x000D_
</t>
  </si>
  <si>
    <t xml:space="preserve">新規追加_x000D_
改頁しない_x000D_
プレビューデータ:10:17_x000D_
書式:hh:mm_x000D_
縮小しない_x000D_
テンプレート内外:_x000D_
</t>
  </si>
  <si>
    <t xml:space="preserve">新規追加_x000D_
改頁しない_x000D_
プレビューデータ:あり_x000D_
書式:G/標準_x000D_
データ変換:&lt;convTable cls=""&gt;&lt;conv code="0" item="なし" disp="無" /&gt;&lt;conv code="1" item="あり" disp="有" /&gt;&lt;/convTable&gt;_x000D_
縮小しない_x000D_
テンプレート内外:_x000D_
</t>
  </si>
  <si>
    <t xml:space="preserve">新規追加_x000D_
表示文字数:38_x000D_
改頁しない_x000D_
プレビューデータ:高血圧_x000D_
書式:G/標準_x000D_
縮小しない_x000D_
テンプレート内外:_x000D_
</t>
  </si>
  <si>
    <t xml:space="preserve">新規追加_x000D_
改頁しない_x000D_
繰返場所:E12:J12,E13:J13,E14:J14,E15:J15,E16:J16,E17:J17,E18:J18,E19:J19,E20:J20,E21:J21,E22:J22,E23:J23,E24:J24,E25:J25,E26:J26,E27:J27,E28:J28,E29:J29,E30:J30,E31:J31,E32:J32,E33:J33,E34:J34,E35:J35,E36:J36,E37:J37,E38:J38,E39:J39,E40:J40,E41:J41,E42:J42,E43:J43,E44:J44,E45:J45,E46:J46,E47:J47,E48:J48,E49:J49,E50:J50,E51:J51,E52:J52,E53:J53,E54:J54,E55:J55,E56:J56,E57:J57,E58:J58,E59:J59,E60:J60,E61:J61,E62:J62,E63:J63,E64:J64_x000D_
グループ名:レセプト.明細_x000D_
プレビューデータ:FDX-120GW_x000D_
書式:G/標準_x000D_
縮小しない_x000D_
テンプレート内外:_x000D_
</t>
  </si>
  <si>
    <t xml:space="preserve">新規追加_x000D_
改頁しない_x000D_
繰返場所:K12:L12,K13:L13,K14:L14,K15:L15,K16:L16,K17:L17,K18:L18,K19:L19,K20:L20,K21:L21,K22:L22,K23:L23,K24:L24,K25:L25,K26:L26,K27:L27,K28:L28,K29:L29,K30:L30,K31:L31,K32:L32,K33:L33,K34:L34,K35:L35,K36:L36,K37:L37,K38:L38,K39:L39,K40:L40,K41:L41,K42:L42,K43:L43,K44:L44,K45:L45,K46:L46,K47:L47,K48:L48,K49:L49,K50:L50,K51:L51,K52:L52,K53:L53,K54:L54,K55:L55,K56:L56,K57:L57,K58:L58,K59:L59,K60:L60,K61:L61,K62:L62,K63:L63,K64:L64_x000D_
グループ名:レセプト.明細_x000D_
プレビューデータ:1234_x000D_
書式:G/標準_x000D_
縮小しない_x000D_
テンプレート内外:_x000D_
</t>
  </si>
  <si>
    <t xml:space="preserve">新規追加_x000D_
改頁しない_x000D_
繰返場所:M12:N12,M13:N13,M14:N14,M15:N15,M16:N16,M17:N17,M18:N18,M19:N19,M20:N20,M21:N21,M22:N22,M23:N23,M24:N24,M25:N25,M26:N26,M27:N27,M28:N28,M29:N29,M30:N30,M31:N31,M32:N32,M33:N33,M34:N34,M35:N35,M36:N36,M37:N37,M38:N38,M39:N39,M40:N40,M41:N41,M42:N42,M43:N43,M44:N44,M45:N45,M46:N46,M47:N47,M48:N48,M49:N49,M50:N50,M51:N51,M52:N52,M53:N53,M54:N54,M55:N55,M56:N56,M57:N57,M58:N58,M59:N59,M60:N60,M61:N61,M62:N62,M63:N63,M64:N64_x000D_
グループ名:レセプト.明細_x000D_
プレビューデータ:1_x000D_
書式:G/標準_x000D_
縮小しない_x000D_
テンプレート内外:_x000D_
</t>
  </si>
  <si>
    <t xml:space="preserve">新規追加_x000D_
改頁しない_x000D_
繰返場所:O12,O13,O14,O15,O16,O17,O18,O19,O20,O21,O22,O23,O24,O25,O26,O27,O28,O29,O30,O31,O32,O33,O34,O35,O36,O37,O38,O39,O40,O41,O42,O43,O44,O45,O46,O47,O48,O49,O50,O51,O52,O53,O54,O55,O56,O57,O58,O59,O60,O61,O62,O63,O64_x000D_
グループ名:レセプト.明細_x000D_
プレビューデータ:本_x000D_
書式:G/標準_x000D_
縮小しない_x000D_
テンプレート内外:_x000D_
</t>
  </si>
  <si>
    <t xml:space="preserve">新規追加_x000D_
改頁しない_x000D_
プレビューデータ:2025/04/15 10:17_x000D_
書式:yyyy/mm/dd hh:mm_x000D_
縮小しない_x000D_
テンプレート内外:_x000D_
</t>
  </si>
  <si>
    <t>2025/04/15 10:20:51</t>
  </si>
  <si>
    <t xml:space="preserve">設定変更_x000D_
表示文字数:38 ⇒ _x000D_
縮小しない_x000D_
</t>
  </si>
  <si>
    <t>2025/04/15 10:23:30</t>
  </si>
  <si>
    <t>2025/04/15 10:25:32</t>
  </si>
  <si>
    <t>&lt;convTable cls=""&gt;&lt;conv code="0" item="外来" disp="外来" /&gt;&lt;conv code="1" item="入院" disp="入院" /&gt;&lt;/convTable&gt;</t>
  </si>
  <si>
    <t>CanBarCode</t>
  </si>
  <si>
    <t>BarCode</t>
  </si>
  <si>
    <t>2026/06/08 19:07:46</t>
  </si>
  <si>
    <t xml:space="preserve">出力値のない列は省略する設定: ⇒ 0_x000D_
出力値のない行は省略する設定: ⇒ 0_x000D_
</t>
  </si>
  <si>
    <t>35151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</si>
</sst>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h:mm"/>
    <numFmt numFmtId="177" formatCode="ggge&quot;年&quot;m&quot;月&quot;d&quot;日&quot;"/>
    <numFmt numFmtId="178" formatCode="yyyy/mm/dd"/>
    <numFmt numFmtId="179" formatCode="yyyy/mm/dd\ hh:mm"/>
  </numFmts>
  <fonts count="6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b/>
      <sz val="18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176" fontId="4" fillId="0" borderId="2" xfId="0" applyNumberFormat="1" applyFont="1" applyBorder="1" applyAlignment="1">
      <alignment horizontal="center" vertical="center" shrinkToFit="1"/>
    </xf>
    <xf numFmtId="176" fontId="4" fillId="0" borderId="4" xfId="0" applyNumberFormat="1" applyFont="1" applyBorder="1" applyAlignment="1">
      <alignment horizontal="center" vertical="center" shrinkToFit="1"/>
    </xf>
    <xf numFmtId="178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shrinkToFit="1"/>
    </xf>
    <xf numFmtId="0" fontId="0" fillId="2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4" fillId="0" borderId="0" xfId="0" applyFont="1" applyAlignment="1">
      <alignment horizontal="right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3" borderId="2" xfId="0" applyFont="1" applyFill="1" applyBorder="1">
      <alignment vertical="center"/>
    </xf>
    <xf numFmtId="0" fontId="4" fillId="0" borderId="2" xfId="0" applyFont="1" applyBorder="1" applyAlignment="1">
      <alignment horizontal="left" vertical="center" shrinkToFit="1"/>
    </xf>
    <xf numFmtId="176" fontId="4" fillId="0" borderId="3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79" fontId="4" fillId="0" borderId="0" xfId="0" applyNumberFormat="1" applyFont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1">
    <cellStyle name="標準" xfId="0" builtinId="0"/>
  </cellStyles>
  <dxfs count="4"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48</v>
      </c>
      <c r="B1" s="1" t="s">
        <v>23</v>
      </c>
      <c r="C1" s="1" t="s">
        <v>24</v>
      </c>
      <c r="D1" s="1" t="s">
        <v>41</v>
      </c>
      <c r="E1" s="1" t="s">
        <v>38</v>
      </c>
      <c r="F1" s="1" t="s">
        <v>36</v>
      </c>
      <c r="G1" s="1" t="s">
        <v>37</v>
      </c>
      <c r="H1" s="1" t="s">
        <v>49</v>
      </c>
      <c r="I1" s="1" t="s">
        <v>43</v>
      </c>
    </row>
    <row r="2" spans="1:9" x14ac:dyDescent="0.15">
      <c r="A2" s="1" t="s">
        <v>332</v>
      </c>
      <c r="B2" s="1" t="s">
        <v>167</v>
      </c>
      <c r="C2" s="1" t="s">
        <v>168</v>
      </c>
      <c r="D2" s="1" t="s">
        <v>174</v>
      </c>
      <c r="E2" s="1" t="s">
        <v>21</v>
      </c>
      <c r="F2" s="1" t="s">
        <v>204</v>
      </c>
      <c r="G2" s="1" t="s">
        <v>172</v>
      </c>
      <c r="H2" s="1" t="s">
        <v>403</v>
      </c>
      <c r="I2" s="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4"/>
  <sheetViews>
    <sheetView workbookViewId="0">
      <selection activeCell="E29" sqref="E29"/>
    </sheetView>
  </sheetViews>
  <sheetFormatPr defaultRowHeight="13.5" x14ac:dyDescent="0.15"/>
  <cols>
    <col min="1" max="1" width="36.25" style="1" bestFit="1" customWidth="1"/>
    <col min="2" max="16384" width="9" style="1"/>
  </cols>
  <sheetData>
    <row r="1" spans="1:28" x14ac:dyDescent="0.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465</v>
      </c>
      <c r="Z1" s="1" t="s">
        <v>466</v>
      </c>
      <c r="AA1" s="1" t="s">
        <v>46</v>
      </c>
      <c r="AB1" s="1" t="s">
        <v>47</v>
      </c>
    </row>
    <row r="2" spans="1:28" x14ac:dyDescent="0.15">
      <c r="A2" s="1" t="s">
        <v>382</v>
      </c>
      <c r="B2" s="1" t="s">
        <v>230</v>
      </c>
      <c r="C2" s="1" t="s">
        <v>231</v>
      </c>
      <c r="D2" s="1" t="s">
        <v>384</v>
      </c>
      <c r="E2" s="1" t="s">
        <v>1</v>
      </c>
      <c r="F2" s="1" t="s">
        <v>385</v>
      </c>
      <c r="G2" s="1" t="s">
        <v>74</v>
      </c>
      <c r="H2" s="1" t="s">
        <v>21</v>
      </c>
      <c r="I2" s="1" t="s">
        <v>76</v>
      </c>
      <c r="K2" s="1" t="s">
        <v>77</v>
      </c>
      <c r="L2" s="1" t="s">
        <v>1</v>
      </c>
      <c r="M2" s="1" t="s">
        <v>21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386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77</v>
      </c>
      <c r="Y2" s="1" t="s">
        <v>77</v>
      </c>
      <c r="Z2" s="1" t="s">
        <v>1</v>
      </c>
      <c r="AA2" s="1" t="s">
        <v>1</v>
      </c>
      <c r="AB2" s="1" t="s">
        <v>1</v>
      </c>
    </row>
    <row r="3" spans="1:28" x14ac:dyDescent="0.15">
      <c r="A3" s="1" t="s">
        <v>383</v>
      </c>
      <c r="B3" s="1" t="s">
        <v>230</v>
      </c>
      <c r="C3" s="1" t="s">
        <v>231</v>
      </c>
      <c r="D3" s="1" t="s">
        <v>387</v>
      </c>
      <c r="E3" s="1" t="s">
        <v>1</v>
      </c>
      <c r="F3" s="1" t="s">
        <v>388</v>
      </c>
      <c r="G3" s="1" t="s">
        <v>74</v>
      </c>
      <c r="H3" s="1" t="s">
        <v>21</v>
      </c>
      <c r="I3" s="1" t="s">
        <v>76</v>
      </c>
      <c r="K3" s="1" t="s">
        <v>77</v>
      </c>
      <c r="L3" s="1" t="s">
        <v>1</v>
      </c>
      <c r="M3" s="1" t="s">
        <v>21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389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77</v>
      </c>
      <c r="Y3" s="1" t="s">
        <v>77</v>
      </c>
      <c r="Z3" s="1" t="s">
        <v>1</v>
      </c>
      <c r="AA3" s="1" t="s">
        <v>1</v>
      </c>
      <c r="AB3" s="1" t="s">
        <v>1</v>
      </c>
    </row>
    <row r="4" spans="1:28" x14ac:dyDescent="0.15">
      <c r="A4" s="1" t="s">
        <v>53</v>
      </c>
      <c r="B4" s="1" t="s">
        <v>70</v>
      </c>
      <c r="C4" s="1" t="s">
        <v>71</v>
      </c>
      <c r="D4" s="1" t="s">
        <v>72</v>
      </c>
      <c r="E4" s="1" t="s">
        <v>21</v>
      </c>
      <c r="F4" s="1" t="s">
        <v>73</v>
      </c>
      <c r="G4" s="1" t="s">
        <v>74</v>
      </c>
      <c r="H4" s="1" t="s">
        <v>75</v>
      </c>
      <c r="I4" s="1" t="s">
        <v>76</v>
      </c>
      <c r="K4" s="1" t="s">
        <v>77</v>
      </c>
      <c r="L4" s="1" t="s">
        <v>1</v>
      </c>
      <c r="M4" s="1" t="s">
        <v>1</v>
      </c>
      <c r="N4" s="1" t="s">
        <v>422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423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77</v>
      </c>
      <c r="Y4" s="1" t="s">
        <v>77</v>
      </c>
      <c r="Z4" s="1" t="s">
        <v>1</v>
      </c>
      <c r="AA4" s="1" t="s">
        <v>1</v>
      </c>
      <c r="AB4" s="1" t="s">
        <v>21</v>
      </c>
    </row>
    <row r="5" spans="1:28" x14ac:dyDescent="0.15">
      <c r="A5" s="1" t="s">
        <v>59</v>
      </c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74</v>
      </c>
      <c r="H5" s="1" t="s">
        <v>84</v>
      </c>
      <c r="I5" s="1" t="s">
        <v>76</v>
      </c>
      <c r="J5" s="1" t="s">
        <v>464</v>
      </c>
      <c r="K5" s="1" t="s">
        <v>77</v>
      </c>
      <c r="L5" s="1" t="s">
        <v>1</v>
      </c>
      <c r="M5" s="1" t="s">
        <v>21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424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77</v>
      </c>
      <c r="Y5" s="1" t="s">
        <v>77</v>
      </c>
      <c r="Z5" s="1" t="s">
        <v>1</v>
      </c>
      <c r="AA5" s="1" t="s">
        <v>1</v>
      </c>
      <c r="AB5" s="1" t="s">
        <v>1</v>
      </c>
    </row>
    <row r="6" spans="1:28" x14ac:dyDescent="0.15">
      <c r="A6" s="1" t="s">
        <v>54</v>
      </c>
      <c r="B6" s="1" t="s">
        <v>70</v>
      </c>
      <c r="C6" s="1" t="s">
        <v>71</v>
      </c>
      <c r="D6" s="1" t="s">
        <v>86</v>
      </c>
      <c r="E6" s="1" t="s">
        <v>21</v>
      </c>
      <c r="F6" s="1" t="s">
        <v>87</v>
      </c>
      <c r="G6" s="1" t="s">
        <v>74</v>
      </c>
      <c r="H6" s="1" t="s">
        <v>88</v>
      </c>
      <c r="I6" s="1" t="s">
        <v>76</v>
      </c>
      <c r="K6" s="1" t="s">
        <v>77</v>
      </c>
      <c r="L6" s="1" t="s">
        <v>1</v>
      </c>
      <c r="M6" s="1" t="s">
        <v>1</v>
      </c>
      <c r="N6" s="1" t="s">
        <v>422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425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77</v>
      </c>
      <c r="Y6" s="1" t="s">
        <v>77</v>
      </c>
      <c r="Z6" s="1" t="s">
        <v>1</v>
      </c>
      <c r="AA6" s="1" t="s">
        <v>1</v>
      </c>
      <c r="AB6" s="1" t="s">
        <v>21</v>
      </c>
    </row>
    <row r="7" spans="1:28" x14ac:dyDescent="0.15">
      <c r="A7" s="1" t="s">
        <v>60</v>
      </c>
      <c r="B7" s="1" t="s">
        <v>79</v>
      </c>
      <c r="C7" s="1" t="s">
        <v>80</v>
      </c>
      <c r="D7" s="1" t="s">
        <v>90</v>
      </c>
      <c r="E7" s="1" t="s">
        <v>82</v>
      </c>
      <c r="F7" s="1" t="s">
        <v>91</v>
      </c>
      <c r="G7" s="1" t="s">
        <v>92</v>
      </c>
      <c r="H7" s="1" t="s">
        <v>264</v>
      </c>
      <c r="I7" s="1" t="s">
        <v>147</v>
      </c>
      <c r="K7" s="1" t="s">
        <v>77</v>
      </c>
      <c r="L7" s="1" t="s">
        <v>1</v>
      </c>
      <c r="M7" s="1" t="s">
        <v>21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426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77</v>
      </c>
      <c r="Y7" s="1" t="s">
        <v>77</v>
      </c>
      <c r="Z7" s="1" t="s">
        <v>1</v>
      </c>
      <c r="AA7" s="1" t="s">
        <v>1</v>
      </c>
      <c r="AB7" s="1" t="s">
        <v>1</v>
      </c>
    </row>
    <row r="8" spans="1:28" x14ac:dyDescent="0.15">
      <c r="A8" s="1" t="s">
        <v>55</v>
      </c>
      <c r="B8" s="1" t="s">
        <v>70</v>
      </c>
      <c r="C8" s="1" t="s">
        <v>71</v>
      </c>
      <c r="D8" s="1" t="s">
        <v>94</v>
      </c>
      <c r="E8" s="1" t="s">
        <v>21</v>
      </c>
      <c r="F8" s="1" t="s">
        <v>95</v>
      </c>
      <c r="G8" s="1" t="s">
        <v>74</v>
      </c>
      <c r="H8" s="1" t="s">
        <v>96</v>
      </c>
      <c r="I8" s="1" t="s">
        <v>76</v>
      </c>
      <c r="K8" s="1" t="s">
        <v>77</v>
      </c>
      <c r="L8" s="1" t="s">
        <v>1</v>
      </c>
      <c r="M8" s="1" t="s">
        <v>1</v>
      </c>
      <c r="N8" s="1" t="s">
        <v>427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428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77</v>
      </c>
      <c r="Y8" s="1" t="s">
        <v>77</v>
      </c>
      <c r="Z8" s="1" t="s">
        <v>1</v>
      </c>
      <c r="AA8" s="1" t="s">
        <v>1</v>
      </c>
      <c r="AB8" s="1" t="s">
        <v>21</v>
      </c>
    </row>
    <row r="9" spans="1:28" x14ac:dyDescent="0.15">
      <c r="A9" s="1" t="s">
        <v>154</v>
      </c>
      <c r="B9" s="1" t="s">
        <v>79</v>
      </c>
      <c r="C9" s="1" t="s">
        <v>80</v>
      </c>
      <c r="D9" s="1" t="s">
        <v>160</v>
      </c>
      <c r="E9" s="1" t="s">
        <v>161</v>
      </c>
      <c r="F9" s="1" t="s">
        <v>162</v>
      </c>
      <c r="G9" s="1" t="s">
        <v>74</v>
      </c>
      <c r="H9" s="1" t="s">
        <v>163</v>
      </c>
      <c r="I9" s="1" t="s">
        <v>76</v>
      </c>
      <c r="K9" s="1" t="s">
        <v>77</v>
      </c>
      <c r="L9" s="1" t="s">
        <v>1</v>
      </c>
      <c r="M9" s="1" t="s">
        <v>21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429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77</v>
      </c>
      <c r="Y9" s="1" t="s">
        <v>77</v>
      </c>
      <c r="Z9" s="1" t="s">
        <v>1</v>
      </c>
      <c r="AA9" s="1" t="s">
        <v>1</v>
      </c>
      <c r="AB9" s="1" t="s">
        <v>1</v>
      </c>
    </row>
    <row r="10" spans="1:28" x14ac:dyDescent="0.15">
      <c r="A10" s="1" t="s">
        <v>61</v>
      </c>
      <c r="B10" s="1" t="s">
        <v>79</v>
      </c>
      <c r="C10" s="1" t="s">
        <v>80</v>
      </c>
      <c r="D10" s="1" t="s">
        <v>99</v>
      </c>
      <c r="E10" s="1" t="s">
        <v>100</v>
      </c>
      <c r="F10" s="1" t="s">
        <v>101</v>
      </c>
      <c r="G10" s="1" t="s">
        <v>74</v>
      </c>
      <c r="H10" s="1" t="s">
        <v>102</v>
      </c>
      <c r="I10" s="1" t="s">
        <v>76</v>
      </c>
      <c r="K10" s="1" t="s">
        <v>77</v>
      </c>
      <c r="L10" s="1" t="s">
        <v>1</v>
      </c>
      <c r="M10" s="1" t="s">
        <v>21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430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77</v>
      </c>
      <c r="Y10" s="1" t="s">
        <v>77</v>
      </c>
      <c r="Z10" s="1" t="s">
        <v>1</v>
      </c>
      <c r="AA10" s="1" t="s">
        <v>1</v>
      </c>
      <c r="AB10" s="1" t="s">
        <v>1</v>
      </c>
    </row>
    <row r="11" spans="1:28" x14ac:dyDescent="0.15">
      <c r="A11" s="1" t="s">
        <v>56</v>
      </c>
      <c r="B11" s="1" t="s">
        <v>70</v>
      </c>
      <c r="C11" s="1" t="s">
        <v>71</v>
      </c>
      <c r="D11" s="1" t="s">
        <v>104</v>
      </c>
      <c r="E11" s="1" t="s">
        <v>21</v>
      </c>
      <c r="F11" s="1" t="s">
        <v>105</v>
      </c>
      <c r="G11" s="1" t="s">
        <v>92</v>
      </c>
      <c r="H11" s="1" t="s">
        <v>264</v>
      </c>
      <c r="I11" s="1" t="s">
        <v>147</v>
      </c>
      <c r="K11" s="1" t="s">
        <v>77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431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77</v>
      </c>
      <c r="Y11" s="1" t="s">
        <v>77</v>
      </c>
      <c r="Z11" s="1" t="s">
        <v>1</v>
      </c>
      <c r="AA11" s="1" t="s">
        <v>1</v>
      </c>
      <c r="AB11" s="1" t="s">
        <v>1</v>
      </c>
    </row>
    <row r="12" spans="1:28" x14ac:dyDescent="0.15">
      <c r="A12" s="1" t="s">
        <v>152</v>
      </c>
      <c r="B12" s="1" t="s">
        <v>79</v>
      </c>
      <c r="C12" s="1" t="s">
        <v>80</v>
      </c>
      <c r="D12" s="1" t="s">
        <v>165</v>
      </c>
      <c r="E12" s="1" t="s">
        <v>82</v>
      </c>
      <c r="F12" s="1" t="s">
        <v>166</v>
      </c>
      <c r="G12" s="1" t="s">
        <v>92</v>
      </c>
      <c r="H12" s="1" t="s">
        <v>432</v>
      </c>
      <c r="I12" s="1" t="s">
        <v>107</v>
      </c>
      <c r="K12" s="1" t="s">
        <v>77</v>
      </c>
      <c r="L12" s="1" t="s">
        <v>1</v>
      </c>
      <c r="M12" s="1" t="s">
        <v>21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271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77</v>
      </c>
      <c r="Y12" s="1" t="s">
        <v>77</v>
      </c>
      <c r="Z12" s="1" t="s">
        <v>1</v>
      </c>
      <c r="AA12" s="1" t="s">
        <v>1</v>
      </c>
      <c r="AB12" s="1" t="s">
        <v>1</v>
      </c>
    </row>
    <row r="13" spans="1:28" x14ac:dyDescent="0.15">
      <c r="A13" s="1" t="s">
        <v>69</v>
      </c>
      <c r="B13" s="1" t="s">
        <v>79</v>
      </c>
      <c r="C13" s="1" t="s">
        <v>80</v>
      </c>
      <c r="D13" s="1" t="s">
        <v>109</v>
      </c>
      <c r="E13" s="1" t="s">
        <v>82</v>
      </c>
      <c r="F13" s="1" t="s">
        <v>110</v>
      </c>
      <c r="G13" s="1" t="s">
        <v>92</v>
      </c>
      <c r="H13" s="1" t="s">
        <v>432</v>
      </c>
      <c r="I13" s="1" t="s">
        <v>107</v>
      </c>
      <c r="K13" s="1" t="s">
        <v>77</v>
      </c>
      <c r="L13" s="1" t="s">
        <v>1</v>
      </c>
      <c r="M13" s="1" t="s">
        <v>21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433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77</v>
      </c>
      <c r="Y13" s="1" t="s">
        <v>77</v>
      </c>
      <c r="Z13" s="1" t="s">
        <v>1</v>
      </c>
      <c r="AA13" s="1" t="s">
        <v>1</v>
      </c>
      <c r="AB13" s="1" t="s">
        <v>1</v>
      </c>
    </row>
    <row r="14" spans="1:28" x14ac:dyDescent="0.15">
      <c r="A14" s="1" t="s">
        <v>57</v>
      </c>
      <c r="B14" s="1" t="s">
        <v>70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92</v>
      </c>
      <c r="H14" s="1" t="s">
        <v>264</v>
      </c>
      <c r="I14" s="1" t="s">
        <v>147</v>
      </c>
      <c r="K14" s="1" t="s">
        <v>77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434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77</v>
      </c>
      <c r="Y14" s="1" t="s">
        <v>77</v>
      </c>
      <c r="Z14" s="1" t="s">
        <v>1</v>
      </c>
      <c r="AA14" s="1" t="s">
        <v>1</v>
      </c>
      <c r="AB14" s="1" t="s">
        <v>1</v>
      </c>
    </row>
    <row r="15" spans="1:28" x14ac:dyDescent="0.15">
      <c r="A15" s="1" t="s">
        <v>63</v>
      </c>
      <c r="B15" s="1" t="s">
        <v>79</v>
      </c>
      <c r="C15" s="1" t="s">
        <v>80</v>
      </c>
      <c r="D15" s="1" t="s">
        <v>117</v>
      </c>
      <c r="E15" s="1" t="s">
        <v>98</v>
      </c>
      <c r="F15" s="1" t="s">
        <v>118</v>
      </c>
      <c r="G15" s="1" t="s">
        <v>92</v>
      </c>
      <c r="H15" s="1" t="s">
        <v>432</v>
      </c>
      <c r="I15" s="1" t="s">
        <v>107</v>
      </c>
      <c r="K15" s="1" t="s">
        <v>77</v>
      </c>
      <c r="L15" s="1" t="s">
        <v>1</v>
      </c>
      <c r="M15" s="1" t="s">
        <v>21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435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77</v>
      </c>
      <c r="Y15" s="1" t="s">
        <v>77</v>
      </c>
      <c r="Z15" s="1" t="s">
        <v>1</v>
      </c>
      <c r="AA15" s="1" t="s">
        <v>1</v>
      </c>
      <c r="AB15" s="1" t="s">
        <v>1</v>
      </c>
    </row>
    <row r="16" spans="1:28" x14ac:dyDescent="0.15">
      <c r="A16" s="1" t="s">
        <v>58</v>
      </c>
      <c r="B16" s="1" t="s">
        <v>70</v>
      </c>
      <c r="C16" s="1" t="s">
        <v>120</v>
      </c>
      <c r="D16" s="1" t="s">
        <v>121</v>
      </c>
      <c r="E16" s="1" t="s">
        <v>122</v>
      </c>
      <c r="F16" s="1" t="s">
        <v>123</v>
      </c>
      <c r="G16" s="1" t="s">
        <v>74</v>
      </c>
      <c r="H16" s="1" t="s">
        <v>124</v>
      </c>
      <c r="I16" s="1" t="s">
        <v>76</v>
      </c>
      <c r="K16" s="1" t="s">
        <v>77</v>
      </c>
      <c r="L16" s="1" t="s">
        <v>1</v>
      </c>
      <c r="M16" s="1" t="s">
        <v>21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437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77</v>
      </c>
      <c r="Y16" s="1" t="s">
        <v>77</v>
      </c>
      <c r="Z16" s="1" t="s">
        <v>1</v>
      </c>
      <c r="AA16" s="1" t="s">
        <v>1</v>
      </c>
      <c r="AB16" s="1" t="s">
        <v>1</v>
      </c>
    </row>
    <row r="17" spans="1:28" x14ac:dyDescent="0.15">
      <c r="A17" s="1" t="s">
        <v>64</v>
      </c>
      <c r="B17" s="1" t="s">
        <v>79</v>
      </c>
      <c r="C17" s="1" t="s">
        <v>80</v>
      </c>
      <c r="D17" s="1" t="s">
        <v>126</v>
      </c>
      <c r="E17" s="1" t="s">
        <v>100</v>
      </c>
      <c r="F17" s="1" t="s">
        <v>127</v>
      </c>
      <c r="G17" s="1" t="s">
        <v>74</v>
      </c>
      <c r="H17" s="1" t="s">
        <v>128</v>
      </c>
      <c r="I17" s="1" t="s">
        <v>76</v>
      </c>
      <c r="K17" s="1" t="s">
        <v>77</v>
      </c>
      <c r="L17" s="1" t="s">
        <v>1</v>
      </c>
      <c r="M17" s="1" t="s">
        <v>21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438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77</v>
      </c>
      <c r="Y17" s="1" t="s">
        <v>77</v>
      </c>
      <c r="Z17" s="1" t="s">
        <v>1</v>
      </c>
      <c r="AA17" s="1" t="s">
        <v>1</v>
      </c>
      <c r="AB17" s="1" t="s">
        <v>1</v>
      </c>
    </row>
    <row r="18" spans="1:28" x14ac:dyDescent="0.15">
      <c r="A18" s="1" t="s">
        <v>159</v>
      </c>
      <c r="B18" s="1" t="s">
        <v>167</v>
      </c>
      <c r="C18" s="1" t="s">
        <v>168</v>
      </c>
      <c r="D18" s="1" t="s">
        <v>209</v>
      </c>
      <c r="E18" s="1" t="s">
        <v>169</v>
      </c>
      <c r="F18" s="1" t="s">
        <v>210</v>
      </c>
      <c r="G18" s="1" t="s">
        <v>74</v>
      </c>
      <c r="H18" s="1" t="s">
        <v>170</v>
      </c>
      <c r="I18" s="1" t="s">
        <v>76</v>
      </c>
      <c r="K18" s="1" t="s">
        <v>171</v>
      </c>
      <c r="L18" s="1" t="s">
        <v>393</v>
      </c>
      <c r="M18" s="1" t="s">
        <v>21</v>
      </c>
      <c r="N18" s="1" t="s">
        <v>1</v>
      </c>
      <c r="O18" s="1" t="s">
        <v>1</v>
      </c>
      <c r="P18" s="1" t="s">
        <v>172</v>
      </c>
      <c r="Q18" s="1" t="s">
        <v>1</v>
      </c>
      <c r="R18" s="1" t="s">
        <v>1</v>
      </c>
      <c r="S18" s="1" t="s">
        <v>173</v>
      </c>
      <c r="T18" s="1" t="s">
        <v>174</v>
      </c>
      <c r="U18" s="1" t="s">
        <v>1</v>
      </c>
      <c r="V18" s="1" t="s">
        <v>1</v>
      </c>
      <c r="W18" s="1" t="s">
        <v>1</v>
      </c>
      <c r="X18" s="1" t="s">
        <v>77</v>
      </c>
      <c r="Y18" s="1" t="s">
        <v>77</v>
      </c>
      <c r="Z18" s="1" t="s">
        <v>1</v>
      </c>
      <c r="AA18" s="1" t="s">
        <v>1</v>
      </c>
      <c r="AB18" s="1" t="s">
        <v>1</v>
      </c>
    </row>
    <row r="19" spans="1:28" x14ac:dyDescent="0.15">
      <c r="A19" s="1" t="s">
        <v>155</v>
      </c>
      <c r="B19" s="1" t="s">
        <v>167</v>
      </c>
      <c r="C19" s="1" t="s">
        <v>168</v>
      </c>
      <c r="D19" s="1" t="s">
        <v>175</v>
      </c>
      <c r="E19" s="1" t="s">
        <v>169</v>
      </c>
      <c r="F19" s="1" t="s">
        <v>176</v>
      </c>
      <c r="G19" s="1" t="s">
        <v>74</v>
      </c>
      <c r="H19" s="1" t="s">
        <v>177</v>
      </c>
      <c r="I19" s="1" t="s">
        <v>76</v>
      </c>
      <c r="K19" s="1" t="s">
        <v>171</v>
      </c>
      <c r="L19" s="1" t="s">
        <v>439</v>
      </c>
      <c r="M19" s="1" t="s">
        <v>21</v>
      </c>
      <c r="N19" s="1" t="s">
        <v>1</v>
      </c>
      <c r="O19" s="1" t="s">
        <v>1</v>
      </c>
      <c r="P19" s="1" t="s">
        <v>172</v>
      </c>
      <c r="Q19" s="1" t="s">
        <v>1</v>
      </c>
      <c r="R19" s="1" t="s">
        <v>1</v>
      </c>
      <c r="S19" s="1" t="s">
        <v>440</v>
      </c>
      <c r="T19" s="1" t="s">
        <v>174</v>
      </c>
      <c r="U19" s="1" t="s">
        <v>1</v>
      </c>
      <c r="V19" s="1" t="s">
        <v>1</v>
      </c>
      <c r="W19" s="1" t="s">
        <v>1</v>
      </c>
      <c r="X19" s="1" t="s">
        <v>77</v>
      </c>
      <c r="Y19" s="1" t="s">
        <v>77</v>
      </c>
      <c r="Z19" s="1" t="s">
        <v>1</v>
      </c>
      <c r="AA19" s="1" t="s">
        <v>1</v>
      </c>
      <c r="AB19" s="1" t="s">
        <v>1</v>
      </c>
    </row>
    <row r="20" spans="1:28" x14ac:dyDescent="0.15">
      <c r="A20" s="1" t="s">
        <v>156</v>
      </c>
      <c r="B20" s="1" t="s">
        <v>167</v>
      </c>
      <c r="C20" s="1" t="s">
        <v>168</v>
      </c>
      <c r="D20" s="1" t="s">
        <v>179</v>
      </c>
      <c r="E20" s="1" t="s">
        <v>169</v>
      </c>
      <c r="F20" s="1" t="s">
        <v>180</v>
      </c>
      <c r="G20" s="1" t="s">
        <v>74</v>
      </c>
      <c r="H20" s="1" t="s">
        <v>181</v>
      </c>
      <c r="I20" s="1" t="s">
        <v>76</v>
      </c>
      <c r="K20" s="1" t="s">
        <v>171</v>
      </c>
      <c r="L20" s="1" t="s">
        <v>441</v>
      </c>
      <c r="M20" s="1" t="s">
        <v>21</v>
      </c>
      <c r="N20" s="1" t="s">
        <v>1</v>
      </c>
      <c r="O20" s="1" t="s">
        <v>1</v>
      </c>
      <c r="P20" s="1" t="s">
        <v>172</v>
      </c>
      <c r="Q20" s="1" t="s">
        <v>1</v>
      </c>
      <c r="R20" s="1" t="s">
        <v>1</v>
      </c>
      <c r="S20" s="1" t="s">
        <v>187</v>
      </c>
      <c r="T20" s="1" t="s">
        <v>174</v>
      </c>
      <c r="U20" s="1" t="s">
        <v>1</v>
      </c>
      <c r="V20" s="1" t="s">
        <v>1</v>
      </c>
      <c r="W20" s="1" t="s">
        <v>1</v>
      </c>
      <c r="X20" s="1" t="s">
        <v>77</v>
      </c>
      <c r="Y20" s="1" t="s">
        <v>77</v>
      </c>
      <c r="Z20" s="1" t="s">
        <v>1</v>
      </c>
      <c r="AA20" s="1" t="s">
        <v>1</v>
      </c>
      <c r="AB20" s="1" t="s">
        <v>1</v>
      </c>
    </row>
    <row r="21" spans="1:28" x14ac:dyDescent="0.15">
      <c r="A21" s="1" t="s">
        <v>157</v>
      </c>
      <c r="B21" s="1" t="s">
        <v>167</v>
      </c>
      <c r="C21" s="1" t="s">
        <v>168</v>
      </c>
      <c r="D21" s="1" t="s">
        <v>255</v>
      </c>
      <c r="E21" s="1" t="s">
        <v>169</v>
      </c>
      <c r="F21" s="1" t="s">
        <v>256</v>
      </c>
      <c r="G21" s="1" t="s">
        <v>74</v>
      </c>
      <c r="H21" s="1" t="s">
        <v>21</v>
      </c>
      <c r="I21" s="1" t="s">
        <v>76</v>
      </c>
      <c r="K21" s="1" t="s">
        <v>171</v>
      </c>
      <c r="L21" s="1" t="s">
        <v>442</v>
      </c>
      <c r="M21" s="1" t="s">
        <v>21</v>
      </c>
      <c r="N21" s="1" t="s">
        <v>1</v>
      </c>
      <c r="O21" s="1" t="s">
        <v>1</v>
      </c>
      <c r="P21" s="1" t="s">
        <v>172</v>
      </c>
      <c r="Q21" s="1" t="s">
        <v>1</v>
      </c>
      <c r="R21" s="1" t="s">
        <v>1</v>
      </c>
      <c r="S21" s="1" t="s">
        <v>322</v>
      </c>
      <c r="T21" s="1" t="s">
        <v>174</v>
      </c>
      <c r="U21" s="1" t="s">
        <v>1</v>
      </c>
      <c r="V21" s="1" t="s">
        <v>1</v>
      </c>
      <c r="W21" s="1" t="s">
        <v>1</v>
      </c>
      <c r="X21" s="1" t="s">
        <v>77</v>
      </c>
      <c r="Y21" s="1" t="s">
        <v>77</v>
      </c>
      <c r="Z21" s="1" t="s">
        <v>1</v>
      </c>
      <c r="AA21" s="1" t="s">
        <v>1</v>
      </c>
      <c r="AB21" s="1" t="s">
        <v>1</v>
      </c>
    </row>
    <row r="22" spans="1:28" x14ac:dyDescent="0.15">
      <c r="A22" s="1" t="s">
        <v>158</v>
      </c>
      <c r="B22" s="1" t="s">
        <v>167</v>
      </c>
      <c r="C22" s="1" t="s">
        <v>168</v>
      </c>
      <c r="D22" s="1" t="s">
        <v>184</v>
      </c>
      <c r="E22" s="1" t="s">
        <v>169</v>
      </c>
      <c r="F22" s="1" t="s">
        <v>185</v>
      </c>
      <c r="G22" s="1" t="s">
        <v>74</v>
      </c>
      <c r="H22" s="1" t="s">
        <v>186</v>
      </c>
      <c r="I22" s="1" t="s">
        <v>76</v>
      </c>
      <c r="K22" s="1" t="s">
        <v>171</v>
      </c>
      <c r="L22" s="1" t="s">
        <v>443</v>
      </c>
      <c r="M22" s="1" t="s">
        <v>21</v>
      </c>
      <c r="N22" s="1" t="s">
        <v>1</v>
      </c>
      <c r="O22" s="1" t="s">
        <v>1</v>
      </c>
      <c r="P22" s="1" t="s">
        <v>172</v>
      </c>
      <c r="Q22" s="1" t="s">
        <v>1</v>
      </c>
      <c r="R22" s="1" t="s">
        <v>1</v>
      </c>
      <c r="S22" s="1" t="s">
        <v>444</v>
      </c>
      <c r="T22" s="1" t="s">
        <v>174</v>
      </c>
      <c r="U22" s="1" t="s">
        <v>1</v>
      </c>
      <c r="V22" s="1" t="s">
        <v>1</v>
      </c>
      <c r="W22" s="1" t="s">
        <v>1</v>
      </c>
      <c r="X22" s="1" t="s">
        <v>77</v>
      </c>
      <c r="Y22" s="1" t="s">
        <v>77</v>
      </c>
      <c r="Z22" s="1" t="s">
        <v>1</v>
      </c>
      <c r="AA22" s="1" t="s">
        <v>1</v>
      </c>
      <c r="AB22" s="1" t="s">
        <v>1</v>
      </c>
    </row>
    <row r="23" spans="1:28" x14ac:dyDescent="0.15">
      <c r="A23" s="1" t="s">
        <v>227</v>
      </c>
      <c r="B23" s="1" t="s">
        <v>230</v>
      </c>
      <c r="C23" s="1" t="s">
        <v>231</v>
      </c>
      <c r="D23" s="1" t="s">
        <v>232</v>
      </c>
      <c r="E23" s="1" t="s">
        <v>1</v>
      </c>
      <c r="F23" s="1" t="s">
        <v>233</v>
      </c>
      <c r="G23" s="1" t="s">
        <v>92</v>
      </c>
      <c r="H23" s="1" t="s">
        <v>445</v>
      </c>
      <c r="I23" s="1" t="s">
        <v>234</v>
      </c>
      <c r="K23" s="1" t="s">
        <v>77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446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77</v>
      </c>
      <c r="Y23" s="1" t="s">
        <v>77</v>
      </c>
      <c r="Z23" s="1" t="s">
        <v>1</v>
      </c>
      <c r="AA23" s="1" t="s">
        <v>1</v>
      </c>
      <c r="AB23" s="1" t="s">
        <v>1</v>
      </c>
    </row>
    <row r="24" spans="1:28" x14ac:dyDescent="0.15">
      <c r="A24" s="1" t="s">
        <v>226</v>
      </c>
      <c r="B24" s="1" t="s">
        <v>230</v>
      </c>
      <c r="C24" s="1" t="s">
        <v>231</v>
      </c>
      <c r="D24" s="1" t="s">
        <v>236</v>
      </c>
      <c r="E24" s="1" t="s">
        <v>1</v>
      </c>
      <c r="F24" s="1" t="s">
        <v>237</v>
      </c>
      <c r="G24" s="1" t="s">
        <v>74</v>
      </c>
      <c r="H24" s="1" t="s">
        <v>238</v>
      </c>
      <c r="I24" s="1" t="s">
        <v>76</v>
      </c>
      <c r="K24" s="1" t="s">
        <v>77</v>
      </c>
      <c r="L24" s="1" t="s">
        <v>1</v>
      </c>
      <c r="M24" s="1" t="s">
        <v>21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447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77</v>
      </c>
      <c r="Y24" s="1" t="s">
        <v>77</v>
      </c>
      <c r="Z24" s="1" t="s">
        <v>1</v>
      </c>
      <c r="AA24" s="1" t="s">
        <v>1</v>
      </c>
      <c r="AB24" s="1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/>
  </sheetViews>
  <sheetFormatPr defaultRowHeight="13.5" x14ac:dyDescent="0.15"/>
  <sheetData>
    <row r="1" spans="1:2" x14ac:dyDescent="0.15">
      <c r="A1" s="1" t="s">
        <v>15</v>
      </c>
      <c r="B1" s="1"/>
    </row>
    <row r="2" spans="1:2" x14ac:dyDescent="0.15">
      <c r="A2" s="1" t="s">
        <v>469</v>
      </c>
    </row>
    <row r="3" spans="1:2" x14ac:dyDescent="0.15">
      <c r="A3" s="1" t="s">
        <v>16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11" spans="1:2" x14ac:dyDescent="0.15">
      <c r="A11" s="1" t="s">
        <v>1</v>
      </c>
    </row>
    <row r="12" spans="1:2" x14ac:dyDescent="0.15">
      <c r="A12" s="1" t="s">
        <v>16</v>
      </c>
    </row>
    <row r="13" spans="1:2" x14ac:dyDescent="0.15">
      <c r="A13" s="1" t="s">
        <v>16</v>
      </c>
    </row>
    <row r="14" spans="1:2" x14ac:dyDescent="0.15">
      <c r="A14" s="1" t="s">
        <v>21</v>
      </c>
    </row>
    <row r="15" spans="1:2" x14ac:dyDescent="0.15">
      <c r="A15" s="1" t="s">
        <v>21</v>
      </c>
    </row>
    <row r="16" spans="1:2" x14ac:dyDescent="0.15">
      <c r="A16" s="1" t="s">
        <v>16</v>
      </c>
    </row>
    <row r="17" spans="1:3" x14ac:dyDescent="0.15">
      <c r="A17" s="1" t="s">
        <v>16</v>
      </c>
    </row>
    <row r="18" spans="1:3" x14ac:dyDescent="0.15">
      <c r="A18" s="1" t="s">
        <v>1</v>
      </c>
    </row>
    <row r="19" spans="1:3" x14ac:dyDescent="0.15">
      <c r="A19" s="1" t="s">
        <v>229</v>
      </c>
    </row>
    <row r="20" spans="1:3" x14ac:dyDescent="0.15">
      <c r="A20" s="1" t="s">
        <v>1</v>
      </c>
    </row>
    <row r="31" spans="1:3" x14ac:dyDescent="0.15">
      <c r="A31" s="1" t="s">
        <v>1</v>
      </c>
      <c r="B31" s="1" t="s">
        <v>1</v>
      </c>
      <c r="C31" s="1" t="s">
        <v>16</v>
      </c>
    </row>
    <row r="32" spans="1:3" x14ac:dyDescent="0.15">
      <c r="A32" s="1" t="s">
        <v>1</v>
      </c>
      <c r="B32" s="1" t="s">
        <v>1</v>
      </c>
      <c r="C32" s="1" t="s">
        <v>16</v>
      </c>
    </row>
    <row r="33" spans="1:3" x14ac:dyDescent="0.15">
      <c r="A33" s="1" t="s">
        <v>1</v>
      </c>
      <c r="B33" s="1"/>
      <c r="C33" s="1"/>
    </row>
    <row r="34" spans="1:3" x14ac:dyDescent="0.15">
      <c r="A34" s="1" t="s">
        <v>1</v>
      </c>
      <c r="B34" s="1"/>
      <c r="C34" s="1"/>
    </row>
    <row r="35" spans="1:3" x14ac:dyDescent="0.15">
      <c r="A35" s="1" t="s">
        <v>1</v>
      </c>
      <c r="B35" s="1"/>
      <c r="C35" s="1"/>
    </row>
    <row r="36" spans="1:3" x14ac:dyDescent="0.15">
      <c r="A36" s="1" t="s">
        <v>16</v>
      </c>
      <c r="B36" s="1"/>
      <c r="C36" s="1"/>
    </row>
    <row r="37" spans="1:3" x14ac:dyDescent="0.15">
      <c r="A37" s="1" t="s">
        <v>16</v>
      </c>
      <c r="B37" s="1"/>
      <c r="C37" s="1"/>
    </row>
    <row r="38" spans="1:3" x14ac:dyDescent="0.15">
      <c r="A38" s="1" t="s">
        <v>1</v>
      </c>
      <c r="B38" s="1"/>
      <c r="C38" s="1"/>
    </row>
    <row r="51" spans="1:1" x14ac:dyDescent="0.15">
      <c r="A51" s="1" t="s">
        <v>21</v>
      </c>
    </row>
    <row r="52" spans="1:1" x14ac:dyDescent="0.15">
      <c r="A52" s="1" t="s">
        <v>1</v>
      </c>
    </row>
    <row r="53" spans="1:1" x14ac:dyDescent="0.15">
      <c r="A53" s="1" t="s">
        <v>1</v>
      </c>
    </row>
    <row r="54" spans="1:1" x14ac:dyDescent="0.15">
      <c r="A54" s="1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341"/>
  <sheetViews>
    <sheetView workbookViewId="0"/>
  </sheetViews>
  <sheetFormatPr defaultRowHeight="13.5" x14ac:dyDescent="0.15"/>
  <cols>
    <col min="1" max="16384" width="9" style="2"/>
  </cols>
  <sheetData>
    <row r="1" spans="1:5" ht="27" x14ac:dyDescent="0.15">
      <c r="A1" s="2" t="s">
        <v>17</v>
      </c>
      <c r="B1" s="2" t="s">
        <v>18</v>
      </c>
      <c r="C1" s="2" t="s">
        <v>19</v>
      </c>
      <c r="D1" s="2" t="s">
        <v>1</v>
      </c>
      <c r="E1" s="3" t="s">
        <v>20</v>
      </c>
    </row>
    <row r="2" spans="1:5" ht="67.5" x14ac:dyDescent="0.15">
      <c r="A2" s="2" t="s">
        <v>17</v>
      </c>
      <c r="B2" s="2" t="s">
        <v>50</v>
      </c>
      <c r="C2" s="2" t="s">
        <v>51</v>
      </c>
      <c r="D2" s="2" t="s">
        <v>1</v>
      </c>
      <c r="E2" s="3" t="s">
        <v>52</v>
      </c>
    </row>
    <row r="3" spans="1:5" ht="216" x14ac:dyDescent="0.15">
      <c r="A3" s="2" t="s">
        <v>17</v>
      </c>
      <c r="B3" s="2" t="s">
        <v>130</v>
      </c>
      <c r="C3" s="2" t="s">
        <v>53</v>
      </c>
      <c r="D3" s="2" t="s">
        <v>78</v>
      </c>
      <c r="E3" s="3" t="s">
        <v>131</v>
      </c>
    </row>
    <row r="4" spans="1:5" ht="409.5" x14ac:dyDescent="0.15">
      <c r="A4" s="2" t="s">
        <v>17</v>
      </c>
      <c r="B4" s="2" t="s">
        <v>130</v>
      </c>
      <c r="C4" s="2" t="s">
        <v>59</v>
      </c>
      <c r="D4" s="2" t="s">
        <v>85</v>
      </c>
      <c r="E4" s="3" t="s">
        <v>132</v>
      </c>
    </row>
    <row r="5" spans="1:5" ht="216" x14ac:dyDescent="0.15">
      <c r="A5" s="2" t="s">
        <v>17</v>
      </c>
      <c r="B5" s="2" t="s">
        <v>130</v>
      </c>
      <c r="C5" s="2" t="s">
        <v>54</v>
      </c>
      <c r="D5" s="2" t="s">
        <v>89</v>
      </c>
      <c r="E5" s="3" t="s">
        <v>133</v>
      </c>
    </row>
    <row r="6" spans="1:5" ht="202.5" x14ac:dyDescent="0.15">
      <c r="A6" s="2" t="s">
        <v>17</v>
      </c>
      <c r="B6" s="2" t="s">
        <v>130</v>
      </c>
      <c r="C6" s="2" t="s">
        <v>60</v>
      </c>
      <c r="D6" s="2" t="s">
        <v>93</v>
      </c>
      <c r="E6" s="3" t="s">
        <v>134</v>
      </c>
    </row>
    <row r="7" spans="1:5" ht="216" x14ac:dyDescent="0.15">
      <c r="A7" s="2" t="s">
        <v>17</v>
      </c>
      <c r="B7" s="2" t="s">
        <v>130</v>
      </c>
      <c r="C7" s="2" t="s">
        <v>55</v>
      </c>
      <c r="D7" s="2" t="s">
        <v>97</v>
      </c>
      <c r="E7" s="3" t="s">
        <v>135</v>
      </c>
    </row>
    <row r="8" spans="1:5" ht="175.5" x14ac:dyDescent="0.15">
      <c r="A8" s="2" t="s">
        <v>17</v>
      </c>
      <c r="B8" s="2" t="s">
        <v>130</v>
      </c>
      <c r="C8" s="2" t="s">
        <v>61</v>
      </c>
      <c r="D8" s="2" t="s">
        <v>103</v>
      </c>
      <c r="E8" s="3" t="s">
        <v>136</v>
      </c>
    </row>
    <row r="9" spans="1:5" ht="202.5" x14ac:dyDescent="0.15">
      <c r="A9" s="2" t="s">
        <v>17</v>
      </c>
      <c r="B9" s="2" t="s">
        <v>130</v>
      </c>
      <c r="C9" s="2" t="s">
        <v>56</v>
      </c>
      <c r="D9" s="2" t="s">
        <v>106</v>
      </c>
      <c r="E9" s="3" t="s">
        <v>137</v>
      </c>
    </row>
    <row r="10" spans="1:5" ht="175.5" x14ac:dyDescent="0.15">
      <c r="A10" s="2" t="s">
        <v>17</v>
      </c>
      <c r="B10" s="2" t="s">
        <v>130</v>
      </c>
      <c r="C10" s="2" t="s">
        <v>62</v>
      </c>
      <c r="D10" s="2" t="s">
        <v>108</v>
      </c>
      <c r="E10" s="3" t="s">
        <v>138</v>
      </c>
    </row>
    <row r="11" spans="1:5" ht="202.5" x14ac:dyDescent="0.15">
      <c r="A11" s="2" t="s">
        <v>17</v>
      </c>
      <c r="B11" s="2" t="s">
        <v>130</v>
      </c>
      <c r="C11" s="2" t="s">
        <v>69</v>
      </c>
      <c r="D11" s="2" t="s">
        <v>111</v>
      </c>
      <c r="E11" s="3" t="s">
        <v>139</v>
      </c>
    </row>
    <row r="12" spans="1:5" ht="202.5" x14ac:dyDescent="0.15">
      <c r="A12" s="2" t="s">
        <v>17</v>
      </c>
      <c r="B12" s="2" t="s">
        <v>130</v>
      </c>
      <c r="C12" s="2" t="s">
        <v>57</v>
      </c>
      <c r="D12" s="2" t="s">
        <v>116</v>
      </c>
      <c r="E12" s="3" t="s">
        <v>140</v>
      </c>
    </row>
    <row r="13" spans="1:5" ht="175.5" x14ac:dyDescent="0.15">
      <c r="A13" s="2" t="s">
        <v>17</v>
      </c>
      <c r="B13" s="2" t="s">
        <v>130</v>
      </c>
      <c r="C13" s="2" t="s">
        <v>63</v>
      </c>
      <c r="D13" s="2" t="s">
        <v>119</v>
      </c>
      <c r="E13" s="3" t="s">
        <v>141</v>
      </c>
    </row>
    <row r="14" spans="1:5" ht="202.5" x14ac:dyDescent="0.15">
      <c r="A14" s="2" t="s">
        <v>17</v>
      </c>
      <c r="B14" s="2" t="s">
        <v>130</v>
      </c>
      <c r="C14" s="2" t="s">
        <v>58</v>
      </c>
      <c r="D14" s="2" t="s">
        <v>125</v>
      </c>
      <c r="E14" s="3" t="s">
        <v>142</v>
      </c>
    </row>
    <row r="15" spans="1:5" ht="189" x14ac:dyDescent="0.15">
      <c r="A15" s="2" t="s">
        <v>17</v>
      </c>
      <c r="B15" s="2" t="s">
        <v>130</v>
      </c>
      <c r="C15" s="2" t="s">
        <v>64</v>
      </c>
      <c r="D15" s="2" t="s">
        <v>129</v>
      </c>
      <c r="E15" s="3" t="s">
        <v>143</v>
      </c>
    </row>
    <row r="16" spans="1:5" ht="409.5" x14ac:dyDescent="0.15">
      <c r="A16" s="2" t="s">
        <v>17</v>
      </c>
      <c r="B16" s="2" t="s">
        <v>145</v>
      </c>
      <c r="C16" s="2" t="s">
        <v>59</v>
      </c>
      <c r="D16" s="2" t="s">
        <v>85</v>
      </c>
      <c r="E16" s="3" t="s">
        <v>146</v>
      </c>
    </row>
    <row r="17" spans="1:5" ht="189" x14ac:dyDescent="0.15">
      <c r="A17" s="2" t="s">
        <v>17</v>
      </c>
      <c r="B17" s="2" t="s">
        <v>148</v>
      </c>
      <c r="C17" s="2" t="s">
        <v>60</v>
      </c>
      <c r="D17" s="2" t="s">
        <v>93</v>
      </c>
      <c r="E17" s="3" t="s">
        <v>149</v>
      </c>
    </row>
    <row r="18" spans="1:5" ht="189" x14ac:dyDescent="0.15">
      <c r="A18" s="2" t="s">
        <v>17</v>
      </c>
      <c r="B18" s="2" t="s">
        <v>148</v>
      </c>
      <c r="C18" s="2" t="s">
        <v>56</v>
      </c>
      <c r="D18" s="2" t="s">
        <v>106</v>
      </c>
      <c r="E18" s="3" t="s">
        <v>150</v>
      </c>
    </row>
    <row r="19" spans="1:5" ht="189" x14ac:dyDescent="0.15">
      <c r="A19" s="2" t="s">
        <v>17</v>
      </c>
      <c r="B19" s="2" t="s">
        <v>148</v>
      </c>
      <c r="C19" s="2" t="s">
        <v>57</v>
      </c>
      <c r="D19" s="2" t="s">
        <v>116</v>
      </c>
      <c r="E19" s="3" t="s">
        <v>151</v>
      </c>
    </row>
    <row r="20" spans="1:5" ht="162" x14ac:dyDescent="0.15">
      <c r="A20" s="2" t="s">
        <v>17</v>
      </c>
      <c r="B20" s="2" t="s">
        <v>188</v>
      </c>
      <c r="C20" s="2" t="s">
        <v>154</v>
      </c>
      <c r="D20" s="2" t="s">
        <v>164</v>
      </c>
      <c r="E20" s="3" t="s">
        <v>189</v>
      </c>
    </row>
    <row r="21" spans="1:5" ht="81" x14ac:dyDescent="0.15">
      <c r="A21" s="2" t="s">
        <v>17</v>
      </c>
      <c r="B21" s="2" t="s">
        <v>188</v>
      </c>
      <c r="C21" s="2" t="s">
        <v>152</v>
      </c>
      <c r="D21" s="2" t="s">
        <v>108</v>
      </c>
      <c r="E21" s="3" t="s">
        <v>190</v>
      </c>
    </row>
    <row r="22" spans="1:5" ht="337.5" x14ac:dyDescent="0.15">
      <c r="A22" s="2" t="s">
        <v>17</v>
      </c>
      <c r="B22" s="2" t="s">
        <v>188</v>
      </c>
      <c r="C22" s="2" t="s">
        <v>159</v>
      </c>
      <c r="D22" s="2" t="s">
        <v>173</v>
      </c>
      <c r="E22" s="3" t="s">
        <v>191</v>
      </c>
    </row>
    <row r="23" spans="1:5" ht="409.5" x14ac:dyDescent="0.15">
      <c r="A23" s="2" t="s">
        <v>17</v>
      </c>
      <c r="B23" s="2" t="s">
        <v>188</v>
      </c>
      <c r="C23" s="2" t="s">
        <v>155</v>
      </c>
      <c r="D23" s="2" t="s">
        <v>178</v>
      </c>
      <c r="E23" s="3" t="s">
        <v>192</v>
      </c>
    </row>
    <row r="24" spans="1:5" ht="409.5" x14ac:dyDescent="0.15">
      <c r="A24" s="2" t="s">
        <v>17</v>
      </c>
      <c r="B24" s="2" t="s">
        <v>188</v>
      </c>
      <c r="C24" s="2" t="s">
        <v>156</v>
      </c>
      <c r="D24" s="2" t="s">
        <v>182</v>
      </c>
      <c r="E24" s="3" t="s">
        <v>193</v>
      </c>
    </row>
    <row r="25" spans="1:5" ht="391.5" x14ac:dyDescent="0.15">
      <c r="A25" s="2" t="s">
        <v>17</v>
      </c>
      <c r="B25" s="2" t="s">
        <v>188</v>
      </c>
      <c r="C25" s="2" t="s">
        <v>157</v>
      </c>
      <c r="D25" s="2" t="s">
        <v>183</v>
      </c>
      <c r="E25" s="3" t="s">
        <v>194</v>
      </c>
    </row>
    <row r="26" spans="1:5" ht="409.5" x14ac:dyDescent="0.15">
      <c r="A26" s="2" t="s">
        <v>17</v>
      </c>
      <c r="B26" s="2" t="s">
        <v>188</v>
      </c>
      <c r="C26" s="2" t="s">
        <v>158</v>
      </c>
      <c r="D26" s="2" t="s">
        <v>187</v>
      </c>
      <c r="E26" s="3" t="s">
        <v>195</v>
      </c>
    </row>
    <row r="27" spans="1:5" ht="189" x14ac:dyDescent="0.15">
      <c r="A27" s="2" t="s">
        <v>17</v>
      </c>
      <c r="B27" s="2" t="s">
        <v>197</v>
      </c>
      <c r="C27" s="2" t="s">
        <v>196</v>
      </c>
      <c r="D27" s="2" t="s">
        <v>198</v>
      </c>
      <c r="E27" s="3" t="s">
        <v>199</v>
      </c>
    </row>
    <row r="28" spans="1:5" ht="337.5" x14ac:dyDescent="0.15">
      <c r="A28" s="2" t="s">
        <v>17</v>
      </c>
      <c r="B28" s="2" t="s">
        <v>200</v>
      </c>
      <c r="C28" s="2" t="s">
        <v>159</v>
      </c>
      <c r="D28" s="2" t="s">
        <v>173</v>
      </c>
      <c r="E28" s="3" t="s">
        <v>201</v>
      </c>
    </row>
    <row r="29" spans="1:5" ht="337.5" x14ac:dyDescent="0.15">
      <c r="A29" s="2" t="s">
        <v>17</v>
      </c>
      <c r="B29" s="2" t="s">
        <v>200</v>
      </c>
      <c r="C29" s="2" t="s">
        <v>155</v>
      </c>
      <c r="D29" s="2" t="s">
        <v>178</v>
      </c>
      <c r="E29" s="3" t="s">
        <v>201</v>
      </c>
    </row>
    <row r="30" spans="1:5" ht="337.5" x14ac:dyDescent="0.15">
      <c r="A30" s="2" t="s">
        <v>17</v>
      </c>
      <c r="B30" s="2" t="s">
        <v>200</v>
      </c>
      <c r="C30" s="2" t="s">
        <v>156</v>
      </c>
      <c r="D30" s="2" t="s">
        <v>182</v>
      </c>
      <c r="E30" s="3" t="s">
        <v>201</v>
      </c>
    </row>
    <row r="31" spans="1:5" ht="337.5" x14ac:dyDescent="0.15">
      <c r="A31" s="2" t="s">
        <v>17</v>
      </c>
      <c r="B31" s="2" t="s">
        <v>200</v>
      </c>
      <c r="C31" s="2" t="s">
        <v>157</v>
      </c>
      <c r="D31" s="2" t="s">
        <v>183</v>
      </c>
      <c r="E31" s="3" t="s">
        <v>201</v>
      </c>
    </row>
    <row r="32" spans="1:5" ht="337.5" x14ac:dyDescent="0.15">
      <c r="A32" s="2" t="s">
        <v>17</v>
      </c>
      <c r="B32" s="2" t="s">
        <v>200</v>
      </c>
      <c r="C32" s="2" t="s">
        <v>158</v>
      </c>
      <c r="D32" s="2" t="s">
        <v>187</v>
      </c>
      <c r="E32" s="3" t="s">
        <v>201</v>
      </c>
    </row>
    <row r="33" spans="1:5" ht="409.5" x14ac:dyDescent="0.15">
      <c r="A33" s="2" t="s">
        <v>17</v>
      </c>
      <c r="B33" s="2" t="s">
        <v>200</v>
      </c>
      <c r="C33" s="2" t="s">
        <v>196</v>
      </c>
      <c r="D33" s="2" t="s">
        <v>198</v>
      </c>
      <c r="E33" s="3" t="s">
        <v>202</v>
      </c>
    </row>
    <row r="34" spans="1:5" ht="409.5" x14ac:dyDescent="0.15">
      <c r="A34" s="2" t="s">
        <v>17</v>
      </c>
      <c r="B34" s="2" t="s">
        <v>205</v>
      </c>
      <c r="C34" s="2" t="s">
        <v>203</v>
      </c>
      <c r="D34" s="2" t="s">
        <v>173</v>
      </c>
      <c r="E34" s="3" t="s">
        <v>206</v>
      </c>
    </row>
    <row r="35" spans="1:5" ht="409.5" x14ac:dyDescent="0.15">
      <c r="A35" s="2" t="s">
        <v>17</v>
      </c>
      <c r="B35" s="2" t="s">
        <v>205</v>
      </c>
      <c r="C35" s="2" t="s">
        <v>155</v>
      </c>
      <c r="D35" s="2" t="s">
        <v>178</v>
      </c>
      <c r="E35" s="3" t="s">
        <v>206</v>
      </c>
    </row>
    <row r="36" spans="1:5" ht="409.5" x14ac:dyDescent="0.15">
      <c r="A36" s="2" t="s">
        <v>17</v>
      </c>
      <c r="B36" s="2" t="s">
        <v>205</v>
      </c>
      <c r="C36" s="2" t="s">
        <v>156</v>
      </c>
      <c r="D36" s="2" t="s">
        <v>182</v>
      </c>
      <c r="E36" s="3" t="s">
        <v>206</v>
      </c>
    </row>
    <row r="37" spans="1:5" ht="409.5" x14ac:dyDescent="0.15">
      <c r="A37" s="2" t="s">
        <v>17</v>
      </c>
      <c r="B37" s="2" t="s">
        <v>205</v>
      </c>
      <c r="C37" s="2" t="s">
        <v>157</v>
      </c>
      <c r="D37" s="2" t="s">
        <v>183</v>
      </c>
      <c r="E37" s="3" t="s">
        <v>206</v>
      </c>
    </row>
    <row r="38" spans="1:5" ht="409.5" x14ac:dyDescent="0.15">
      <c r="A38" s="2" t="s">
        <v>17</v>
      </c>
      <c r="B38" s="2" t="s">
        <v>205</v>
      </c>
      <c r="C38" s="2" t="s">
        <v>158</v>
      </c>
      <c r="D38" s="2" t="s">
        <v>187</v>
      </c>
      <c r="E38" s="3" t="s">
        <v>206</v>
      </c>
    </row>
    <row r="39" spans="1:5" ht="409.5" x14ac:dyDescent="0.15">
      <c r="A39" s="2" t="s">
        <v>17</v>
      </c>
      <c r="B39" s="2" t="s">
        <v>207</v>
      </c>
      <c r="C39" s="2" t="s">
        <v>196</v>
      </c>
      <c r="D39" s="2" t="s">
        <v>198</v>
      </c>
      <c r="E39" s="3" t="s">
        <v>208</v>
      </c>
    </row>
    <row r="40" spans="1:5" ht="189" x14ac:dyDescent="0.15">
      <c r="A40" s="2" t="s">
        <v>17</v>
      </c>
      <c r="B40" s="2" t="s">
        <v>211</v>
      </c>
      <c r="C40" s="2" t="s">
        <v>159</v>
      </c>
      <c r="D40" s="2" t="s">
        <v>173</v>
      </c>
      <c r="E40" s="3" t="s">
        <v>212</v>
      </c>
    </row>
    <row r="41" spans="1:5" ht="40.5" x14ac:dyDescent="0.15">
      <c r="A41" s="2" t="s">
        <v>17</v>
      </c>
      <c r="B41" s="2" t="s">
        <v>211</v>
      </c>
      <c r="C41" s="2" t="s">
        <v>213</v>
      </c>
      <c r="D41" s="2" t="s">
        <v>1</v>
      </c>
      <c r="E41" s="3" t="s">
        <v>214</v>
      </c>
    </row>
    <row r="42" spans="1:5" ht="81" x14ac:dyDescent="0.15">
      <c r="A42" s="2" t="s">
        <v>17</v>
      </c>
      <c r="B42" s="2" t="s">
        <v>215</v>
      </c>
      <c r="C42" s="2" t="s">
        <v>216</v>
      </c>
      <c r="D42" s="2" t="s">
        <v>1</v>
      </c>
      <c r="E42" s="3" t="s">
        <v>217</v>
      </c>
    </row>
    <row r="43" spans="1:5" ht="67.5" x14ac:dyDescent="0.15">
      <c r="A43" s="2" t="s">
        <v>17</v>
      </c>
      <c r="B43" s="2" t="s">
        <v>215</v>
      </c>
      <c r="C43" s="2" t="s">
        <v>53</v>
      </c>
      <c r="D43" s="2" t="s">
        <v>78</v>
      </c>
      <c r="E43" s="3" t="s">
        <v>218</v>
      </c>
    </row>
    <row r="44" spans="1:5" ht="67.5" x14ac:dyDescent="0.15">
      <c r="A44" s="2" t="s">
        <v>17</v>
      </c>
      <c r="B44" s="2" t="s">
        <v>215</v>
      </c>
      <c r="C44" s="2" t="s">
        <v>59</v>
      </c>
      <c r="D44" s="2" t="s">
        <v>85</v>
      </c>
      <c r="E44" s="3" t="s">
        <v>218</v>
      </c>
    </row>
    <row r="45" spans="1:5" ht="67.5" x14ac:dyDescent="0.15">
      <c r="A45" s="2" t="s">
        <v>17</v>
      </c>
      <c r="B45" s="2" t="s">
        <v>215</v>
      </c>
      <c r="C45" s="2" t="s">
        <v>54</v>
      </c>
      <c r="D45" s="2" t="s">
        <v>89</v>
      </c>
      <c r="E45" s="3" t="s">
        <v>218</v>
      </c>
    </row>
    <row r="46" spans="1:5" ht="67.5" x14ac:dyDescent="0.15">
      <c r="A46" s="2" t="s">
        <v>17</v>
      </c>
      <c r="B46" s="2" t="s">
        <v>215</v>
      </c>
      <c r="C46" s="2" t="s">
        <v>60</v>
      </c>
      <c r="D46" s="2" t="s">
        <v>93</v>
      </c>
      <c r="E46" s="3" t="s">
        <v>218</v>
      </c>
    </row>
    <row r="47" spans="1:5" ht="67.5" x14ac:dyDescent="0.15">
      <c r="A47" s="2" t="s">
        <v>17</v>
      </c>
      <c r="B47" s="2" t="s">
        <v>215</v>
      </c>
      <c r="C47" s="2" t="s">
        <v>55</v>
      </c>
      <c r="D47" s="2" t="s">
        <v>97</v>
      </c>
      <c r="E47" s="3" t="s">
        <v>218</v>
      </c>
    </row>
    <row r="48" spans="1:5" ht="67.5" x14ac:dyDescent="0.15">
      <c r="A48" s="2" t="s">
        <v>17</v>
      </c>
      <c r="B48" s="2" t="s">
        <v>215</v>
      </c>
      <c r="C48" s="2" t="s">
        <v>154</v>
      </c>
      <c r="D48" s="2" t="s">
        <v>164</v>
      </c>
      <c r="E48" s="3" t="s">
        <v>218</v>
      </c>
    </row>
    <row r="49" spans="1:5" ht="67.5" x14ac:dyDescent="0.15">
      <c r="A49" s="2" t="s">
        <v>17</v>
      </c>
      <c r="B49" s="2" t="s">
        <v>215</v>
      </c>
      <c r="C49" s="2" t="s">
        <v>61</v>
      </c>
      <c r="D49" s="2" t="s">
        <v>103</v>
      </c>
      <c r="E49" s="3" t="s">
        <v>218</v>
      </c>
    </row>
    <row r="50" spans="1:5" ht="67.5" x14ac:dyDescent="0.15">
      <c r="A50" s="2" t="s">
        <v>17</v>
      </c>
      <c r="B50" s="2" t="s">
        <v>215</v>
      </c>
      <c r="C50" s="2" t="s">
        <v>56</v>
      </c>
      <c r="D50" s="2" t="s">
        <v>106</v>
      </c>
      <c r="E50" s="3" t="s">
        <v>218</v>
      </c>
    </row>
    <row r="51" spans="1:5" ht="67.5" x14ac:dyDescent="0.15">
      <c r="A51" s="2" t="s">
        <v>17</v>
      </c>
      <c r="B51" s="2" t="s">
        <v>215</v>
      </c>
      <c r="C51" s="2" t="s">
        <v>152</v>
      </c>
      <c r="D51" s="2" t="s">
        <v>108</v>
      </c>
      <c r="E51" s="3" t="s">
        <v>218</v>
      </c>
    </row>
    <row r="52" spans="1:5" ht="67.5" x14ac:dyDescent="0.15">
      <c r="A52" s="2" t="s">
        <v>17</v>
      </c>
      <c r="B52" s="2" t="s">
        <v>215</v>
      </c>
      <c r="C52" s="2" t="s">
        <v>69</v>
      </c>
      <c r="D52" s="2" t="s">
        <v>111</v>
      </c>
      <c r="E52" s="3" t="s">
        <v>218</v>
      </c>
    </row>
    <row r="53" spans="1:5" ht="67.5" x14ac:dyDescent="0.15">
      <c r="A53" s="2" t="s">
        <v>17</v>
      </c>
      <c r="B53" s="2" t="s">
        <v>215</v>
      </c>
      <c r="C53" s="2" t="s">
        <v>57</v>
      </c>
      <c r="D53" s="2" t="s">
        <v>116</v>
      </c>
      <c r="E53" s="3" t="s">
        <v>218</v>
      </c>
    </row>
    <row r="54" spans="1:5" ht="67.5" x14ac:dyDescent="0.15">
      <c r="A54" s="2" t="s">
        <v>17</v>
      </c>
      <c r="B54" s="2" t="s">
        <v>215</v>
      </c>
      <c r="C54" s="2" t="s">
        <v>63</v>
      </c>
      <c r="D54" s="2" t="s">
        <v>119</v>
      </c>
      <c r="E54" s="3" t="s">
        <v>218</v>
      </c>
    </row>
    <row r="55" spans="1:5" ht="67.5" x14ac:dyDescent="0.15">
      <c r="A55" s="2" t="s">
        <v>17</v>
      </c>
      <c r="B55" s="2" t="s">
        <v>215</v>
      </c>
      <c r="C55" s="2" t="s">
        <v>58</v>
      </c>
      <c r="D55" s="2" t="s">
        <v>125</v>
      </c>
      <c r="E55" s="3" t="s">
        <v>218</v>
      </c>
    </row>
    <row r="56" spans="1:5" ht="67.5" x14ac:dyDescent="0.15">
      <c r="A56" s="2" t="s">
        <v>17</v>
      </c>
      <c r="B56" s="2" t="s">
        <v>215</v>
      </c>
      <c r="C56" s="2" t="s">
        <v>64</v>
      </c>
      <c r="D56" s="2" t="s">
        <v>129</v>
      </c>
      <c r="E56" s="3" t="s">
        <v>218</v>
      </c>
    </row>
    <row r="57" spans="1:5" ht="67.5" x14ac:dyDescent="0.15">
      <c r="A57" s="2" t="s">
        <v>17</v>
      </c>
      <c r="B57" s="2" t="s">
        <v>215</v>
      </c>
      <c r="C57" s="2" t="s">
        <v>159</v>
      </c>
      <c r="D57" s="2" t="s">
        <v>173</v>
      </c>
      <c r="E57" s="3" t="s">
        <v>218</v>
      </c>
    </row>
    <row r="58" spans="1:5" ht="67.5" x14ac:dyDescent="0.15">
      <c r="A58" s="2" t="s">
        <v>17</v>
      </c>
      <c r="B58" s="2" t="s">
        <v>215</v>
      </c>
      <c r="C58" s="2" t="s">
        <v>155</v>
      </c>
      <c r="D58" s="2" t="s">
        <v>178</v>
      </c>
      <c r="E58" s="3" t="s">
        <v>218</v>
      </c>
    </row>
    <row r="59" spans="1:5" ht="67.5" x14ac:dyDescent="0.15">
      <c r="A59" s="2" t="s">
        <v>17</v>
      </c>
      <c r="B59" s="2" t="s">
        <v>215</v>
      </c>
      <c r="C59" s="2" t="s">
        <v>156</v>
      </c>
      <c r="D59" s="2" t="s">
        <v>182</v>
      </c>
      <c r="E59" s="3" t="s">
        <v>218</v>
      </c>
    </row>
    <row r="60" spans="1:5" ht="67.5" x14ac:dyDescent="0.15">
      <c r="A60" s="2" t="s">
        <v>17</v>
      </c>
      <c r="B60" s="2" t="s">
        <v>215</v>
      </c>
      <c r="C60" s="2" t="s">
        <v>157</v>
      </c>
      <c r="D60" s="2" t="s">
        <v>183</v>
      </c>
      <c r="E60" s="3" t="s">
        <v>218</v>
      </c>
    </row>
    <row r="61" spans="1:5" ht="67.5" x14ac:dyDescent="0.15">
      <c r="A61" s="2" t="s">
        <v>17</v>
      </c>
      <c r="B61" s="2" t="s">
        <v>215</v>
      </c>
      <c r="C61" s="2" t="s">
        <v>158</v>
      </c>
      <c r="D61" s="2" t="s">
        <v>187</v>
      </c>
      <c r="E61" s="3" t="s">
        <v>218</v>
      </c>
    </row>
    <row r="62" spans="1:5" ht="189" x14ac:dyDescent="0.15">
      <c r="A62" s="2" t="s">
        <v>17</v>
      </c>
      <c r="B62" s="2" t="s">
        <v>215</v>
      </c>
      <c r="C62" s="2" t="s">
        <v>219</v>
      </c>
      <c r="D62" s="2" t="s">
        <v>198</v>
      </c>
      <c r="E62" s="3" t="s">
        <v>199</v>
      </c>
    </row>
    <row r="63" spans="1:5" x14ac:dyDescent="0.15">
      <c r="A63" s="2" t="s">
        <v>17</v>
      </c>
      <c r="B63" s="2" t="s">
        <v>215</v>
      </c>
      <c r="C63" s="2" t="s">
        <v>196</v>
      </c>
      <c r="D63" s="2" t="s">
        <v>198</v>
      </c>
      <c r="E63" s="2" t="s">
        <v>220</v>
      </c>
    </row>
    <row r="64" spans="1:5" ht="27" x14ac:dyDescent="0.15">
      <c r="A64" s="2" t="s">
        <v>17</v>
      </c>
      <c r="B64" s="2" t="s">
        <v>221</v>
      </c>
      <c r="C64" s="2" t="s">
        <v>19</v>
      </c>
      <c r="D64" s="2" t="s">
        <v>1</v>
      </c>
      <c r="E64" s="3" t="s">
        <v>20</v>
      </c>
    </row>
    <row r="65" spans="1:5" ht="40.5" x14ac:dyDescent="0.15">
      <c r="A65" s="2" t="s">
        <v>17</v>
      </c>
      <c r="B65" s="2" t="s">
        <v>222</v>
      </c>
      <c r="C65" s="2" t="s">
        <v>216</v>
      </c>
      <c r="D65" s="2" t="s">
        <v>1</v>
      </c>
      <c r="E65" s="3" t="s">
        <v>223</v>
      </c>
    </row>
    <row r="66" spans="1:5" ht="67.5" x14ac:dyDescent="0.15">
      <c r="A66" s="2" t="s">
        <v>17</v>
      </c>
      <c r="B66" s="2" t="s">
        <v>222</v>
      </c>
      <c r="C66" s="2" t="s">
        <v>53</v>
      </c>
      <c r="D66" s="2" t="s">
        <v>78</v>
      </c>
      <c r="E66" s="3" t="s">
        <v>224</v>
      </c>
    </row>
    <row r="67" spans="1:5" ht="67.5" x14ac:dyDescent="0.15">
      <c r="A67" s="2" t="s">
        <v>17</v>
      </c>
      <c r="B67" s="2" t="s">
        <v>222</v>
      </c>
      <c r="C67" s="2" t="s">
        <v>59</v>
      </c>
      <c r="D67" s="2" t="s">
        <v>85</v>
      </c>
      <c r="E67" s="3" t="s">
        <v>224</v>
      </c>
    </row>
    <row r="68" spans="1:5" ht="67.5" x14ac:dyDescent="0.15">
      <c r="A68" s="2" t="s">
        <v>17</v>
      </c>
      <c r="B68" s="2" t="s">
        <v>222</v>
      </c>
      <c r="C68" s="2" t="s">
        <v>54</v>
      </c>
      <c r="D68" s="2" t="s">
        <v>89</v>
      </c>
      <c r="E68" s="3" t="s">
        <v>224</v>
      </c>
    </row>
    <row r="69" spans="1:5" ht="67.5" x14ac:dyDescent="0.15">
      <c r="A69" s="2" t="s">
        <v>17</v>
      </c>
      <c r="B69" s="2" t="s">
        <v>222</v>
      </c>
      <c r="C69" s="2" t="s">
        <v>60</v>
      </c>
      <c r="D69" s="2" t="s">
        <v>93</v>
      </c>
      <c r="E69" s="3" t="s">
        <v>224</v>
      </c>
    </row>
    <row r="70" spans="1:5" ht="67.5" x14ac:dyDescent="0.15">
      <c r="A70" s="2" t="s">
        <v>17</v>
      </c>
      <c r="B70" s="2" t="s">
        <v>222</v>
      </c>
      <c r="C70" s="2" t="s">
        <v>55</v>
      </c>
      <c r="D70" s="2" t="s">
        <v>97</v>
      </c>
      <c r="E70" s="3" t="s">
        <v>224</v>
      </c>
    </row>
    <row r="71" spans="1:5" ht="67.5" x14ac:dyDescent="0.15">
      <c r="A71" s="2" t="s">
        <v>17</v>
      </c>
      <c r="B71" s="2" t="s">
        <v>222</v>
      </c>
      <c r="C71" s="2" t="s">
        <v>154</v>
      </c>
      <c r="D71" s="2" t="s">
        <v>164</v>
      </c>
      <c r="E71" s="3" t="s">
        <v>224</v>
      </c>
    </row>
    <row r="72" spans="1:5" ht="67.5" x14ac:dyDescent="0.15">
      <c r="A72" s="2" t="s">
        <v>17</v>
      </c>
      <c r="B72" s="2" t="s">
        <v>222</v>
      </c>
      <c r="C72" s="2" t="s">
        <v>61</v>
      </c>
      <c r="D72" s="2" t="s">
        <v>103</v>
      </c>
      <c r="E72" s="3" t="s">
        <v>224</v>
      </c>
    </row>
    <row r="73" spans="1:5" ht="67.5" x14ac:dyDescent="0.15">
      <c r="A73" s="2" t="s">
        <v>17</v>
      </c>
      <c r="B73" s="2" t="s">
        <v>222</v>
      </c>
      <c r="C73" s="2" t="s">
        <v>56</v>
      </c>
      <c r="D73" s="2" t="s">
        <v>106</v>
      </c>
      <c r="E73" s="3" t="s">
        <v>224</v>
      </c>
    </row>
    <row r="74" spans="1:5" ht="67.5" x14ac:dyDescent="0.15">
      <c r="A74" s="2" t="s">
        <v>17</v>
      </c>
      <c r="B74" s="2" t="s">
        <v>222</v>
      </c>
      <c r="C74" s="2" t="s">
        <v>152</v>
      </c>
      <c r="D74" s="2" t="s">
        <v>108</v>
      </c>
      <c r="E74" s="3" t="s">
        <v>224</v>
      </c>
    </row>
    <row r="75" spans="1:5" ht="67.5" x14ac:dyDescent="0.15">
      <c r="A75" s="2" t="s">
        <v>17</v>
      </c>
      <c r="B75" s="2" t="s">
        <v>222</v>
      </c>
      <c r="C75" s="2" t="s">
        <v>69</v>
      </c>
      <c r="D75" s="2" t="s">
        <v>111</v>
      </c>
      <c r="E75" s="3" t="s">
        <v>224</v>
      </c>
    </row>
    <row r="76" spans="1:5" ht="67.5" x14ac:dyDescent="0.15">
      <c r="A76" s="2" t="s">
        <v>17</v>
      </c>
      <c r="B76" s="2" t="s">
        <v>222</v>
      </c>
      <c r="C76" s="2" t="s">
        <v>57</v>
      </c>
      <c r="D76" s="2" t="s">
        <v>116</v>
      </c>
      <c r="E76" s="3" t="s">
        <v>224</v>
      </c>
    </row>
    <row r="77" spans="1:5" ht="67.5" x14ac:dyDescent="0.15">
      <c r="A77" s="2" t="s">
        <v>17</v>
      </c>
      <c r="B77" s="2" t="s">
        <v>222</v>
      </c>
      <c r="C77" s="2" t="s">
        <v>63</v>
      </c>
      <c r="D77" s="2" t="s">
        <v>119</v>
      </c>
      <c r="E77" s="3" t="s">
        <v>224</v>
      </c>
    </row>
    <row r="78" spans="1:5" ht="67.5" x14ac:dyDescent="0.15">
      <c r="A78" s="2" t="s">
        <v>17</v>
      </c>
      <c r="B78" s="2" t="s">
        <v>222</v>
      </c>
      <c r="C78" s="2" t="s">
        <v>58</v>
      </c>
      <c r="D78" s="2" t="s">
        <v>125</v>
      </c>
      <c r="E78" s="3" t="s">
        <v>224</v>
      </c>
    </row>
    <row r="79" spans="1:5" ht="67.5" x14ac:dyDescent="0.15">
      <c r="A79" s="2" t="s">
        <v>17</v>
      </c>
      <c r="B79" s="2" t="s">
        <v>222</v>
      </c>
      <c r="C79" s="2" t="s">
        <v>64</v>
      </c>
      <c r="D79" s="2" t="s">
        <v>129</v>
      </c>
      <c r="E79" s="3" t="s">
        <v>224</v>
      </c>
    </row>
    <row r="80" spans="1:5" ht="67.5" x14ac:dyDescent="0.15">
      <c r="A80" s="2" t="s">
        <v>17</v>
      </c>
      <c r="B80" s="2" t="s">
        <v>222</v>
      </c>
      <c r="C80" s="2" t="s">
        <v>159</v>
      </c>
      <c r="D80" s="2" t="s">
        <v>173</v>
      </c>
      <c r="E80" s="3" t="s">
        <v>224</v>
      </c>
    </row>
    <row r="81" spans="1:5" ht="67.5" x14ac:dyDescent="0.15">
      <c r="A81" s="2" t="s">
        <v>17</v>
      </c>
      <c r="B81" s="2" t="s">
        <v>222</v>
      </c>
      <c r="C81" s="2" t="s">
        <v>155</v>
      </c>
      <c r="D81" s="2" t="s">
        <v>178</v>
      </c>
      <c r="E81" s="3" t="s">
        <v>224</v>
      </c>
    </row>
    <row r="82" spans="1:5" ht="67.5" x14ac:dyDescent="0.15">
      <c r="A82" s="2" t="s">
        <v>17</v>
      </c>
      <c r="B82" s="2" t="s">
        <v>222</v>
      </c>
      <c r="C82" s="2" t="s">
        <v>156</v>
      </c>
      <c r="D82" s="2" t="s">
        <v>182</v>
      </c>
      <c r="E82" s="3" t="s">
        <v>224</v>
      </c>
    </row>
    <row r="83" spans="1:5" ht="67.5" x14ac:dyDescent="0.15">
      <c r="A83" s="2" t="s">
        <v>17</v>
      </c>
      <c r="B83" s="2" t="s">
        <v>222</v>
      </c>
      <c r="C83" s="2" t="s">
        <v>157</v>
      </c>
      <c r="D83" s="2" t="s">
        <v>183</v>
      </c>
      <c r="E83" s="3" t="s">
        <v>224</v>
      </c>
    </row>
    <row r="84" spans="1:5" ht="67.5" x14ac:dyDescent="0.15">
      <c r="A84" s="2" t="s">
        <v>17</v>
      </c>
      <c r="B84" s="2" t="s">
        <v>222</v>
      </c>
      <c r="C84" s="2" t="s">
        <v>158</v>
      </c>
      <c r="D84" s="2" t="s">
        <v>187</v>
      </c>
      <c r="E84" s="3" t="s">
        <v>224</v>
      </c>
    </row>
    <row r="85" spans="1:5" ht="27" x14ac:dyDescent="0.15">
      <c r="A85" s="2" t="s">
        <v>17</v>
      </c>
      <c r="B85" s="2" t="s">
        <v>225</v>
      </c>
      <c r="C85" s="2" t="s">
        <v>19</v>
      </c>
      <c r="D85" s="2" t="s">
        <v>1</v>
      </c>
      <c r="E85" s="3" t="s">
        <v>20</v>
      </c>
    </row>
    <row r="86" spans="1:5" ht="409.5" x14ac:dyDescent="0.15">
      <c r="A86" s="2" t="s">
        <v>17</v>
      </c>
      <c r="B86" s="2" t="s">
        <v>240</v>
      </c>
      <c r="C86" s="2" t="s">
        <v>159</v>
      </c>
      <c r="D86" s="2" t="s">
        <v>173</v>
      </c>
      <c r="E86" s="3" t="s">
        <v>241</v>
      </c>
    </row>
    <row r="87" spans="1:5" ht="409.5" x14ac:dyDescent="0.15">
      <c r="A87" s="2" t="s">
        <v>17</v>
      </c>
      <c r="B87" s="2" t="s">
        <v>240</v>
      </c>
      <c r="C87" s="2" t="s">
        <v>155</v>
      </c>
      <c r="D87" s="2" t="s">
        <v>178</v>
      </c>
      <c r="E87" s="3" t="s">
        <v>242</v>
      </c>
    </row>
    <row r="88" spans="1:5" ht="409.5" x14ac:dyDescent="0.15">
      <c r="A88" s="2" t="s">
        <v>17</v>
      </c>
      <c r="B88" s="2" t="s">
        <v>240</v>
      </c>
      <c r="C88" s="2" t="s">
        <v>156</v>
      </c>
      <c r="D88" s="2" t="s">
        <v>182</v>
      </c>
      <c r="E88" s="3" t="s">
        <v>243</v>
      </c>
    </row>
    <row r="89" spans="1:5" ht="409.5" x14ac:dyDescent="0.15">
      <c r="A89" s="2" t="s">
        <v>17</v>
      </c>
      <c r="B89" s="2" t="s">
        <v>240</v>
      </c>
      <c r="C89" s="2" t="s">
        <v>157</v>
      </c>
      <c r="D89" s="2" t="s">
        <v>183</v>
      </c>
      <c r="E89" s="3" t="s">
        <v>244</v>
      </c>
    </row>
    <row r="90" spans="1:5" ht="409.5" x14ac:dyDescent="0.15">
      <c r="A90" s="2" t="s">
        <v>17</v>
      </c>
      <c r="B90" s="2" t="s">
        <v>240</v>
      </c>
      <c r="C90" s="2" t="s">
        <v>158</v>
      </c>
      <c r="D90" s="2" t="s">
        <v>187</v>
      </c>
      <c r="E90" s="3" t="s">
        <v>245</v>
      </c>
    </row>
    <row r="91" spans="1:5" ht="229.5" x14ac:dyDescent="0.15">
      <c r="A91" s="2" t="s">
        <v>17</v>
      </c>
      <c r="B91" s="2" t="s">
        <v>240</v>
      </c>
      <c r="C91" s="2" t="s">
        <v>227</v>
      </c>
      <c r="D91" s="2" t="s">
        <v>235</v>
      </c>
      <c r="E91" s="3" t="s">
        <v>246</v>
      </c>
    </row>
    <row r="92" spans="1:5" ht="175.5" x14ac:dyDescent="0.15">
      <c r="A92" s="2" t="s">
        <v>17</v>
      </c>
      <c r="B92" s="2" t="s">
        <v>240</v>
      </c>
      <c r="C92" s="2" t="s">
        <v>226</v>
      </c>
      <c r="D92" s="2" t="s">
        <v>239</v>
      </c>
      <c r="E92" s="3" t="s">
        <v>247</v>
      </c>
    </row>
    <row r="93" spans="1:5" x14ac:dyDescent="0.15">
      <c r="A93" s="2" t="s">
        <v>17</v>
      </c>
      <c r="B93" s="2" t="s">
        <v>240</v>
      </c>
      <c r="C93" s="2" t="s">
        <v>219</v>
      </c>
      <c r="D93" s="2" t="s">
        <v>198</v>
      </c>
      <c r="E93" s="2" t="s">
        <v>248</v>
      </c>
    </row>
    <row r="94" spans="1:5" ht="189" x14ac:dyDescent="0.15">
      <c r="A94" s="2" t="s">
        <v>17</v>
      </c>
      <c r="B94" s="2" t="s">
        <v>249</v>
      </c>
      <c r="C94" s="2" t="s">
        <v>157</v>
      </c>
      <c r="D94" s="2" t="s">
        <v>183</v>
      </c>
      <c r="E94" s="3" t="s">
        <v>212</v>
      </c>
    </row>
    <row r="95" spans="1:5" ht="54" x14ac:dyDescent="0.15">
      <c r="A95" s="2" t="s">
        <v>17</v>
      </c>
      <c r="B95" s="2" t="s">
        <v>250</v>
      </c>
      <c r="C95" s="2" t="s">
        <v>157</v>
      </c>
      <c r="D95" s="2" t="s">
        <v>183</v>
      </c>
      <c r="E95" s="3" t="s">
        <v>251</v>
      </c>
    </row>
    <row r="96" spans="1:5" ht="54" x14ac:dyDescent="0.15">
      <c r="A96" s="2" t="s">
        <v>17</v>
      </c>
      <c r="B96" s="2" t="s">
        <v>252</v>
      </c>
      <c r="C96" s="2" t="s">
        <v>157</v>
      </c>
      <c r="D96" s="2" t="s">
        <v>183</v>
      </c>
      <c r="E96" s="3" t="s">
        <v>253</v>
      </c>
    </row>
    <row r="97" spans="1:5" x14ac:dyDescent="0.15">
      <c r="A97" s="2" t="s">
        <v>17</v>
      </c>
      <c r="B97" s="2" t="s">
        <v>254</v>
      </c>
      <c r="C97" s="2" t="s">
        <v>157</v>
      </c>
      <c r="D97" s="2" t="s">
        <v>183</v>
      </c>
      <c r="E97" s="2" t="s">
        <v>220</v>
      </c>
    </row>
    <row r="98" spans="1:5" ht="409.5" x14ac:dyDescent="0.15">
      <c r="A98" s="2" t="s">
        <v>17</v>
      </c>
      <c r="B98" s="2" t="s">
        <v>257</v>
      </c>
      <c r="C98" s="2" t="s">
        <v>157</v>
      </c>
      <c r="D98" s="2" t="s">
        <v>183</v>
      </c>
      <c r="E98" s="3" t="s">
        <v>258</v>
      </c>
    </row>
    <row r="99" spans="1:5" ht="54" x14ac:dyDescent="0.15">
      <c r="A99" s="2" t="s">
        <v>17</v>
      </c>
      <c r="B99" s="2" t="s">
        <v>260</v>
      </c>
      <c r="C99" s="2" t="s">
        <v>157</v>
      </c>
      <c r="D99" s="2" t="s">
        <v>183</v>
      </c>
      <c r="E99" s="3" t="s">
        <v>251</v>
      </c>
    </row>
    <row r="100" spans="1:5" ht="216" x14ac:dyDescent="0.15">
      <c r="A100" s="2" t="s">
        <v>17</v>
      </c>
      <c r="B100" s="2" t="s">
        <v>282</v>
      </c>
      <c r="C100" s="2" t="s">
        <v>53</v>
      </c>
      <c r="D100" s="2" t="s">
        <v>261</v>
      </c>
      <c r="E100" s="3" t="s">
        <v>283</v>
      </c>
    </row>
    <row r="101" spans="1:5" ht="409.5" x14ac:dyDescent="0.15">
      <c r="A101" s="2" t="s">
        <v>17</v>
      </c>
      <c r="B101" s="2" t="s">
        <v>282</v>
      </c>
      <c r="C101" s="2" t="s">
        <v>59</v>
      </c>
      <c r="D101" s="2" t="s">
        <v>262</v>
      </c>
      <c r="E101" s="3" t="s">
        <v>132</v>
      </c>
    </row>
    <row r="102" spans="1:5" ht="216" x14ac:dyDescent="0.15">
      <c r="A102" s="2" t="s">
        <v>17</v>
      </c>
      <c r="B102" s="2" t="s">
        <v>282</v>
      </c>
      <c r="C102" s="2" t="s">
        <v>54</v>
      </c>
      <c r="D102" s="2" t="s">
        <v>263</v>
      </c>
      <c r="E102" s="3" t="s">
        <v>284</v>
      </c>
    </row>
    <row r="103" spans="1:5" ht="216" x14ac:dyDescent="0.15">
      <c r="A103" s="2" t="s">
        <v>17</v>
      </c>
      <c r="B103" s="2" t="s">
        <v>282</v>
      </c>
      <c r="C103" s="2" t="s">
        <v>60</v>
      </c>
      <c r="D103" s="2" t="s">
        <v>265</v>
      </c>
      <c r="E103" s="3" t="s">
        <v>285</v>
      </c>
    </row>
    <row r="104" spans="1:5" ht="216" x14ac:dyDescent="0.15">
      <c r="A104" s="2" t="s">
        <v>17</v>
      </c>
      <c r="B104" s="2" t="s">
        <v>282</v>
      </c>
      <c r="C104" s="2" t="s">
        <v>55</v>
      </c>
      <c r="D104" s="2" t="s">
        <v>266</v>
      </c>
      <c r="E104" s="3" t="s">
        <v>286</v>
      </c>
    </row>
    <row r="105" spans="1:5" ht="162" x14ac:dyDescent="0.15">
      <c r="A105" s="2" t="s">
        <v>17</v>
      </c>
      <c r="B105" s="2" t="s">
        <v>282</v>
      </c>
      <c r="C105" s="2" t="s">
        <v>154</v>
      </c>
      <c r="D105" s="2" t="s">
        <v>267</v>
      </c>
      <c r="E105" s="3" t="s">
        <v>189</v>
      </c>
    </row>
    <row r="106" spans="1:5" ht="175.5" x14ac:dyDescent="0.15">
      <c r="A106" s="2" t="s">
        <v>17</v>
      </c>
      <c r="B106" s="2" t="s">
        <v>282</v>
      </c>
      <c r="C106" s="2" t="s">
        <v>61</v>
      </c>
      <c r="D106" s="2" t="s">
        <v>268</v>
      </c>
      <c r="E106" s="3" t="s">
        <v>136</v>
      </c>
    </row>
    <row r="107" spans="1:5" ht="216" x14ac:dyDescent="0.15">
      <c r="A107" s="2" t="s">
        <v>17</v>
      </c>
      <c r="B107" s="2" t="s">
        <v>282</v>
      </c>
      <c r="C107" s="2" t="s">
        <v>56</v>
      </c>
      <c r="D107" s="2" t="s">
        <v>269</v>
      </c>
      <c r="E107" s="3" t="s">
        <v>285</v>
      </c>
    </row>
    <row r="108" spans="1:5" ht="175.5" x14ac:dyDescent="0.15">
      <c r="A108" s="2" t="s">
        <v>17</v>
      </c>
      <c r="B108" s="2" t="s">
        <v>282</v>
      </c>
      <c r="C108" s="2" t="s">
        <v>152</v>
      </c>
      <c r="D108" s="2" t="s">
        <v>270</v>
      </c>
      <c r="E108" s="3" t="s">
        <v>287</v>
      </c>
    </row>
    <row r="109" spans="1:5" ht="175.5" x14ac:dyDescent="0.15">
      <c r="A109" s="2" t="s">
        <v>17</v>
      </c>
      <c r="B109" s="2" t="s">
        <v>282</v>
      </c>
      <c r="C109" s="2" t="s">
        <v>69</v>
      </c>
      <c r="D109" s="2" t="s">
        <v>271</v>
      </c>
      <c r="E109" s="3" t="s">
        <v>287</v>
      </c>
    </row>
    <row r="110" spans="1:5" ht="216" x14ac:dyDescent="0.15">
      <c r="A110" s="2" t="s">
        <v>17</v>
      </c>
      <c r="B110" s="2" t="s">
        <v>282</v>
      </c>
      <c r="C110" s="2" t="s">
        <v>57</v>
      </c>
      <c r="D110" s="2" t="s">
        <v>272</v>
      </c>
      <c r="E110" s="3" t="s">
        <v>285</v>
      </c>
    </row>
    <row r="111" spans="1:5" ht="175.5" x14ac:dyDescent="0.15">
      <c r="A111" s="2" t="s">
        <v>17</v>
      </c>
      <c r="B111" s="2" t="s">
        <v>282</v>
      </c>
      <c r="C111" s="2" t="s">
        <v>63</v>
      </c>
      <c r="D111" s="2" t="s">
        <v>273</v>
      </c>
      <c r="E111" s="3" t="s">
        <v>287</v>
      </c>
    </row>
    <row r="112" spans="1:5" ht="202.5" x14ac:dyDescent="0.15">
      <c r="A112" s="2" t="s">
        <v>17</v>
      </c>
      <c r="B112" s="2" t="s">
        <v>282</v>
      </c>
      <c r="C112" s="2" t="s">
        <v>58</v>
      </c>
      <c r="D112" s="2" t="s">
        <v>274</v>
      </c>
      <c r="E112" s="3" t="s">
        <v>288</v>
      </c>
    </row>
    <row r="113" spans="1:5" ht="189" x14ac:dyDescent="0.15">
      <c r="A113" s="2" t="s">
        <v>17</v>
      </c>
      <c r="B113" s="2" t="s">
        <v>282</v>
      </c>
      <c r="C113" s="2" t="s">
        <v>64</v>
      </c>
      <c r="D113" s="2" t="s">
        <v>275</v>
      </c>
      <c r="E113" s="3" t="s">
        <v>143</v>
      </c>
    </row>
    <row r="114" spans="1:5" ht="409.5" x14ac:dyDescent="0.15">
      <c r="A114" s="2" t="s">
        <v>17</v>
      </c>
      <c r="B114" s="2" t="s">
        <v>282</v>
      </c>
      <c r="C114" s="2" t="s">
        <v>155</v>
      </c>
      <c r="D114" s="2" t="s">
        <v>276</v>
      </c>
      <c r="E114" s="3" t="s">
        <v>289</v>
      </c>
    </row>
    <row r="115" spans="1:5" ht="409.5" x14ac:dyDescent="0.15">
      <c r="A115" s="2" t="s">
        <v>17</v>
      </c>
      <c r="B115" s="2" t="s">
        <v>282</v>
      </c>
      <c r="C115" s="2" t="s">
        <v>156</v>
      </c>
      <c r="D115" s="2" t="s">
        <v>277</v>
      </c>
      <c r="E115" s="3" t="s">
        <v>290</v>
      </c>
    </row>
    <row r="116" spans="1:5" ht="409.5" x14ac:dyDescent="0.15">
      <c r="A116" s="2" t="s">
        <v>17</v>
      </c>
      <c r="B116" s="2" t="s">
        <v>282</v>
      </c>
      <c r="C116" s="2" t="s">
        <v>157</v>
      </c>
      <c r="D116" s="2" t="s">
        <v>278</v>
      </c>
      <c r="E116" s="3" t="s">
        <v>291</v>
      </c>
    </row>
    <row r="117" spans="1:5" ht="409.5" x14ac:dyDescent="0.15">
      <c r="A117" s="2" t="s">
        <v>17</v>
      </c>
      <c r="B117" s="2" t="s">
        <v>282</v>
      </c>
      <c r="C117" s="2" t="s">
        <v>158</v>
      </c>
      <c r="D117" s="2" t="s">
        <v>279</v>
      </c>
      <c r="E117" s="3" t="s">
        <v>292</v>
      </c>
    </row>
    <row r="118" spans="1:5" ht="229.5" x14ac:dyDescent="0.15">
      <c r="A118" s="2" t="s">
        <v>17</v>
      </c>
      <c r="B118" s="2" t="s">
        <v>282</v>
      </c>
      <c r="C118" s="2" t="s">
        <v>227</v>
      </c>
      <c r="D118" s="2" t="s">
        <v>280</v>
      </c>
      <c r="E118" s="3" t="s">
        <v>293</v>
      </c>
    </row>
    <row r="119" spans="1:5" ht="175.5" x14ac:dyDescent="0.15">
      <c r="A119" s="2" t="s">
        <v>17</v>
      </c>
      <c r="B119" s="2" t="s">
        <v>282</v>
      </c>
      <c r="C119" s="2" t="s">
        <v>226</v>
      </c>
      <c r="D119" s="2" t="s">
        <v>281</v>
      </c>
      <c r="E119" s="3" t="s">
        <v>247</v>
      </c>
    </row>
    <row r="120" spans="1:5" x14ac:dyDescent="0.15">
      <c r="A120" s="2" t="s">
        <v>17</v>
      </c>
      <c r="B120" s="2" t="s">
        <v>282</v>
      </c>
      <c r="C120" s="2" t="s">
        <v>53</v>
      </c>
      <c r="D120" s="2" t="s">
        <v>78</v>
      </c>
      <c r="E120" s="2" t="s">
        <v>220</v>
      </c>
    </row>
    <row r="121" spans="1:5" x14ac:dyDescent="0.15">
      <c r="A121" s="2" t="s">
        <v>17</v>
      </c>
      <c r="B121" s="2" t="s">
        <v>282</v>
      </c>
      <c r="C121" s="2" t="s">
        <v>59</v>
      </c>
      <c r="D121" s="2" t="s">
        <v>85</v>
      </c>
      <c r="E121" s="2" t="s">
        <v>220</v>
      </c>
    </row>
    <row r="122" spans="1:5" x14ac:dyDescent="0.15">
      <c r="A122" s="2" t="s">
        <v>17</v>
      </c>
      <c r="B122" s="2" t="s">
        <v>282</v>
      </c>
      <c r="C122" s="2" t="s">
        <v>54</v>
      </c>
      <c r="D122" s="2" t="s">
        <v>89</v>
      </c>
      <c r="E122" s="2" t="s">
        <v>220</v>
      </c>
    </row>
    <row r="123" spans="1:5" x14ac:dyDescent="0.15">
      <c r="A123" s="2" t="s">
        <v>17</v>
      </c>
      <c r="B123" s="2" t="s">
        <v>282</v>
      </c>
      <c r="C123" s="2" t="s">
        <v>60</v>
      </c>
      <c r="D123" s="2" t="s">
        <v>93</v>
      </c>
      <c r="E123" s="2" t="s">
        <v>220</v>
      </c>
    </row>
    <row r="124" spans="1:5" x14ac:dyDescent="0.15">
      <c r="A124" s="2" t="s">
        <v>17</v>
      </c>
      <c r="B124" s="2" t="s">
        <v>282</v>
      </c>
      <c r="C124" s="2" t="s">
        <v>55</v>
      </c>
      <c r="D124" s="2" t="s">
        <v>97</v>
      </c>
      <c r="E124" s="2" t="s">
        <v>220</v>
      </c>
    </row>
    <row r="125" spans="1:5" x14ac:dyDescent="0.15">
      <c r="A125" s="2" t="s">
        <v>17</v>
      </c>
      <c r="B125" s="2" t="s">
        <v>282</v>
      </c>
      <c r="C125" s="2" t="s">
        <v>154</v>
      </c>
      <c r="D125" s="2" t="s">
        <v>164</v>
      </c>
      <c r="E125" s="2" t="s">
        <v>220</v>
      </c>
    </row>
    <row r="126" spans="1:5" x14ac:dyDescent="0.15">
      <c r="A126" s="2" t="s">
        <v>17</v>
      </c>
      <c r="B126" s="2" t="s">
        <v>282</v>
      </c>
      <c r="C126" s="2" t="s">
        <v>61</v>
      </c>
      <c r="D126" s="2" t="s">
        <v>103</v>
      </c>
      <c r="E126" s="2" t="s">
        <v>220</v>
      </c>
    </row>
    <row r="127" spans="1:5" x14ac:dyDescent="0.15">
      <c r="A127" s="2" t="s">
        <v>17</v>
      </c>
      <c r="B127" s="2" t="s">
        <v>282</v>
      </c>
      <c r="C127" s="2" t="s">
        <v>56</v>
      </c>
      <c r="D127" s="2" t="s">
        <v>106</v>
      </c>
      <c r="E127" s="2" t="s">
        <v>220</v>
      </c>
    </row>
    <row r="128" spans="1:5" x14ac:dyDescent="0.15">
      <c r="A128" s="2" t="s">
        <v>17</v>
      </c>
      <c r="B128" s="2" t="s">
        <v>282</v>
      </c>
      <c r="C128" s="2" t="s">
        <v>152</v>
      </c>
      <c r="D128" s="2" t="s">
        <v>108</v>
      </c>
      <c r="E128" s="2" t="s">
        <v>220</v>
      </c>
    </row>
    <row r="129" spans="1:5" x14ac:dyDescent="0.15">
      <c r="A129" s="2" t="s">
        <v>17</v>
      </c>
      <c r="B129" s="2" t="s">
        <v>282</v>
      </c>
      <c r="C129" s="2" t="s">
        <v>69</v>
      </c>
      <c r="D129" s="2" t="s">
        <v>111</v>
      </c>
      <c r="E129" s="2" t="s">
        <v>220</v>
      </c>
    </row>
    <row r="130" spans="1:5" x14ac:dyDescent="0.15">
      <c r="A130" s="2" t="s">
        <v>17</v>
      </c>
      <c r="B130" s="2" t="s">
        <v>282</v>
      </c>
      <c r="C130" s="2" t="s">
        <v>57</v>
      </c>
      <c r="D130" s="2" t="s">
        <v>116</v>
      </c>
      <c r="E130" s="2" t="s">
        <v>220</v>
      </c>
    </row>
    <row r="131" spans="1:5" x14ac:dyDescent="0.15">
      <c r="A131" s="2" t="s">
        <v>17</v>
      </c>
      <c r="B131" s="2" t="s">
        <v>282</v>
      </c>
      <c r="C131" s="2" t="s">
        <v>63</v>
      </c>
      <c r="D131" s="2" t="s">
        <v>119</v>
      </c>
      <c r="E131" s="2" t="s">
        <v>220</v>
      </c>
    </row>
    <row r="132" spans="1:5" x14ac:dyDescent="0.15">
      <c r="A132" s="2" t="s">
        <v>17</v>
      </c>
      <c r="B132" s="2" t="s">
        <v>282</v>
      </c>
      <c r="C132" s="2" t="s">
        <v>58</v>
      </c>
      <c r="D132" s="2" t="s">
        <v>125</v>
      </c>
      <c r="E132" s="2" t="s">
        <v>220</v>
      </c>
    </row>
    <row r="133" spans="1:5" x14ac:dyDescent="0.15">
      <c r="A133" s="2" t="s">
        <v>17</v>
      </c>
      <c r="B133" s="2" t="s">
        <v>282</v>
      </c>
      <c r="C133" s="2" t="s">
        <v>64</v>
      </c>
      <c r="D133" s="2" t="s">
        <v>129</v>
      </c>
      <c r="E133" s="2" t="s">
        <v>220</v>
      </c>
    </row>
    <row r="134" spans="1:5" x14ac:dyDescent="0.15">
      <c r="A134" s="2" t="s">
        <v>17</v>
      </c>
      <c r="B134" s="2" t="s">
        <v>282</v>
      </c>
      <c r="C134" s="2" t="s">
        <v>155</v>
      </c>
      <c r="D134" s="2" t="s">
        <v>178</v>
      </c>
      <c r="E134" s="2" t="s">
        <v>220</v>
      </c>
    </row>
    <row r="135" spans="1:5" x14ac:dyDescent="0.15">
      <c r="A135" s="2" t="s">
        <v>17</v>
      </c>
      <c r="B135" s="2" t="s">
        <v>282</v>
      </c>
      <c r="C135" s="2" t="s">
        <v>156</v>
      </c>
      <c r="D135" s="2" t="s">
        <v>182</v>
      </c>
      <c r="E135" s="2" t="s">
        <v>220</v>
      </c>
    </row>
    <row r="136" spans="1:5" x14ac:dyDescent="0.15">
      <c r="A136" s="2" t="s">
        <v>17</v>
      </c>
      <c r="B136" s="2" t="s">
        <v>282</v>
      </c>
      <c r="C136" s="2" t="s">
        <v>157</v>
      </c>
      <c r="D136" s="2" t="s">
        <v>183</v>
      </c>
      <c r="E136" s="2" t="s">
        <v>220</v>
      </c>
    </row>
    <row r="137" spans="1:5" x14ac:dyDescent="0.15">
      <c r="A137" s="2" t="s">
        <v>17</v>
      </c>
      <c r="B137" s="2" t="s">
        <v>282</v>
      </c>
      <c r="C137" s="2" t="s">
        <v>158</v>
      </c>
      <c r="D137" s="2" t="s">
        <v>187</v>
      </c>
      <c r="E137" s="2" t="s">
        <v>220</v>
      </c>
    </row>
    <row r="138" spans="1:5" x14ac:dyDescent="0.15">
      <c r="A138" s="2" t="s">
        <v>17</v>
      </c>
      <c r="B138" s="2" t="s">
        <v>282</v>
      </c>
      <c r="C138" s="2" t="s">
        <v>227</v>
      </c>
      <c r="D138" s="2" t="s">
        <v>235</v>
      </c>
      <c r="E138" s="2" t="s">
        <v>220</v>
      </c>
    </row>
    <row r="139" spans="1:5" x14ac:dyDescent="0.15">
      <c r="A139" s="2" t="s">
        <v>17</v>
      </c>
      <c r="B139" s="2" t="s">
        <v>282</v>
      </c>
      <c r="C139" s="2" t="s">
        <v>226</v>
      </c>
      <c r="D139" s="2" t="s">
        <v>239</v>
      </c>
      <c r="E139" s="2" t="s">
        <v>220</v>
      </c>
    </row>
    <row r="140" spans="1:5" ht="409.5" x14ac:dyDescent="0.15">
      <c r="A140" s="2" t="s">
        <v>17</v>
      </c>
      <c r="B140" s="2" t="s">
        <v>294</v>
      </c>
      <c r="C140" s="2" t="s">
        <v>59</v>
      </c>
      <c r="D140" s="2" t="s">
        <v>262</v>
      </c>
      <c r="E140" s="3" t="s">
        <v>146</v>
      </c>
    </row>
    <row r="141" spans="1:5" ht="409.5" x14ac:dyDescent="0.15">
      <c r="A141" s="2" t="s">
        <v>17</v>
      </c>
      <c r="B141" s="2" t="s">
        <v>295</v>
      </c>
      <c r="C141" s="2" t="s">
        <v>59</v>
      </c>
      <c r="D141" s="2" t="s">
        <v>262</v>
      </c>
      <c r="E141" s="3" t="s">
        <v>146</v>
      </c>
    </row>
    <row r="142" spans="1:5" ht="409.5" x14ac:dyDescent="0.15">
      <c r="A142" s="2" t="s">
        <v>17</v>
      </c>
      <c r="B142" s="2" t="s">
        <v>296</v>
      </c>
      <c r="C142" s="2" t="s">
        <v>59</v>
      </c>
      <c r="D142" s="2" t="s">
        <v>262</v>
      </c>
      <c r="E142" s="3" t="s">
        <v>146</v>
      </c>
    </row>
    <row r="143" spans="1:5" ht="409.5" x14ac:dyDescent="0.15">
      <c r="A143" s="2" t="s">
        <v>17</v>
      </c>
      <c r="B143" s="2" t="s">
        <v>297</v>
      </c>
      <c r="C143" s="2" t="s">
        <v>59</v>
      </c>
      <c r="D143" s="2" t="s">
        <v>262</v>
      </c>
      <c r="E143" s="3" t="s">
        <v>146</v>
      </c>
    </row>
    <row r="144" spans="1:5" ht="409.5" x14ac:dyDescent="0.15">
      <c r="A144" s="2" t="s">
        <v>17</v>
      </c>
      <c r="B144" s="2" t="s">
        <v>300</v>
      </c>
      <c r="C144" s="2" t="s">
        <v>59</v>
      </c>
      <c r="D144" s="2" t="s">
        <v>262</v>
      </c>
      <c r="E144" s="3" t="s">
        <v>146</v>
      </c>
    </row>
    <row r="145" spans="1:5" ht="409.5" x14ac:dyDescent="0.15">
      <c r="A145" s="2" t="s">
        <v>17</v>
      </c>
      <c r="B145" s="2" t="s">
        <v>300</v>
      </c>
      <c r="C145" s="2" t="s">
        <v>159</v>
      </c>
      <c r="D145" s="2" t="s">
        <v>173</v>
      </c>
      <c r="E145" s="3" t="s">
        <v>301</v>
      </c>
    </row>
    <row r="146" spans="1:5" ht="409.5" x14ac:dyDescent="0.15">
      <c r="A146" s="2" t="s">
        <v>17</v>
      </c>
      <c r="B146" s="2" t="s">
        <v>300</v>
      </c>
      <c r="C146" s="2" t="s">
        <v>155</v>
      </c>
      <c r="D146" s="2" t="s">
        <v>276</v>
      </c>
      <c r="E146" s="3" t="s">
        <v>302</v>
      </c>
    </row>
    <row r="147" spans="1:5" ht="409.5" x14ac:dyDescent="0.15">
      <c r="A147" s="2" t="s">
        <v>17</v>
      </c>
      <c r="B147" s="2" t="s">
        <v>300</v>
      </c>
      <c r="C147" s="2" t="s">
        <v>156</v>
      </c>
      <c r="D147" s="2" t="s">
        <v>277</v>
      </c>
      <c r="E147" s="3" t="s">
        <v>303</v>
      </c>
    </row>
    <row r="148" spans="1:5" ht="409.5" x14ac:dyDescent="0.15">
      <c r="A148" s="2" t="s">
        <v>17</v>
      </c>
      <c r="B148" s="2" t="s">
        <v>300</v>
      </c>
      <c r="C148" s="2" t="s">
        <v>157</v>
      </c>
      <c r="D148" s="2" t="s">
        <v>278</v>
      </c>
      <c r="E148" s="3" t="s">
        <v>304</v>
      </c>
    </row>
    <row r="149" spans="1:5" ht="409.5" x14ac:dyDescent="0.15">
      <c r="A149" s="2" t="s">
        <v>17</v>
      </c>
      <c r="B149" s="2" t="s">
        <v>300</v>
      </c>
      <c r="C149" s="2" t="s">
        <v>158</v>
      </c>
      <c r="D149" s="2" t="s">
        <v>279</v>
      </c>
      <c r="E149" s="3" t="s">
        <v>305</v>
      </c>
    </row>
    <row r="150" spans="1:5" ht="229.5" x14ac:dyDescent="0.15">
      <c r="A150" s="2" t="s">
        <v>17</v>
      </c>
      <c r="B150" s="2" t="s">
        <v>300</v>
      </c>
      <c r="C150" s="2" t="s">
        <v>227</v>
      </c>
      <c r="D150" s="2" t="s">
        <v>298</v>
      </c>
      <c r="E150" s="3" t="s">
        <v>306</v>
      </c>
    </row>
    <row r="151" spans="1:5" ht="175.5" x14ac:dyDescent="0.15">
      <c r="A151" s="2" t="s">
        <v>17</v>
      </c>
      <c r="B151" s="2" t="s">
        <v>300</v>
      </c>
      <c r="C151" s="2" t="s">
        <v>226</v>
      </c>
      <c r="D151" s="2" t="s">
        <v>299</v>
      </c>
      <c r="E151" s="3" t="s">
        <v>247</v>
      </c>
    </row>
    <row r="152" spans="1:5" x14ac:dyDescent="0.15">
      <c r="A152" s="2" t="s">
        <v>17</v>
      </c>
      <c r="B152" s="2" t="s">
        <v>300</v>
      </c>
      <c r="C152" s="2" t="s">
        <v>227</v>
      </c>
      <c r="D152" s="2" t="s">
        <v>280</v>
      </c>
      <c r="E152" s="2" t="s">
        <v>220</v>
      </c>
    </row>
    <row r="153" spans="1:5" x14ac:dyDescent="0.15">
      <c r="A153" s="2" t="s">
        <v>17</v>
      </c>
      <c r="B153" s="2" t="s">
        <v>300</v>
      </c>
      <c r="C153" s="2" t="s">
        <v>226</v>
      </c>
      <c r="D153" s="2" t="s">
        <v>281</v>
      </c>
      <c r="E153" s="2" t="s">
        <v>220</v>
      </c>
    </row>
    <row r="154" spans="1:5" ht="216" x14ac:dyDescent="0.15">
      <c r="A154" s="2" t="s">
        <v>17</v>
      </c>
      <c r="B154" s="2" t="s">
        <v>325</v>
      </c>
      <c r="C154" s="2" t="s">
        <v>53</v>
      </c>
      <c r="D154" s="2" t="s">
        <v>307</v>
      </c>
      <c r="E154" s="3" t="s">
        <v>283</v>
      </c>
    </row>
    <row r="155" spans="1:5" ht="409.5" x14ac:dyDescent="0.15">
      <c r="A155" s="2" t="s">
        <v>17</v>
      </c>
      <c r="B155" s="2" t="s">
        <v>325</v>
      </c>
      <c r="C155" s="2" t="s">
        <v>59</v>
      </c>
      <c r="D155" s="2" t="s">
        <v>308</v>
      </c>
      <c r="E155" s="3" t="s">
        <v>132</v>
      </c>
    </row>
    <row r="156" spans="1:5" ht="216" x14ac:dyDescent="0.15">
      <c r="A156" s="2" t="s">
        <v>17</v>
      </c>
      <c r="B156" s="2" t="s">
        <v>325</v>
      </c>
      <c r="C156" s="2" t="s">
        <v>54</v>
      </c>
      <c r="D156" s="2" t="s">
        <v>309</v>
      </c>
      <c r="E156" s="3" t="s">
        <v>284</v>
      </c>
    </row>
    <row r="157" spans="1:5" ht="216" x14ac:dyDescent="0.15">
      <c r="A157" s="2" t="s">
        <v>17</v>
      </c>
      <c r="B157" s="2" t="s">
        <v>325</v>
      </c>
      <c r="C157" s="2" t="s">
        <v>60</v>
      </c>
      <c r="D157" s="2" t="s">
        <v>310</v>
      </c>
      <c r="E157" s="3" t="s">
        <v>285</v>
      </c>
    </row>
    <row r="158" spans="1:5" ht="216" x14ac:dyDescent="0.15">
      <c r="A158" s="2" t="s">
        <v>17</v>
      </c>
      <c r="B158" s="2" t="s">
        <v>325</v>
      </c>
      <c r="C158" s="2" t="s">
        <v>55</v>
      </c>
      <c r="D158" s="2" t="s">
        <v>311</v>
      </c>
      <c r="E158" s="3" t="s">
        <v>286</v>
      </c>
    </row>
    <row r="159" spans="1:5" ht="162" x14ac:dyDescent="0.15">
      <c r="A159" s="2" t="s">
        <v>17</v>
      </c>
      <c r="B159" s="2" t="s">
        <v>325</v>
      </c>
      <c r="C159" s="2" t="s">
        <v>154</v>
      </c>
      <c r="D159" s="2" t="s">
        <v>312</v>
      </c>
      <c r="E159" s="3" t="s">
        <v>189</v>
      </c>
    </row>
    <row r="160" spans="1:5" ht="175.5" x14ac:dyDescent="0.15">
      <c r="A160" s="2" t="s">
        <v>17</v>
      </c>
      <c r="B160" s="2" t="s">
        <v>325</v>
      </c>
      <c r="C160" s="2" t="s">
        <v>61</v>
      </c>
      <c r="D160" s="2" t="s">
        <v>313</v>
      </c>
      <c r="E160" s="3" t="s">
        <v>136</v>
      </c>
    </row>
    <row r="161" spans="1:5" ht="216" x14ac:dyDescent="0.15">
      <c r="A161" s="2" t="s">
        <v>17</v>
      </c>
      <c r="B161" s="2" t="s">
        <v>325</v>
      </c>
      <c r="C161" s="2" t="s">
        <v>56</v>
      </c>
      <c r="D161" s="2" t="s">
        <v>314</v>
      </c>
      <c r="E161" s="3" t="s">
        <v>285</v>
      </c>
    </row>
    <row r="162" spans="1:5" ht="175.5" x14ac:dyDescent="0.15">
      <c r="A162" s="2" t="s">
        <v>17</v>
      </c>
      <c r="B162" s="2" t="s">
        <v>325</v>
      </c>
      <c r="C162" s="2" t="s">
        <v>152</v>
      </c>
      <c r="D162" s="2" t="s">
        <v>315</v>
      </c>
      <c r="E162" s="3" t="s">
        <v>326</v>
      </c>
    </row>
    <row r="163" spans="1:5" ht="175.5" x14ac:dyDescent="0.15">
      <c r="A163" s="2" t="s">
        <v>17</v>
      </c>
      <c r="B163" s="2" t="s">
        <v>325</v>
      </c>
      <c r="C163" s="2" t="s">
        <v>69</v>
      </c>
      <c r="D163" s="2" t="s">
        <v>316</v>
      </c>
      <c r="E163" s="3" t="s">
        <v>326</v>
      </c>
    </row>
    <row r="164" spans="1:5" ht="216" x14ac:dyDescent="0.15">
      <c r="A164" s="2" t="s">
        <v>17</v>
      </c>
      <c r="B164" s="2" t="s">
        <v>325</v>
      </c>
      <c r="C164" s="2" t="s">
        <v>57</v>
      </c>
      <c r="D164" s="2" t="s">
        <v>317</v>
      </c>
      <c r="E164" s="3" t="s">
        <v>285</v>
      </c>
    </row>
    <row r="165" spans="1:5" ht="175.5" x14ac:dyDescent="0.15">
      <c r="A165" s="2" t="s">
        <v>17</v>
      </c>
      <c r="B165" s="2" t="s">
        <v>325</v>
      </c>
      <c r="C165" s="2" t="s">
        <v>63</v>
      </c>
      <c r="D165" s="2" t="s">
        <v>318</v>
      </c>
      <c r="E165" s="3" t="s">
        <v>326</v>
      </c>
    </row>
    <row r="166" spans="1:5" ht="202.5" x14ac:dyDescent="0.15">
      <c r="A166" s="2" t="s">
        <v>17</v>
      </c>
      <c r="B166" s="2" t="s">
        <v>325</v>
      </c>
      <c r="C166" s="2" t="s">
        <v>58</v>
      </c>
      <c r="D166" s="2" t="s">
        <v>319</v>
      </c>
      <c r="E166" s="3" t="s">
        <v>288</v>
      </c>
    </row>
    <row r="167" spans="1:5" ht="189" x14ac:dyDescent="0.15">
      <c r="A167" s="2" t="s">
        <v>17</v>
      </c>
      <c r="B167" s="2" t="s">
        <v>325</v>
      </c>
      <c r="C167" s="2" t="s">
        <v>64</v>
      </c>
      <c r="D167" s="2" t="s">
        <v>320</v>
      </c>
      <c r="E167" s="3" t="s">
        <v>143</v>
      </c>
    </row>
    <row r="168" spans="1:5" ht="409.5" x14ac:dyDescent="0.15">
      <c r="A168" s="2" t="s">
        <v>17</v>
      </c>
      <c r="B168" s="2" t="s">
        <v>325</v>
      </c>
      <c r="C168" s="2" t="s">
        <v>155</v>
      </c>
      <c r="D168" s="2" t="s">
        <v>321</v>
      </c>
      <c r="E168" s="3" t="s">
        <v>327</v>
      </c>
    </row>
    <row r="169" spans="1:5" ht="409.5" x14ac:dyDescent="0.15">
      <c r="A169" s="2" t="s">
        <v>17</v>
      </c>
      <c r="B169" s="2" t="s">
        <v>325</v>
      </c>
      <c r="C169" s="2" t="s">
        <v>156</v>
      </c>
      <c r="D169" s="2" t="s">
        <v>183</v>
      </c>
      <c r="E169" s="3" t="s">
        <v>328</v>
      </c>
    </row>
    <row r="170" spans="1:5" ht="409.5" x14ac:dyDescent="0.15">
      <c r="A170" s="2" t="s">
        <v>17</v>
      </c>
      <c r="B170" s="2" t="s">
        <v>325</v>
      </c>
      <c r="C170" s="2" t="s">
        <v>157</v>
      </c>
      <c r="D170" s="2" t="s">
        <v>187</v>
      </c>
      <c r="E170" s="3" t="s">
        <v>329</v>
      </c>
    </row>
    <row r="171" spans="1:5" ht="409.5" x14ac:dyDescent="0.15">
      <c r="A171" s="2" t="s">
        <v>17</v>
      </c>
      <c r="B171" s="2" t="s">
        <v>325</v>
      </c>
      <c r="C171" s="2" t="s">
        <v>158</v>
      </c>
      <c r="D171" s="2" t="s">
        <v>322</v>
      </c>
      <c r="E171" s="3" t="s">
        <v>330</v>
      </c>
    </row>
    <row r="172" spans="1:5" ht="229.5" x14ac:dyDescent="0.15">
      <c r="A172" s="2" t="s">
        <v>17</v>
      </c>
      <c r="B172" s="2" t="s">
        <v>325</v>
      </c>
      <c r="C172" s="2" t="s">
        <v>227</v>
      </c>
      <c r="D172" s="2" t="s">
        <v>323</v>
      </c>
      <c r="E172" s="3" t="s">
        <v>331</v>
      </c>
    </row>
    <row r="173" spans="1:5" ht="175.5" x14ac:dyDescent="0.15">
      <c r="A173" s="2" t="s">
        <v>17</v>
      </c>
      <c r="B173" s="2" t="s">
        <v>325</v>
      </c>
      <c r="C173" s="2" t="s">
        <v>226</v>
      </c>
      <c r="D173" s="2" t="s">
        <v>324</v>
      </c>
      <c r="E173" s="3" t="s">
        <v>247</v>
      </c>
    </row>
    <row r="174" spans="1:5" x14ac:dyDescent="0.15">
      <c r="A174" s="2" t="s">
        <v>17</v>
      </c>
      <c r="B174" s="2" t="s">
        <v>325</v>
      </c>
      <c r="C174" s="2" t="s">
        <v>53</v>
      </c>
      <c r="D174" s="2" t="s">
        <v>261</v>
      </c>
      <c r="E174" s="2" t="s">
        <v>220</v>
      </c>
    </row>
    <row r="175" spans="1:5" x14ac:dyDescent="0.15">
      <c r="A175" s="2" t="s">
        <v>17</v>
      </c>
      <c r="B175" s="2" t="s">
        <v>325</v>
      </c>
      <c r="C175" s="2" t="s">
        <v>59</v>
      </c>
      <c r="D175" s="2" t="s">
        <v>262</v>
      </c>
      <c r="E175" s="2" t="s">
        <v>220</v>
      </c>
    </row>
    <row r="176" spans="1:5" x14ac:dyDescent="0.15">
      <c r="A176" s="2" t="s">
        <v>17</v>
      </c>
      <c r="B176" s="2" t="s">
        <v>325</v>
      </c>
      <c r="C176" s="2" t="s">
        <v>54</v>
      </c>
      <c r="D176" s="2" t="s">
        <v>263</v>
      </c>
      <c r="E176" s="2" t="s">
        <v>220</v>
      </c>
    </row>
    <row r="177" spans="1:5" x14ac:dyDescent="0.15">
      <c r="A177" s="2" t="s">
        <v>17</v>
      </c>
      <c r="B177" s="2" t="s">
        <v>325</v>
      </c>
      <c r="C177" s="2" t="s">
        <v>60</v>
      </c>
      <c r="D177" s="2" t="s">
        <v>265</v>
      </c>
      <c r="E177" s="2" t="s">
        <v>220</v>
      </c>
    </row>
    <row r="178" spans="1:5" x14ac:dyDescent="0.15">
      <c r="A178" s="2" t="s">
        <v>17</v>
      </c>
      <c r="B178" s="2" t="s">
        <v>325</v>
      </c>
      <c r="C178" s="2" t="s">
        <v>55</v>
      </c>
      <c r="D178" s="2" t="s">
        <v>266</v>
      </c>
      <c r="E178" s="2" t="s">
        <v>220</v>
      </c>
    </row>
    <row r="179" spans="1:5" x14ac:dyDescent="0.15">
      <c r="A179" s="2" t="s">
        <v>17</v>
      </c>
      <c r="B179" s="2" t="s">
        <v>325</v>
      </c>
      <c r="C179" s="2" t="s">
        <v>154</v>
      </c>
      <c r="D179" s="2" t="s">
        <v>267</v>
      </c>
      <c r="E179" s="2" t="s">
        <v>220</v>
      </c>
    </row>
    <row r="180" spans="1:5" x14ac:dyDescent="0.15">
      <c r="A180" s="2" t="s">
        <v>17</v>
      </c>
      <c r="B180" s="2" t="s">
        <v>325</v>
      </c>
      <c r="C180" s="2" t="s">
        <v>61</v>
      </c>
      <c r="D180" s="2" t="s">
        <v>268</v>
      </c>
      <c r="E180" s="2" t="s">
        <v>220</v>
      </c>
    </row>
    <row r="181" spans="1:5" x14ac:dyDescent="0.15">
      <c r="A181" s="2" t="s">
        <v>17</v>
      </c>
      <c r="B181" s="2" t="s">
        <v>325</v>
      </c>
      <c r="C181" s="2" t="s">
        <v>56</v>
      </c>
      <c r="D181" s="2" t="s">
        <v>269</v>
      </c>
      <c r="E181" s="2" t="s">
        <v>220</v>
      </c>
    </row>
    <row r="182" spans="1:5" x14ac:dyDescent="0.15">
      <c r="A182" s="2" t="s">
        <v>17</v>
      </c>
      <c r="B182" s="2" t="s">
        <v>325</v>
      </c>
      <c r="C182" s="2" t="s">
        <v>152</v>
      </c>
      <c r="D182" s="2" t="s">
        <v>270</v>
      </c>
      <c r="E182" s="2" t="s">
        <v>220</v>
      </c>
    </row>
    <row r="183" spans="1:5" x14ac:dyDescent="0.15">
      <c r="A183" s="2" t="s">
        <v>17</v>
      </c>
      <c r="B183" s="2" t="s">
        <v>325</v>
      </c>
      <c r="C183" s="2" t="s">
        <v>69</v>
      </c>
      <c r="D183" s="2" t="s">
        <v>271</v>
      </c>
      <c r="E183" s="2" t="s">
        <v>220</v>
      </c>
    </row>
    <row r="184" spans="1:5" x14ac:dyDescent="0.15">
      <c r="A184" s="2" t="s">
        <v>17</v>
      </c>
      <c r="B184" s="2" t="s">
        <v>325</v>
      </c>
      <c r="C184" s="2" t="s">
        <v>57</v>
      </c>
      <c r="D184" s="2" t="s">
        <v>272</v>
      </c>
      <c r="E184" s="2" t="s">
        <v>220</v>
      </c>
    </row>
    <row r="185" spans="1:5" x14ac:dyDescent="0.15">
      <c r="A185" s="2" t="s">
        <v>17</v>
      </c>
      <c r="B185" s="2" t="s">
        <v>325</v>
      </c>
      <c r="C185" s="2" t="s">
        <v>63</v>
      </c>
      <c r="D185" s="2" t="s">
        <v>273</v>
      </c>
      <c r="E185" s="2" t="s">
        <v>220</v>
      </c>
    </row>
    <row r="186" spans="1:5" x14ac:dyDescent="0.15">
      <c r="A186" s="2" t="s">
        <v>17</v>
      </c>
      <c r="B186" s="2" t="s">
        <v>325</v>
      </c>
      <c r="C186" s="2" t="s">
        <v>58</v>
      </c>
      <c r="D186" s="2" t="s">
        <v>274</v>
      </c>
      <c r="E186" s="2" t="s">
        <v>220</v>
      </c>
    </row>
    <row r="187" spans="1:5" x14ac:dyDescent="0.15">
      <c r="A187" s="2" t="s">
        <v>17</v>
      </c>
      <c r="B187" s="2" t="s">
        <v>325</v>
      </c>
      <c r="C187" s="2" t="s">
        <v>64</v>
      </c>
      <c r="D187" s="2" t="s">
        <v>275</v>
      </c>
      <c r="E187" s="2" t="s">
        <v>220</v>
      </c>
    </row>
    <row r="188" spans="1:5" x14ac:dyDescent="0.15">
      <c r="A188" s="2" t="s">
        <v>17</v>
      </c>
      <c r="B188" s="2" t="s">
        <v>325</v>
      </c>
      <c r="C188" s="2" t="s">
        <v>155</v>
      </c>
      <c r="D188" s="2" t="s">
        <v>276</v>
      </c>
      <c r="E188" s="2" t="s">
        <v>220</v>
      </c>
    </row>
    <row r="189" spans="1:5" x14ac:dyDescent="0.15">
      <c r="A189" s="2" t="s">
        <v>17</v>
      </c>
      <c r="B189" s="2" t="s">
        <v>325</v>
      </c>
      <c r="C189" s="2" t="s">
        <v>156</v>
      </c>
      <c r="D189" s="2" t="s">
        <v>277</v>
      </c>
      <c r="E189" s="2" t="s">
        <v>220</v>
      </c>
    </row>
    <row r="190" spans="1:5" x14ac:dyDescent="0.15">
      <c r="A190" s="2" t="s">
        <v>17</v>
      </c>
      <c r="B190" s="2" t="s">
        <v>325</v>
      </c>
      <c r="C190" s="2" t="s">
        <v>157</v>
      </c>
      <c r="D190" s="2" t="s">
        <v>278</v>
      </c>
      <c r="E190" s="2" t="s">
        <v>220</v>
      </c>
    </row>
    <row r="191" spans="1:5" x14ac:dyDescent="0.15">
      <c r="A191" s="2" t="s">
        <v>17</v>
      </c>
      <c r="B191" s="2" t="s">
        <v>325</v>
      </c>
      <c r="C191" s="2" t="s">
        <v>158</v>
      </c>
      <c r="D191" s="2" t="s">
        <v>279</v>
      </c>
      <c r="E191" s="2" t="s">
        <v>220</v>
      </c>
    </row>
    <row r="192" spans="1:5" x14ac:dyDescent="0.15">
      <c r="A192" s="2" t="s">
        <v>17</v>
      </c>
      <c r="B192" s="2" t="s">
        <v>325</v>
      </c>
      <c r="C192" s="2" t="s">
        <v>227</v>
      </c>
      <c r="D192" s="2" t="s">
        <v>298</v>
      </c>
      <c r="E192" s="2" t="s">
        <v>220</v>
      </c>
    </row>
    <row r="193" spans="1:5" x14ac:dyDescent="0.15">
      <c r="A193" s="2" t="s">
        <v>17</v>
      </c>
      <c r="B193" s="2" t="s">
        <v>325</v>
      </c>
      <c r="C193" s="2" t="s">
        <v>226</v>
      </c>
      <c r="D193" s="2" t="s">
        <v>299</v>
      </c>
      <c r="E193" s="2" t="s">
        <v>220</v>
      </c>
    </row>
    <row r="194" spans="1:5" ht="189" x14ac:dyDescent="0.15">
      <c r="A194" s="2" t="s">
        <v>17</v>
      </c>
      <c r="B194" s="2" t="s">
        <v>333</v>
      </c>
      <c r="C194" s="2" t="s">
        <v>332</v>
      </c>
      <c r="D194" s="2" t="s">
        <v>198</v>
      </c>
      <c r="E194" s="3" t="s">
        <v>199</v>
      </c>
    </row>
    <row r="195" spans="1:5" x14ac:dyDescent="0.15">
      <c r="A195" s="2" t="s">
        <v>17</v>
      </c>
      <c r="B195" s="2" t="s">
        <v>333</v>
      </c>
      <c r="C195" s="2" t="s">
        <v>219</v>
      </c>
      <c r="D195" s="2" t="s">
        <v>198</v>
      </c>
      <c r="E195" s="2" t="s">
        <v>220</v>
      </c>
    </row>
    <row r="196" spans="1:5" ht="409.5" x14ac:dyDescent="0.15">
      <c r="A196" s="2" t="s">
        <v>17</v>
      </c>
      <c r="B196" s="2" t="s">
        <v>336</v>
      </c>
      <c r="C196" s="2" t="s">
        <v>59</v>
      </c>
      <c r="D196" s="2" t="s">
        <v>308</v>
      </c>
      <c r="E196" s="3" t="s">
        <v>146</v>
      </c>
    </row>
    <row r="197" spans="1:5" ht="162" x14ac:dyDescent="0.15">
      <c r="A197" s="2" t="s">
        <v>17</v>
      </c>
      <c r="B197" s="2" t="s">
        <v>336</v>
      </c>
      <c r="C197" s="2" t="s">
        <v>334</v>
      </c>
      <c r="D197" s="2" t="s">
        <v>335</v>
      </c>
      <c r="E197" s="3" t="s">
        <v>337</v>
      </c>
    </row>
    <row r="198" spans="1:5" ht="409.5" x14ac:dyDescent="0.15">
      <c r="A198" s="2" t="s">
        <v>17</v>
      </c>
      <c r="B198" s="2" t="s">
        <v>338</v>
      </c>
      <c r="C198" s="2" t="s">
        <v>59</v>
      </c>
      <c r="D198" s="2" t="s">
        <v>308</v>
      </c>
      <c r="E198" s="3" t="s">
        <v>146</v>
      </c>
    </row>
    <row r="199" spans="1:5" ht="216" x14ac:dyDescent="0.15">
      <c r="A199" s="2" t="s">
        <v>17</v>
      </c>
      <c r="B199" s="2" t="s">
        <v>356</v>
      </c>
      <c r="C199" s="2" t="s">
        <v>53</v>
      </c>
      <c r="D199" s="2" t="s">
        <v>339</v>
      </c>
      <c r="E199" s="3" t="s">
        <v>283</v>
      </c>
    </row>
    <row r="200" spans="1:5" ht="409.5" x14ac:dyDescent="0.15">
      <c r="A200" s="2" t="s">
        <v>17</v>
      </c>
      <c r="B200" s="2" t="s">
        <v>356</v>
      </c>
      <c r="C200" s="2" t="s">
        <v>59</v>
      </c>
      <c r="D200" s="2" t="s">
        <v>340</v>
      </c>
      <c r="E200" s="3" t="s">
        <v>132</v>
      </c>
    </row>
    <row r="201" spans="1:5" ht="216" x14ac:dyDescent="0.15">
      <c r="A201" s="2" t="s">
        <v>17</v>
      </c>
      <c r="B201" s="2" t="s">
        <v>356</v>
      </c>
      <c r="C201" s="2" t="s">
        <v>54</v>
      </c>
      <c r="D201" s="2" t="s">
        <v>341</v>
      </c>
      <c r="E201" s="3" t="s">
        <v>284</v>
      </c>
    </row>
    <row r="202" spans="1:5" ht="216" x14ac:dyDescent="0.15">
      <c r="A202" s="2" t="s">
        <v>17</v>
      </c>
      <c r="B202" s="2" t="s">
        <v>356</v>
      </c>
      <c r="C202" s="2" t="s">
        <v>60</v>
      </c>
      <c r="D202" s="2" t="s">
        <v>342</v>
      </c>
      <c r="E202" s="3" t="s">
        <v>285</v>
      </c>
    </row>
    <row r="203" spans="1:5" ht="216" x14ac:dyDescent="0.15">
      <c r="A203" s="2" t="s">
        <v>17</v>
      </c>
      <c r="B203" s="2" t="s">
        <v>356</v>
      </c>
      <c r="C203" s="2" t="s">
        <v>55</v>
      </c>
      <c r="D203" s="2" t="s">
        <v>343</v>
      </c>
      <c r="E203" s="3" t="s">
        <v>286</v>
      </c>
    </row>
    <row r="204" spans="1:5" ht="162" x14ac:dyDescent="0.15">
      <c r="A204" s="2" t="s">
        <v>17</v>
      </c>
      <c r="B204" s="2" t="s">
        <v>356</v>
      </c>
      <c r="C204" s="2" t="s">
        <v>154</v>
      </c>
      <c r="D204" s="2" t="s">
        <v>344</v>
      </c>
      <c r="E204" s="3" t="s">
        <v>189</v>
      </c>
    </row>
    <row r="205" spans="1:5" ht="175.5" x14ac:dyDescent="0.15">
      <c r="A205" s="2" t="s">
        <v>17</v>
      </c>
      <c r="B205" s="2" t="s">
        <v>356</v>
      </c>
      <c r="C205" s="2" t="s">
        <v>61</v>
      </c>
      <c r="D205" s="2" t="s">
        <v>345</v>
      </c>
      <c r="E205" s="3" t="s">
        <v>136</v>
      </c>
    </row>
    <row r="206" spans="1:5" ht="216" x14ac:dyDescent="0.15">
      <c r="A206" s="2" t="s">
        <v>17</v>
      </c>
      <c r="B206" s="2" t="s">
        <v>356</v>
      </c>
      <c r="C206" s="2" t="s">
        <v>56</v>
      </c>
      <c r="D206" s="2" t="s">
        <v>346</v>
      </c>
      <c r="E206" s="3" t="s">
        <v>285</v>
      </c>
    </row>
    <row r="207" spans="1:5" ht="175.5" x14ac:dyDescent="0.15">
      <c r="A207" s="2" t="s">
        <v>17</v>
      </c>
      <c r="B207" s="2" t="s">
        <v>356</v>
      </c>
      <c r="C207" s="2" t="s">
        <v>152</v>
      </c>
      <c r="D207" s="2" t="s">
        <v>111</v>
      </c>
      <c r="E207" s="3" t="s">
        <v>357</v>
      </c>
    </row>
    <row r="208" spans="1:5" ht="175.5" x14ac:dyDescent="0.15">
      <c r="A208" s="2" t="s">
        <v>17</v>
      </c>
      <c r="B208" s="2" t="s">
        <v>356</v>
      </c>
      <c r="C208" s="2" t="s">
        <v>69</v>
      </c>
      <c r="D208" s="2" t="s">
        <v>347</v>
      </c>
      <c r="E208" s="3" t="s">
        <v>357</v>
      </c>
    </row>
    <row r="209" spans="1:5" ht="216" x14ac:dyDescent="0.15">
      <c r="A209" s="2" t="s">
        <v>17</v>
      </c>
      <c r="B209" s="2" t="s">
        <v>356</v>
      </c>
      <c r="C209" s="2" t="s">
        <v>57</v>
      </c>
      <c r="D209" s="2" t="s">
        <v>348</v>
      </c>
      <c r="E209" s="3" t="s">
        <v>285</v>
      </c>
    </row>
    <row r="210" spans="1:5" ht="175.5" x14ac:dyDescent="0.15">
      <c r="A210" s="2" t="s">
        <v>17</v>
      </c>
      <c r="B210" s="2" t="s">
        <v>356</v>
      </c>
      <c r="C210" s="2" t="s">
        <v>63</v>
      </c>
      <c r="D210" s="2" t="s">
        <v>349</v>
      </c>
      <c r="E210" s="3" t="s">
        <v>357</v>
      </c>
    </row>
    <row r="211" spans="1:5" ht="202.5" x14ac:dyDescent="0.15">
      <c r="A211" s="2" t="s">
        <v>17</v>
      </c>
      <c r="B211" s="2" t="s">
        <v>356</v>
      </c>
      <c r="C211" s="2" t="s">
        <v>58</v>
      </c>
      <c r="D211" s="2" t="s">
        <v>350</v>
      </c>
      <c r="E211" s="3" t="s">
        <v>288</v>
      </c>
    </row>
    <row r="212" spans="1:5" ht="189" x14ac:dyDescent="0.15">
      <c r="A212" s="2" t="s">
        <v>17</v>
      </c>
      <c r="B212" s="2" t="s">
        <v>356</v>
      </c>
      <c r="C212" s="2" t="s">
        <v>64</v>
      </c>
      <c r="D212" s="2" t="s">
        <v>351</v>
      </c>
      <c r="E212" s="3" t="s">
        <v>143</v>
      </c>
    </row>
    <row r="213" spans="1:5" ht="409.5" x14ac:dyDescent="0.15">
      <c r="A213" s="2" t="s">
        <v>17</v>
      </c>
      <c r="B213" s="2" t="s">
        <v>356</v>
      </c>
      <c r="C213" s="2" t="s">
        <v>155</v>
      </c>
      <c r="D213" s="2" t="s">
        <v>352</v>
      </c>
      <c r="E213" s="3" t="s">
        <v>358</v>
      </c>
    </row>
    <row r="214" spans="1:5" ht="409.5" x14ac:dyDescent="0.15">
      <c r="A214" s="2" t="s">
        <v>17</v>
      </c>
      <c r="B214" s="2" t="s">
        <v>356</v>
      </c>
      <c r="C214" s="2" t="s">
        <v>156</v>
      </c>
      <c r="D214" s="2" t="s">
        <v>278</v>
      </c>
      <c r="E214" s="3" t="s">
        <v>359</v>
      </c>
    </row>
    <row r="215" spans="1:5" ht="409.5" x14ac:dyDescent="0.15">
      <c r="A215" s="2" t="s">
        <v>17</v>
      </c>
      <c r="B215" s="2" t="s">
        <v>356</v>
      </c>
      <c r="C215" s="2" t="s">
        <v>157</v>
      </c>
      <c r="D215" s="2" t="s">
        <v>279</v>
      </c>
      <c r="E215" s="3" t="s">
        <v>360</v>
      </c>
    </row>
    <row r="216" spans="1:5" ht="409.5" x14ac:dyDescent="0.15">
      <c r="A216" s="2" t="s">
        <v>17</v>
      </c>
      <c r="B216" s="2" t="s">
        <v>356</v>
      </c>
      <c r="C216" s="2" t="s">
        <v>158</v>
      </c>
      <c r="D216" s="2" t="s">
        <v>353</v>
      </c>
      <c r="E216" s="3" t="s">
        <v>361</v>
      </c>
    </row>
    <row r="217" spans="1:5" ht="229.5" x14ac:dyDescent="0.15">
      <c r="A217" s="2" t="s">
        <v>17</v>
      </c>
      <c r="B217" s="2" t="s">
        <v>356</v>
      </c>
      <c r="C217" s="2" t="s">
        <v>227</v>
      </c>
      <c r="D217" s="2" t="s">
        <v>354</v>
      </c>
      <c r="E217" s="3" t="s">
        <v>362</v>
      </c>
    </row>
    <row r="218" spans="1:5" ht="175.5" x14ac:dyDescent="0.15">
      <c r="A218" s="2" t="s">
        <v>17</v>
      </c>
      <c r="B218" s="2" t="s">
        <v>356</v>
      </c>
      <c r="C218" s="2" t="s">
        <v>226</v>
      </c>
      <c r="D218" s="2" t="s">
        <v>355</v>
      </c>
      <c r="E218" s="3" t="s">
        <v>247</v>
      </c>
    </row>
    <row r="219" spans="1:5" x14ac:dyDescent="0.15">
      <c r="A219" s="2" t="s">
        <v>17</v>
      </c>
      <c r="B219" s="2" t="s">
        <v>356</v>
      </c>
      <c r="C219" s="2" t="s">
        <v>53</v>
      </c>
      <c r="D219" s="2" t="s">
        <v>307</v>
      </c>
      <c r="E219" s="2" t="s">
        <v>220</v>
      </c>
    </row>
    <row r="220" spans="1:5" x14ac:dyDescent="0.15">
      <c r="A220" s="2" t="s">
        <v>17</v>
      </c>
      <c r="B220" s="2" t="s">
        <v>356</v>
      </c>
      <c r="C220" s="2" t="s">
        <v>59</v>
      </c>
      <c r="D220" s="2" t="s">
        <v>308</v>
      </c>
      <c r="E220" s="2" t="s">
        <v>220</v>
      </c>
    </row>
    <row r="221" spans="1:5" x14ac:dyDescent="0.15">
      <c r="A221" s="2" t="s">
        <v>17</v>
      </c>
      <c r="B221" s="2" t="s">
        <v>356</v>
      </c>
      <c r="C221" s="2" t="s">
        <v>54</v>
      </c>
      <c r="D221" s="2" t="s">
        <v>309</v>
      </c>
      <c r="E221" s="2" t="s">
        <v>220</v>
      </c>
    </row>
    <row r="222" spans="1:5" x14ac:dyDescent="0.15">
      <c r="A222" s="2" t="s">
        <v>17</v>
      </c>
      <c r="B222" s="2" t="s">
        <v>356</v>
      </c>
      <c r="C222" s="2" t="s">
        <v>60</v>
      </c>
      <c r="D222" s="2" t="s">
        <v>310</v>
      </c>
      <c r="E222" s="2" t="s">
        <v>220</v>
      </c>
    </row>
    <row r="223" spans="1:5" x14ac:dyDescent="0.15">
      <c r="A223" s="2" t="s">
        <v>17</v>
      </c>
      <c r="B223" s="2" t="s">
        <v>356</v>
      </c>
      <c r="C223" s="2" t="s">
        <v>55</v>
      </c>
      <c r="D223" s="2" t="s">
        <v>311</v>
      </c>
      <c r="E223" s="2" t="s">
        <v>220</v>
      </c>
    </row>
    <row r="224" spans="1:5" x14ac:dyDescent="0.15">
      <c r="A224" s="2" t="s">
        <v>17</v>
      </c>
      <c r="B224" s="2" t="s">
        <v>356</v>
      </c>
      <c r="C224" s="2" t="s">
        <v>154</v>
      </c>
      <c r="D224" s="2" t="s">
        <v>312</v>
      </c>
      <c r="E224" s="2" t="s">
        <v>220</v>
      </c>
    </row>
    <row r="225" spans="1:5" x14ac:dyDescent="0.15">
      <c r="A225" s="2" t="s">
        <v>17</v>
      </c>
      <c r="B225" s="2" t="s">
        <v>356</v>
      </c>
      <c r="C225" s="2" t="s">
        <v>61</v>
      </c>
      <c r="D225" s="2" t="s">
        <v>313</v>
      </c>
      <c r="E225" s="2" t="s">
        <v>220</v>
      </c>
    </row>
    <row r="226" spans="1:5" x14ac:dyDescent="0.15">
      <c r="A226" s="2" t="s">
        <v>17</v>
      </c>
      <c r="B226" s="2" t="s">
        <v>356</v>
      </c>
      <c r="C226" s="2" t="s">
        <v>56</v>
      </c>
      <c r="D226" s="2" t="s">
        <v>314</v>
      </c>
      <c r="E226" s="2" t="s">
        <v>220</v>
      </c>
    </row>
    <row r="227" spans="1:5" x14ac:dyDescent="0.15">
      <c r="A227" s="2" t="s">
        <v>17</v>
      </c>
      <c r="B227" s="2" t="s">
        <v>356</v>
      </c>
      <c r="C227" s="2" t="s">
        <v>152</v>
      </c>
      <c r="D227" s="2" t="s">
        <v>315</v>
      </c>
      <c r="E227" s="2" t="s">
        <v>220</v>
      </c>
    </row>
    <row r="228" spans="1:5" x14ac:dyDescent="0.15">
      <c r="A228" s="2" t="s">
        <v>17</v>
      </c>
      <c r="B228" s="2" t="s">
        <v>356</v>
      </c>
      <c r="C228" s="2" t="s">
        <v>69</v>
      </c>
      <c r="D228" s="2" t="s">
        <v>316</v>
      </c>
      <c r="E228" s="2" t="s">
        <v>220</v>
      </c>
    </row>
    <row r="229" spans="1:5" x14ac:dyDescent="0.15">
      <c r="A229" s="2" t="s">
        <v>17</v>
      </c>
      <c r="B229" s="2" t="s">
        <v>356</v>
      </c>
      <c r="C229" s="2" t="s">
        <v>57</v>
      </c>
      <c r="D229" s="2" t="s">
        <v>317</v>
      </c>
      <c r="E229" s="2" t="s">
        <v>220</v>
      </c>
    </row>
    <row r="230" spans="1:5" x14ac:dyDescent="0.15">
      <c r="A230" s="2" t="s">
        <v>17</v>
      </c>
      <c r="B230" s="2" t="s">
        <v>356</v>
      </c>
      <c r="C230" s="2" t="s">
        <v>63</v>
      </c>
      <c r="D230" s="2" t="s">
        <v>318</v>
      </c>
      <c r="E230" s="2" t="s">
        <v>220</v>
      </c>
    </row>
    <row r="231" spans="1:5" x14ac:dyDescent="0.15">
      <c r="A231" s="2" t="s">
        <v>17</v>
      </c>
      <c r="B231" s="2" t="s">
        <v>356</v>
      </c>
      <c r="C231" s="2" t="s">
        <v>58</v>
      </c>
      <c r="D231" s="2" t="s">
        <v>319</v>
      </c>
      <c r="E231" s="2" t="s">
        <v>220</v>
      </c>
    </row>
    <row r="232" spans="1:5" x14ac:dyDescent="0.15">
      <c r="A232" s="2" t="s">
        <v>17</v>
      </c>
      <c r="B232" s="2" t="s">
        <v>356</v>
      </c>
      <c r="C232" s="2" t="s">
        <v>64</v>
      </c>
      <c r="D232" s="2" t="s">
        <v>320</v>
      </c>
      <c r="E232" s="2" t="s">
        <v>220</v>
      </c>
    </row>
    <row r="233" spans="1:5" x14ac:dyDescent="0.15">
      <c r="A233" s="2" t="s">
        <v>17</v>
      </c>
      <c r="B233" s="2" t="s">
        <v>356</v>
      </c>
      <c r="C233" s="2" t="s">
        <v>155</v>
      </c>
      <c r="D233" s="2" t="s">
        <v>321</v>
      </c>
      <c r="E233" s="2" t="s">
        <v>220</v>
      </c>
    </row>
    <row r="234" spans="1:5" x14ac:dyDescent="0.15">
      <c r="A234" s="2" t="s">
        <v>17</v>
      </c>
      <c r="B234" s="2" t="s">
        <v>356</v>
      </c>
      <c r="C234" s="2" t="s">
        <v>156</v>
      </c>
      <c r="D234" s="2" t="s">
        <v>183</v>
      </c>
      <c r="E234" s="2" t="s">
        <v>220</v>
      </c>
    </row>
    <row r="235" spans="1:5" x14ac:dyDescent="0.15">
      <c r="A235" s="2" t="s">
        <v>17</v>
      </c>
      <c r="B235" s="2" t="s">
        <v>356</v>
      </c>
      <c r="C235" s="2" t="s">
        <v>157</v>
      </c>
      <c r="D235" s="2" t="s">
        <v>187</v>
      </c>
      <c r="E235" s="2" t="s">
        <v>220</v>
      </c>
    </row>
    <row r="236" spans="1:5" x14ac:dyDescent="0.15">
      <c r="A236" s="2" t="s">
        <v>17</v>
      </c>
      <c r="B236" s="2" t="s">
        <v>356</v>
      </c>
      <c r="C236" s="2" t="s">
        <v>158</v>
      </c>
      <c r="D236" s="2" t="s">
        <v>322</v>
      </c>
      <c r="E236" s="2" t="s">
        <v>220</v>
      </c>
    </row>
    <row r="237" spans="1:5" x14ac:dyDescent="0.15">
      <c r="A237" s="2" t="s">
        <v>17</v>
      </c>
      <c r="B237" s="2" t="s">
        <v>356</v>
      </c>
      <c r="C237" s="2" t="s">
        <v>334</v>
      </c>
      <c r="D237" s="2" t="s">
        <v>335</v>
      </c>
      <c r="E237" s="2" t="s">
        <v>220</v>
      </c>
    </row>
    <row r="238" spans="1:5" x14ac:dyDescent="0.15">
      <c r="A238" s="2" t="s">
        <v>17</v>
      </c>
      <c r="B238" s="2" t="s">
        <v>356</v>
      </c>
      <c r="C238" s="2" t="s">
        <v>227</v>
      </c>
      <c r="D238" s="2" t="s">
        <v>323</v>
      </c>
      <c r="E238" s="2" t="s">
        <v>220</v>
      </c>
    </row>
    <row r="239" spans="1:5" x14ac:dyDescent="0.15">
      <c r="A239" s="2" t="s">
        <v>17</v>
      </c>
      <c r="B239" s="2" t="s">
        <v>356</v>
      </c>
      <c r="C239" s="2" t="s">
        <v>226</v>
      </c>
      <c r="D239" s="2" t="s">
        <v>324</v>
      </c>
      <c r="E239" s="2" t="s">
        <v>220</v>
      </c>
    </row>
    <row r="240" spans="1:5" ht="409.5" x14ac:dyDescent="0.15">
      <c r="A240" s="2" t="s">
        <v>17</v>
      </c>
      <c r="B240" s="2" t="s">
        <v>363</v>
      </c>
      <c r="C240" s="2" t="s">
        <v>59</v>
      </c>
      <c r="D240" s="2" t="s">
        <v>340</v>
      </c>
      <c r="E240" s="3" t="s">
        <v>146</v>
      </c>
    </row>
    <row r="241" spans="1:5" ht="409.5" x14ac:dyDescent="0.15">
      <c r="A241" s="2" t="s">
        <v>17</v>
      </c>
      <c r="B241" s="2" t="s">
        <v>364</v>
      </c>
      <c r="C241" s="2" t="s">
        <v>59</v>
      </c>
      <c r="D241" s="2" t="s">
        <v>340</v>
      </c>
      <c r="E241" s="3" t="s">
        <v>146</v>
      </c>
    </row>
    <row r="242" spans="1:5" ht="409.5" x14ac:dyDescent="0.15">
      <c r="A242" s="2" t="s">
        <v>17</v>
      </c>
      <c r="B242" s="2" t="s">
        <v>365</v>
      </c>
      <c r="C242" s="2" t="s">
        <v>59</v>
      </c>
      <c r="D242" s="2" t="s">
        <v>340</v>
      </c>
      <c r="E242" s="3" t="s">
        <v>146</v>
      </c>
    </row>
    <row r="243" spans="1:5" ht="409.5" x14ac:dyDescent="0.15">
      <c r="A243" s="2" t="s">
        <v>17</v>
      </c>
      <c r="B243" s="2" t="s">
        <v>366</v>
      </c>
      <c r="C243" s="2" t="s">
        <v>59</v>
      </c>
      <c r="D243" s="2" t="s">
        <v>340</v>
      </c>
      <c r="E243" s="3" t="s">
        <v>146</v>
      </c>
    </row>
    <row r="244" spans="1:5" ht="409.5" x14ac:dyDescent="0.15">
      <c r="A244" s="2" t="s">
        <v>17</v>
      </c>
      <c r="B244" s="2" t="s">
        <v>367</v>
      </c>
      <c r="C244" s="2" t="s">
        <v>59</v>
      </c>
      <c r="D244" s="2" t="s">
        <v>340</v>
      </c>
      <c r="E244" s="3" t="s">
        <v>146</v>
      </c>
    </row>
    <row r="245" spans="1:5" ht="409.5" x14ac:dyDescent="0.15">
      <c r="A245" s="2" t="s">
        <v>17</v>
      </c>
      <c r="B245" s="2" t="s">
        <v>368</v>
      </c>
      <c r="C245" s="2" t="s">
        <v>59</v>
      </c>
      <c r="D245" s="2" t="s">
        <v>340</v>
      </c>
      <c r="E245" s="3" t="s">
        <v>146</v>
      </c>
    </row>
    <row r="246" spans="1:5" ht="409.5" x14ac:dyDescent="0.15">
      <c r="A246" s="2" t="s">
        <v>17</v>
      </c>
      <c r="B246" s="2" t="s">
        <v>369</v>
      </c>
      <c r="C246" s="2" t="s">
        <v>59</v>
      </c>
      <c r="D246" s="2" t="s">
        <v>340</v>
      </c>
      <c r="E246" s="3" t="s">
        <v>146</v>
      </c>
    </row>
    <row r="247" spans="1:5" ht="409.5" x14ac:dyDescent="0.15">
      <c r="A247" s="2" t="s">
        <v>17</v>
      </c>
      <c r="B247" s="2" t="s">
        <v>370</v>
      </c>
      <c r="C247" s="2" t="s">
        <v>59</v>
      </c>
      <c r="D247" s="2" t="s">
        <v>340</v>
      </c>
      <c r="E247" s="3" t="s">
        <v>146</v>
      </c>
    </row>
    <row r="248" spans="1:5" ht="409.5" x14ac:dyDescent="0.15">
      <c r="A248" s="2" t="s">
        <v>17</v>
      </c>
      <c r="B248" s="2" t="s">
        <v>373</v>
      </c>
      <c r="C248" s="2" t="s">
        <v>59</v>
      </c>
      <c r="D248" s="2" t="s">
        <v>340</v>
      </c>
      <c r="E248" s="3" t="s">
        <v>146</v>
      </c>
    </row>
    <row r="249" spans="1:5" ht="409.5" x14ac:dyDescent="0.15">
      <c r="A249" s="2" t="s">
        <v>17</v>
      </c>
      <c r="B249" s="2" t="s">
        <v>373</v>
      </c>
      <c r="C249" s="2" t="s">
        <v>159</v>
      </c>
      <c r="D249" s="2" t="s">
        <v>173</v>
      </c>
      <c r="E249" s="3" t="s">
        <v>374</v>
      </c>
    </row>
    <row r="250" spans="1:5" ht="409.5" x14ac:dyDescent="0.15">
      <c r="A250" s="2" t="s">
        <v>17</v>
      </c>
      <c r="B250" s="2" t="s">
        <v>373</v>
      </c>
      <c r="C250" s="2" t="s">
        <v>155</v>
      </c>
      <c r="D250" s="2" t="s">
        <v>352</v>
      </c>
      <c r="E250" s="3" t="s">
        <v>375</v>
      </c>
    </row>
    <row r="251" spans="1:5" ht="409.5" x14ac:dyDescent="0.15">
      <c r="A251" s="2" t="s">
        <v>17</v>
      </c>
      <c r="B251" s="2" t="s">
        <v>373</v>
      </c>
      <c r="C251" s="2" t="s">
        <v>156</v>
      </c>
      <c r="D251" s="2" t="s">
        <v>278</v>
      </c>
      <c r="E251" s="3" t="s">
        <v>376</v>
      </c>
    </row>
    <row r="252" spans="1:5" ht="409.5" x14ac:dyDescent="0.15">
      <c r="A252" s="2" t="s">
        <v>17</v>
      </c>
      <c r="B252" s="2" t="s">
        <v>373</v>
      </c>
      <c r="C252" s="2" t="s">
        <v>157</v>
      </c>
      <c r="D252" s="2" t="s">
        <v>279</v>
      </c>
      <c r="E252" s="3" t="s">
        <v>377</v>
      </c>
    </row>
    <row r="253" spans="1:5" ht="409.5" x14ac:dyDescent="0.15">
      <c r="A253" s="2" t="s">
        <v>17</v>
      </c>
      <c r="B253" s="2" t="s">
        <v>373</v>
      </c>
      <c r="C253" s="2" t="s">
        <v>158</v>
      </c>
      <c r="D253" s="2" t="s">
        <v>353</v>
      </c>
      <c r="E253" s="3" t="s">
        <v>378</v>
      </c>
    </row>
    <row r="254" spans="1:5" ht="229.5" x14ac:dyDescent="0.15">
      <c r="A254" s="2" t="s">
        <v>17</v>
      </c>
      <c r="B254" s="2" t="s">
        <v>373</v>
      </c>
      <c r="C254" s="2" t="s">
        <v>227</v>
      </c>
      <c r="D254" s="2" t="s">
        <v>371</v>
      </c>
      <c r="E254" s="3" t="s">
        <v>379</v>
      </c>
    </row>
    <row r="255" spans="1:5" ht="175.5" x14ac:dyDescent="0.15">
      <c r="A255" s="2" t="s">
        <v>17</v>
      </c>
      <c r="B255" s="2" t="s">
        <v>373</v>
      </c>
      <c r="C255" s="2" t="s">
        <v>226</v>
      </c>
      <c r="D255" s="2" t="s">
        <v>372</v>
      </c>
      <c r="E255" s="3" t="s">
        <v>247</v>
      </c>
    </row>
    <row r="256" spans="1:5" x14ac:dyDescent="0.15">
      <c r="A256" s="2" t="s">
        <v>17</v>
      </c>
      <c r="B256" s="2" t="s">
        <v>373</v>
      </c>
      <c r="C256" s="2" t="s">
        <v>227</v>
      </c>
      <c r="D256" s="2" t="s">
        <v>354</v>
      </c>
      <c r="E256" s="2" t="s">
        <v>220</v>
      </c>
    </row>
    <row r="257" spans="1:5" x14ac:dyDescent="0.15">
      <c r="A257" s="2" t="s">
        <v>17</v>
      </c>
      <c r="B257" s="2" t="s">
        <v>373</v>
      </c>
      <c r="C257" s="2" t="s">
        <v>226</v>
      </c>
      <c r="D257" s="2" t="s">
        <v>355</v>
      </c>
      <c r="E257" s="2" t="s">
        <v>220</v>
      </c>
    </row>
    <row r="258" spans="1:5" x14ac:dyDescent="0.15">
      <c r="A258" s="2" t="s">
        <v>17</v>
      </c>
      <c r="B258" s="2" t="s">
        <v>373</v>
      </c>
      <c r="C258" s="2" t="s">
        <v>332</v>
      </c>
      <c r="D258" s="2" t="s">
        <v>198</v>
      </c>
      <c r="E258" s="2" t="s">
        <v>248</v>
      </c>
    </row>
    <row r="259" spans="1:5" ht="409.5" x14ac:dyDescent="0.15">
      <c r="A259" s="2" t="s">
        <v>17</v>
      </c>
      <c r="B259" s="2" t="s">
        <v>380</v>
      </c>
      <c r="C259" s="2" t="s">
        <v>59</v>
      </c>
      <c r="D259" s="2" t="s">
        <v>340</v>
      </c>
      <c r="E259" s="3" t="s">
        <v>146</v>
      </c>
    </row>
    <row r="260" spans="1:5" ht="409.5" x14ac:dyDescent="0.15">
      <c r="A260" s="2" t="s">
        <v>17</v>
      </c>
      <c r="B260" s="2" t="s">
        <v>381</v>
      </c>
      <c r="C260" s="2" t="s">
        <v>59</v>
      </c>
      <c r="D260" s="2" t="s">
        <v>340</v>
      </c>
      <c r="E260" s="3" t="s">
        <v>146</v>
      </c>
    </row>
    <row r="261" spans="1:5" ht="162" x14ac:dyDescent="0.15">
      <c r="A261" s="2" t="s">
        <v>17</v>
      </c>
      <c r="B261" s="2" t="s">
        <v>390</v>
      </c>
      <c r="C261" s="2" t="s">
        <v>382</v>
      </c>
      <c r="D261" s="2" t="s">
        <v>386</v>
      </c>
      <c r="E261" s="3" t="s">
        <v>391</v>
      </c>
    </row>
    <row r="262" spans="1:5" ht="162" x14ac:dyDescent="0.15">
      <c r="A262" s="2" t="s">
        <v>17</v>
      </c>
      <c r="B262" s="2" t="s">
        <v>390</v>
      </c>
      <c r="C262" s="2" t="s">
        <v>383</v>
      </c>
      <c r="D262" s="2" t="s">
        <v>389</v>
      </c>
      <c r="E262" s="3" t="s">
        <v>391</v>
      </c>
    </row>
    <row r="263" spans="1:5" ht="409.5" x14ac:dyDescent="0.15">
      <c r="A263" s="2" t="s">
        <v>17</v>
      </c>
      <c r="B263" s="2" t="s">
        <v>390</v>
      </c>
      <c r="C263" s="2" t="s">
        <v>59</v>
      </c>
      <c r="D263" s="2" t="s">
        <v>340</v>
      </c>
      <c r="E263" s="3" t="s">
        <v>146</v>
      </c>
    </row>
    <row r="264" spans="1:5" ht="409.5" x14ac:dyDescent="0.15">
      <c r="A264" s="2" t="s">
        <v>17</v>
      </c>
      <c r="B264" s="2" t="s">
        <v>392</v>
      </c>
      <c r="C264" s="2" t="s">
        <v>59</v>
      </c>
      <c r="D264" s="2" t="s">
        <v>340</v>
      </c>
      <c r="E264" s="3" t="s">
        <v>146</v>
      </c>
    </row>
    <row r="265" spans="1:5" ht="409.5" x14ac:dyDescent="0.15">
      <c r="A265" s="2" t="s">
        <v>17</v>
      </c>
      <c r="B265" s="2" t="s">
        <v>396</v>
      </c>
      <c r="C265" s="2" t="s">
        <v>59</v>
      </c>
      <c r="D265" s="2" t="s">
        <v>340</v>
      </c>
      <c r="E265" s="3" t="s">
        <v>146</v>
      </c>
    </row>
    <row r="266" spans="1:5" ht="409.5" x14ac:dyDescent="0.15">
      <c r="A266" s="2" t="s">
        <v>17</v>
      </c>
      <c r="B266" s="2" t="s">
        <v>396</v>
      </c>
      <c r="C266" s="2" t="s">
        <v>159</v>
      </c>
      <c r="D266" s="2" t="s">
        <v>173</v>
      </c>
      <c r="E266" s="3" t="s">
        <v>397</v>
      </c>
    </row>
    <row r="267" spans="1:5" ht="409.5" x14ac:dyDescent="0.15">
      <c r="A267" s="2" t="s">
        <v>17</v>
      </c>
      <c r="B267" s="2" t="s">
        <v>396</v>
      </c>
      <c r="C267" s="2" t="s">
        <v>155</v>
      </c>
      <c r="D267" s="2" t="s">
        <v>352</v>
      </c>
      <c r="E267" s="3" t="s">
        <v>398</v>
      </c>
    </row>
    <row r="268" spans="1:5" ht="409.5" x14ac:dyDescent="0.15">
      <c r="A268" s="2" t="s">
        <v>17</v>
      </c>
      <c r="B268" s="2" t="s">
        <v>396</v>
      </c>
      <c r="C268" s="2" t="s">
        <v>156</v>
      </c>
      <c r="D268" s="2" t="s">
        <v>278</v>
      </c>
      <c r="E268" s="3" t="s">
        <v>399</v>
      </c>
    </row>
    <row r="269" spans="1:5" ht="409.5" x14ac:dyDescent="0.15">
      <c r="A269" s="2" t="s">
        <v>17</v>
      </c>
      <c r="B269" s="2" t="s">
        <v>396</v>
      </c>
      <c r="C269" s="2" t="s">
        <v>157</v>
      </c>
      <c r="D269" s="2" t="s">
        <v>279</v>
      </c>
      <c r="E269" s="3" t="s">
        <v>400</v>
      </c>
    </row>
    <row r="270" spans="1:5" ht="409.5" x14ac:dyDescent="0.15">
      <c r="A270" s="2" t="s">
        <v>17</v>
      </c>
      <c r="B270" s="2" t="s">
        <v>396</v>
      </c>
      <c r="C270" s="2" t="s">
        <v>158</v>
      </c>
      <c r="D270" s="2" t="s">
        <v>353</v>
      </c>
      <c r="E270" s="3" t="s">
        <v>401</v>
      </c>
    </row>
    <row r="271" spans="1:5" ht="229.5" x14ac:dyDescent="0.15">
      <c r="A271" s="2" t="s">
        <v>17</v>
      </c>
      <c r="B271" s="2" t="s">
        <v>396</v>
      </c>
      <c r="C271" s="2" t="s">
        <v>227</v>
      </c>
      <c r="D271" s="2" t="s">
        <v>394</v>
      </c>
      <c r="E271" s="3" t="s">
        <v>402</v>
      </c>
    </row>
    <row r="272" spans="1:5" ht="175.5" x14ac:dyDescent="0.15">
      <c r="A272" s="2" t="s">
        <v>17</v>
      </c>
      <c r="B272" s="2" t="s">
        <v>396</v>
      </c>
      <c r="C272" s="2" t="s">
        <v>226</v>
      </c>
      <c r="D272" s="2" t="s">
        <v>395</v>
      </c>
      <c r="E272" s="3" t="s">
        <v>247</v>
      </c>
    </row>
    <row r="273" spans="1:5" x14ac:dyDescent="0.15">
      <c r="A273" s="2" t="s">
        <v>17</v>
      </c>
      <c r="B273" s="2" t="s">
        <v>396</v>
      </c>
      <c r="C273" s="2" t="s">
        <v>227</v>
      </c>
      <c r="D273" s="2" t="s">
        <v>371</v>
      </c>
      <c r="E273" s="2" t="s">
        <v>220</v>
      </c>
    </row>
    <row r="274" spans="1:5" x14ac:dyDescent="0.15">
      <c r="A274" s="2" t="s">
        <v>17</v>
      </c>
      <c r="B274" s="2" t="s">
        <v>396</v>
      </c>
      <c r="C274" s="2" t="s">
        <v>226</v>
      </c>
      <c r="D274" s="2" t="s">
        <v>372</v>
      </c>
      <c r="E274" s="2" t="s">
        <v>220</v>
      </c>
    </row>
    <row r="275" spans="1:5" ht="409.5" x14ac:dyDescent="0.15">
      <c r="A275" s="2" t="s">
        <v>17</v>
      </c>
      <c r="B275" s="2" t="s">
        <v>404</v>
      </c>
      <c r="C275" s="2" t="s">
        <v>59</v>
      </c>
      <c r="D275" s="2" t="s">
        <v>340</v>
      </c>
      <c r="E275" s="3" t="s">
        <v>146</v>
      </c>
    </row>
    <row r="276" spans="1:5" ht="409.5" x14ac:dyDescent="0.15">
      <c r="A276" s="2" t="s">
        <v>17</v>
      </c>
      <c r="B276" s="2" t="s">
        <v>414</v>
      </c>
      <c r="C276" s="2" t="s">
        <v>59</v>
      </c>
      <c r="D276" s="2" t="s">
        <v>406</v>
      </c>
      <c r="E276" s="3" t="s">
        <v>132</v>
      </c>
    </row>
    <row r="277" spans="1:5" ht="216" x14ac:dyDescent="0.15">
      <c r="A277" s="2" t="s">
        <v>17</v>
      </c>
      <c r="B277" s="2" t="s">
        <v>414</v>
      </c>
      <c r="C277" s="2" t="s">
        <v>60</v>
      </c>
      <c r="D277" s="2" t="s">
        <v>407</v>
      </c>
      <c r="E277" s="3" t="s">
        <v>285</v>
      </c>
    </row>
    <row r="278" spans="1:5" ht="162" x14ac:dyDescent="0.15">
      <c r="A278" s="2" t="s">
        <v>17</v>
      </c>
      <c r="B278" s="2" t="s">
        <v>414</v>
      </c>
      <c r="C278" s="2" t="s">
        <v>154</v>
      </c>
      <c r="D278" s="2" t="s">
        <v>408</v>
      </c>
      <c r="E278" s="3" t="s">
        <v>189</v>
      </c>
    </row>
    <row r="279" spans="1:5" ht="175.5" x14ac:dyDescent="0.15">
      <c r="A279" s="2" t="s">
        <v>17</v>
      </c>
      <c r="B279" s="2" t="s">
        <v>414</v>
      </c>
      <c r="C279" s="2" t="s">
        <v>61</v>
      </c>
      <c r="D279" s="2" t="s">
        <v>409</v>
      </c>
      <c r="E279" s="3" t="s">
        <v>136</v>
      </c>
    </row>
    <row r="280" spans="1:5" ht="175.5" x14ac:dyDescent="0.15">
      <c r="A280" s="2" t="s">
        <v>17</v>
      </c>
      <c r="B280" s="2" t="s">
        <v>414</v>
      </c>
      <c r="C280" s="2" t="s">
        <v>69</v>
      </c>
      <c r="D280" s="2" t="s">
        <v>410</v>
      </c>
      <c r="E280" s="3" t="s">
        <v>415</v>
      </c>
    </row>
    <row r="281" spans="1:5" ht="175.5" x14ac:dyDescent="0.15">
      <c r="A281" s="2" t="s">
        <v>17</v>
      </c>
      <c r="B281" s="2" t="s">
        <v>414</v>
      </c>
      <c r="C281" s="2" t="s">
        <v>63</v>
      </c>
      <c r="D281" s="2" t="s">
        <v>411</v>
      </c>
      <c r="E281" s="3" t="s">
        <v>415</v>
      </c>
    </row>
    <row r="282" spans="1:5" ht="189" x14ac:dyDescent="0.15">
      <c r="A282" s="2" t="s">
        <v>17</v>
      </c>
      <c r="B282" s="2" t="s">
        <v>414</v>
      </c>
      <c r="C282" s="2" t="s">
        <v>64</v>
      </c>
      <c r="D282" s="2" t="s">
        <v>412</v>
      </c>
      <c r="E282" s="3" t="s">
        <v>143</v>
      </c>
    </row>
    <row r="283" spans="1:5" ht="409.5" x14ac:dyDescent="0.15">
      <c r="A283" s="2" t="s">
        <v>17</v>
      </c>
      <c r="B283" s="2" t="s">
        <v>414</v>
      </c>
      <c r="C283" s="2" t="s">
        <v>158</v>
      </c>
      <c r="D283" s="2" t="s">
        <v>413</v>
      </c>
      <c r="E283" s="3" t="s">
        <v>416</v>
      </c>
    </row>
    <row r="284" spans="1:5" x14ac:dyDescent="0.15">
      <c r="A284" s="2" t="s">
        <v>17</v>
      </c>
      <c r="B284" s="2" t="s">
        <v>414</v>
      </c>
      <c r="C284" s="2" t="s">
        <v>59</v>
      </c>
      <c r="D284" s="2" t="s">
        <v>340</v>
      </c>
      <c r="E284" s="2" t="s">
        <v>220</v>
      </c>
    </row>
    <row r="285" spans="1:5" x14ac:dyDescent="0.15">
      <c r="A285" s="2" t="s">
        <v>17</v>
      </c>
      <c r="B285" s="2" t="s">
        <v>414</v>
      </c>
      <c r="C285" s="2" t="s">
        <v>60</v>
      </c>
      <c r="D285" s="2" t="s">
        <v>342</v>
      </c>
      <c r="E285" s="2" t="s">
        <v>220</v>
      </c>
    </row>
    <row r="286" spans="1:5" x14ac:dyDescent="0.15">
      <c r="A286" s="2" t="s">
        <v>17</v>
      </c>
      <c r="B286" s="2" t="s">
        <v>414</v>
      </c>
      <c r="C286" s="2" t="s">
        <v>154</v>
      </c>
      <c r="D286" s="2" t="s">
        <v>344</v>
      </c>
      <c r="E286" s="2" t="s">
        <v>220</v>
      </c>
    </row>
    <row r="287" spans="1:5" x14ac:dyDescent="0.15">
      <c r="A287" s="2" t="s">
        <v>17</v>
      </c>
      <c r="B287" s="2" t="s">
        <v>414</v>
      </c>
      <c r="C287" s="2" t="s">
        <v>61</v>
      </c>
      <c r="D287" s="2" t="s">
        <v>345</v>
      </c>
      <c r="E287" s="2" t="s">
        <v>220</v>
      </c>
    </row>
    <row r="288" spans="1:5" x14ac:dyDescent="0.15">
      <c r="A288" s="2" t="s">
        <v>17</v>
      </c>
      <c r="B288" s="2" t="s">
        <v>414</v>
      </c>
      <c r="C288" s="2" t="s">
        <v>69</v>
      </c>
      <c r="D288" s="2" t="s">
        <v>347</v>
      </c>
      <c r="E288" s="2" t="s">
        <v>220</v>
      </c>
    </row>
    <row r="289" spans="1:5" x14ac:dyDescent="0.15">
      <c r="A289" s="2" t="s">
        <v>17</v>
      </c>
      <c r="B289" s="2" t="s">
        <v>414</v>
      </c>
      <c r="C289" s="2" t="s">
        <v>63</v>
      </c>
      <c r="D289" s="2" t="s">
        <v>349</v>
      </c>
      <c r="E289" s="2" t="s">
        <v>220</v>
      </c>
    </row>
    <row r="290" spans="1:5" x14ac:dyDescent="0.15">
      <c r="A290" s="2" t="s">
        <v>17</v>
      </c>
      <c r="B290" s="2" t="s">
        <v>414</v>
      </c>
      <c r="C290" s="2" t="s">
        <v>64</v>
      </c>
      <c r="D290" s="2" t="s">
        <v>351</v>
      </c>
      <c r="E290" s="2" t="s">
        <v>220</v>
      </c>
    </row>
    <row r="291" spans="1:5" x14ac:dyDescent="0.15">
      <c r="A291" s="2" t="s">
        <v>17</v>
      </c>
      <c r="B291" s="2" t="s">
        <v>414</v>
      </c>
      <c r="C291" s="2" t="s">
        <v>158</v>
      </c>
      <c r="D291" s="2" t="s">
        <v>353</v>
      </c>
      <c r="E291" s="2" t="s">
        <v>220</v>
      </c>
    </row>
    <row r="292" spans="1:5" ht="409.5" x14ac:dyDescent="0.15">
      <c r="A292" s="2" t="s">
        <v>17</v>
      </c>
      <c r="B292" s="2" t="s">
        <v>417</v>
      </c>
      <c r="C292" s="2" t="s">
        <v>59</v>
      </c>
      <c r="D292" s="2" t="s">
        <v>406</v>
      </c>
      <c r="E292" s="3" t="s">
        <v>146</v>
      </c>
    </row>
    <row r="293" spans="1:5" ht="409.5" x14ac:dyDescent="0.15">
      <c r="A293" s="2" t="s">
        <v>17</v>
      </c>
      <c r="B293" s="2" t="s">
        <v>418</v>
      </c>
      <c r="C293" s="2" t="s">
        <v>59</v>
      </c>
      <c r="D293" s="2" t="s">
        <v>406</v>
      </c>
      <c r="E293" s="3" t="s">
        <v>146</v>
      </c>
    </row>
    <row r="294" spans="1:5" ht="409.5" x14ac:dyDescent="0.15">
      <c r="A294" s="2" t="s">
        <v>17</v>
      </c>
      <c r="B294" s="2" t="s">
        <v>419</v>
      </c>
      <c r="C294" s="2" t="s">
        <v>59</v>
      </c>
      <c r="D294" s="2" t="s">
        <v>406</v>
      </c>
      <c r="E294" s="3" t="s">
        <v>146</v>
      </c>
    </row>
    <row r="295" spans="1:5" ht="216" x14ac:dyDescent="0.15">
      <c r="A295" s="2" t="s">
        <v>17</v>
      </c>
      <c r="B295" s="2" t="s">
        <v>448</v>
      </c>
      <c r="C295" s="2" t="s">
        <v>53</v>
      </c>
      <c r="D295" s="2" t="s">
        <v>423</v>
      </c>
      <c r="E295" s="3" t="s">
        <v>449</v>
      </c>
    </row>
    <row r="296" spans="1:5" ht="409.5" x14ac:dyDescent="0.15">
      <c r="A296" s="2" t="s">
        <v>17</v>
      </c>
      <c r="B296" s="2" t="s">
        <v>448</v>
      </c>
      <c r="C296" s="2" t="s">
        <v>59</v>
      </c>
      <c r="D296" s="2" t="s">
        <v>424</v>
      </c>
      <c r="E296" s="3" t="s">
        <v>132</v>
      </c>
    </row>
    <row r="297" spans="1:5" ht="216" x14ac:dyDescent="0.15">
      <c r="A297" s="2" t="s">
        <v>17</v>
      </c>
      <c r="B297" s="2" t="s">
        <v>448</v>
      </c>
      <c r="C297" s="2" t="s">
        <v>54</v>
      </c>
      <c r="D297" s="2" t="s">
        <v>425</v>
      </c>
      <c r="E297" s="3" t="s">
        <v>450</v>
      </c>
    </row>
    <row r="298" spans="1:5" ht="216" x14ac:dyDescent="0.15">
      <c r="A298" s="2" t="s">
        <v>17</v>
      </c>
      <c r="B298" s="2" t="s">
        <v>448</v>
      </c>
      <c r="C298" s="2" t="s">
        <v>60</v>
      </c>
      <c r="D298" s="2" t="s">
        <v>426</v>
      </c>
      <c r="E298" s="3" t="s">
        <v>285</v>
      </c>
    </row>
    <row r="299" spans="1:5" ht="216" x14ac:dyDescent="0.15">
      <c r="A299" s="2" t="s">
        <v>17</v>
      </c>
      <c r="B299" s="2" t="s">
        <v>448</v>
      </c>
      <c r="C299" s="2" t="s">
        <v>55</v>
      </c>
      <c r="D299" s="2" t="s">
        <v>428</v>
      </c>
      <c r="E299" s="3" t="s">
        <v>451</v>
      </c>
    </row>
    <row r="300" spans="1:5" ht="162" x14ac:dyDescent="0.15">
      <c r="A300" s="2" t="s">
        <v>17</v>
      </c>
      <c r="B300" s="2" t="s">
        <v>448</v>
      </c>
      <c r="C300" s="2" t="s">
        <v>154</v>
      </c>
      <c r="D300" s="2" t="s">
        <v>429</v>
      </c>
      <c r="E300" s="3" t="s">
        <v>189</v>
      </c>
    </row>
    <row r="301" spans="1:5" ht="175.5" x14ac:dyDescent="0.15">
      <c r="A301" s="2" t="s">
        <v>17</v>
      </c>
      <c r="B301" s="2" t="s">
        <v>448</v>
      </c>
      <c r="C301" s="2" t="s">
        <v>61</v>
      </c>
      <c r="D301" s="2" t="s">
        <v>430</v>
      </c>
      <c r="E301" s="3" t="s">
        <v>136</v>
      </c>
    </row>
    <row r="302" spans="1:5" ht="216" x14ac:dyDescent="0.15">
      <c r="A302" s="2" t="s">
        <v>17</v>
      </c>
      <c r="B302" s="2" t="s">
        <v>448</v>
      </c>
      <c r="C302" s="2" t="s">
        <v>56</v>
      </c>
      <c r="D302" s="2" t="s">
        <v>431</v>
      </c>
      <c r="E302" s="3" t="s">
        <v>285</v>
      </c>
    </row>
    <row r="303" spans="1:5" ht="175.5" x14ac:dyDescent="0.15">
      <c r="A303" s="2" t="s">
        <v>17</v>
      </c>
      <c r="B303" s="2" t="s">
        <v>448</v>
      </c>
      <c r="C303" s="2" t="s">
        <v>152</v>
      </c>
      <c r="D303" s="2" t="s">
        <v>271</v>
      </c>
      <c r="E303" s="3" t="s">
        <v>452</v>
      </c>
    </row>
    <row r="304" spans="1:5" ht="175.5" x14ac:dyDescent="0.15">
      <c r="A304" s="2" t="s">
        <v>17</v>
      </c>
      <c r="B304" s="2" t="s">
        <v>448</v>
      </c>
      <c r="C304" s="2" t="s">
        <v>69</v>
      </c>
      <c r="D304" s="2" t="s">
        <v>433</v>
      </c>
      <c r="E304" s="3" t="s">
        <v>452</v>
      </c>
    </row>
    <row r="305" spans="1:5" ht="216" x14ac:dyDescent="0.15">
      <c r="A305" s="2" t="s">
        <v>17</v>
      </c>
      <c r="B305" s="2" t="s">
        <v>448</v>
      </c>
      <c r="C305" s="2" t="s">
        <v>57</v>
      </c>
      <c r="D305" s="2" t="s">
        <v>434</v>
      </c>
      <c r="E305" s="3" t="s">
        <v>285</v>
      </c>
    </row>
    <row r="306" spans="1:5" ht="175.5" x14ac:dyDescent="0.15">
      <c r="A306" s="2" t="s">
        <v>17</v>
      </c>
      <c r="B306" s="2" t="s">
        <v>448</v>
      </c>
      <c r="C306" s="2" t="s">
        <v>63</v>
      </c>
      <c r="D306" s="2" t="s">
        <v>435</v>
      </c>
      <c r="E306" s="3" t="s">
        <v>452</v>
      </c>
    </row>
    <row r="307" spans="1:5" ht="378" x14ac:dyDescent="0.15">
      <c r="A307" s="2" t="s">
        <v>17</v>
      </c>
      <c r="B307" s="2" t="s">
        <v>448</v>
      </c>
      <c r="C307" s="2" t="s">
        <v>421</v>
      </c>
      <c r="D307" s="2" t="s">
        <v>436</v>
      </c>
      <c r="E307" s="3" t="s">
        <v>453</v>
      </c>
    </row>
    <row r="308" spans="1:5" ht="202.5" x14ac:dyDescent="0.15">
      <c r="A308" s="2" t="s">
        <v>17</v>
      </c>
      <c r="B308" s="2" t="s">
        <v>448</v>
      </c>
      <c r="C308" s="2" t="s">
        <v>58</v>
      </c>
      <c r="D308" s="2" t="s">
        <v>437</v>
      </c>
      <c r="E308" s="3" t="s">
        <v>454</v>
      </c>
    </row>
    <row r="309" spans="1:5" ht="189" x14ac:dyDescent="0.15">
      <c r="A309" s="2" t="s">
        <v>17</v>
      </c>
      <c r="B309" s="2" t="s">
        <v>448</v>
      </c>
      <c r="C309" s="2" t="s">
        <v>64</v>
      </c>
      <c r="D309" s="2" t="s">
        <v>438</v>
      </c>
      <c r="E309" s="3" t="s">
        <v>143</v>
      </c>
    </row>
    <row r="310" spans="1:5" ht="409.5" x14ac:dyDescent="0.15">
      <c r="A310" s="2" t="s">
        <v>17</v>
      </c>
      <c r="B310" s="2" t="s">
        <v>448</v>
      </c>
      <c r="C310" s="2" t="s">
        <v>155</v>
      </c>
      <c r="D310" s="2" t="s">
        <v>440</v>
      </c>
      <c r="E310" s="3" t="s">
        <v>455</v>
      </c>
    </row>
    <row r="311" spans="1:5" ht="409.5" x14ac:dyDescent="0.15">
      <c r="A311" s="2" t="s">
        <v>17</v>
      </c>
      <c r="B311" s="2" t="s">
        <v>448</v>
      </c>
      <c r="C311" s="2" t="s">
        <v>156</v>
      </c>
      <c r="D311" s="2" t="s">
        <v>187</v>
      </c>
      <c r="E311" s="3" t="s">
        <v>456</v>
      </c>
    </row>
    <row r="312" spans="1:5" ht="409.5" x14ac:dyDescent="0.15">
      <c r="A312" s="2" t="s">
        <v>17</v>
      </c>
      <c r="B312" s="2" t="s">
        <v>448</v>
      </c>
      <c r="C312" s="2" t="s">
        <v>157</v>
      </c>
      <c r="D312" s="2" t="s">
        <v>322</v>
      </c>
      <c r="E312" s="3" t="s">
        <v>457</v>
      </c>
    </row>
    <row r="313" spans="1:5" ht="409.5" x14ac:dyDescent="0.15">
      <c r="A313" s="2" t="s">
        <v>17</v>
      </c>
      <c r="B313" s="2" t="s">
        <v>448</v>
      </c>
      <c r="C313" s="2" t="s">
        <v>158</v>
      </c>
      <c r="D313" s="2" t="s">
        <v>444</v>
      </c>
      <c r="E313" s="3" t="s">
        <v>458</v>
      </c>
    </row>
    <row r="314" spans="1:5" ht="229.5" x14ac:dyDescent="0.15">
      <c r="A314" s="2" t="s">
        <v>17</v>
      </c>
      <c r="B314" s="2" t="s">
        <v>448</v>
      </c>
      <c r="C314" s="2" t="s">
        <v>227</v>
      </c>
      <c r="D314" s="2" t="s">
        <v>446</v>
      </c>
      <c r="E314" s="3" t="s">
        <v>459</v>
      </c>
    </row>
    <row r="315" spans="1:5" ht="175.5" x14ac:dyDescent="0.15">
      <c r="A315" s="2" t="s">
        <v>17</v>
      </c>
      <c r="B315" s="2" t="s">
        <v>448</v>
      </c>
      <c r="C315" s="2" t="s">
        <v>226</v>
      </c>
      <c r="D315" s="2" t="s">
        <v>447</v>
      </c>
      <c r="E315" s="3" t="s">
        <v>247</v>
      </c>
    </row>
    <row r="316" spans="1:5" x14ac:dyDescent="0.15">
      <c r="A316" s="2" t="s">
        <v>17</v>
      </c>
      <c r="B316" s="2" t="s">
        <v>448</v>
      </c>
      <c r="C316" s="2" t="s">
        <v>53</v>
      </c>
      <c r="D316" s="2" t="s">
        <v>339</v>
      </c>
      <c r="E316" s="2" t="s">
        <v>220</v>
      </c>
    </row>
    <row r="317" spans="1:5" x14ac:dyDescent="0.15">
      <c r="A317" s="2" t="s">
        <v>17</v>
      </c>
      <c r="B317" s="2" t="s">
        <v>448</v>
      </c>
      <c r="C317" s="2" t="s">
        <v>59</v>
      </c>
      <c r="D317" s="2" t="s">
        <v>406</v>
      </c>
      <c r="E317" s="2" t="s">
        <v>220</v>
      </c>
    </row>
    <row r="318" spans="1:5" x14ac:dyDescent="0.15">
      <c r="A318" s="2" t="s">
        <v>17</v>
      </c>
      <c r="B318" s="2" t="s">
        <v>448</v>
      </c>
      <c r="C318" s="2" t="s">
        <v>54</v>
      </c>
      <c r="D318" s="2" t="s">
        <v>341</v>
      </c>
      <c r="E318" s="2" t="s">
        <v>220</v>
      </c>
    </row>
    <row r="319" spans="1:5" x14ac:dyDescent="0.15">
      <c r="A319" s="2" t="s">
        <v>17</v>
      </c>
      <c r="B319" s="2" t="s">
        <v>448</v>
      </c>
      <c r="C319" s="2" t="s">
        <v>60</v>
      </c>
      <c r="D319" s="2" t="s">
        <v>407</v>
      </c>
      <c r="E319" s="2" t="s">
        <v>220</v>
      </c>
    </row>
    <row r="320" spans="1:5" x14ac:dyDescent="0.15">
      <c r="A320" s="2" t="s">
        <v>17</v>
      </c>
      <c r="B320" s="2" t="s">
        <v>448</v>
      </c>
      <c r="C320" s="2" t="s">
        <v>55</v>
      </c>
      <c r="D320" s="2" t="s">
        <v>343</v>
      </c>
      <c r="E320" s="2" t="s">
        <v>220</v>
      </c>
    </row>
    <row r="321" spans="1:5" x14ac:dyDescent="0.15">
      <c r="A321" s="2" t="s">
        <v>17</v>
      </c>
      <c r="B321" s="2" t="s">
        <v>448</v>
      </c>
      <c r="C321" s="2" t="s">
        <v>154</v>
      </c>
      <c r="D321" s="2" t="s">
        <v>408</v>
      </c>
      <c r="E321" s="2" t="s">
        <v>220</v>
      </c>
    </row>
    <row r="322" spans="1:5" x14ac:dyDescent="0.15">
      <c r="A322" s="2" t="s">
        <v>17</v>
      </c>
      <c r="B322" s="2" t="s">
        <v>448</v>
      </c>
      <c r="C322" s="2" t="s">
        <v>61</v>
      </c>
      <c r="D322" s="2" t="s">
        <v>409</v>
      </c>
      <c r="E322" s="2" t="s">
        <v>220</v>
      </c>
    </row>
    <row r="323" spans="1:5" x14ac:dyDescent="0.15">
      <c r="A323" s="2" t="s">
        <v>17</v>
      </c>
      <c r="B323" s="2" t="s">
        <v>448</v>
      </c>
      <c r="C323" s="2" t="s">
        <v>56</v>
      </c>
      <c r="D323" s="2" t="s">
        <v>346</v>
      </c>
      <c r="E323" s="2" t="s">
        <v>220</v>
      </c>
    </row>
    <row r="324" spans="1:5" x14ac:dyDescent="0.15">
      <c r="A324" s="2" t="s">
        <v>17</v>
      </c>
      <c r="B324" s="2" t="s">
        <v>448</v>
      </c>
      <c r="C324" s="2" t="s">
        <v>152</v>
      </c>
      <c r="D324" s="2" t="s">
        <v>111</v>
      </c>
      <c r="E324" s="2" t="s">
        <v>220</v>
      </c>
    </row>
    <row r="325" spans="1:5" x14ac:dyDescent="0.15">
      <c r="A325" s="2" t="s">
        <v>17</v>
      </c>
      <c r="B325" s="2" t="s">
        <v>448</v>
      </c>
      <c r="C325" s="2" t="s">
        <v>69</v>
      </c>
      <c r="D325" s="2" t="s">
        <v>410</v>
      </c>
      <c r="E325" s="2" t="s">
        <v>220</v>
      </c>
    </row>
    <row r="326" spans="1:5" x14ac:dyDescent="0.15">
      <c r="A326" s="2" t="s">
        <v>17</v>
      </c>
      <c r="B326" s="2" t="s">
        <v>448</v>
      </c>
      <c r="C326" s="2" t="s">
        <v>57</v>
      </c>
      <c r="D326" s="2" t="s">
        <v>348</v>
      </c>
      <c r="E326" s="2" t="s">
        <v>220</v>
      </c>
    </row>
    <row r="327" spans="1:5" x14ac:dyDescent="0.15">
      <c r="A327" s="2" t="s">
        <v>17</v>
      </c>
      <c r="B327" s="2" t="s">
        <v>448</v>
      </c>
      <c r="C327" s="2" t="s">
        <v>63</v>
      </c>
      <c r="D327" s="2" t="s">
        <v>411</v>
      </c>
      <c r="E327" s="2" t="s">
        <v>220</v>
      </c>
    </row>
    <row r="328" spans="1:5" x14ac:dyDescent="0.15">
      <c r="A328" s="2" t="s">
        <v>17</v>
      </c>
      <c r="B328" s="2" t="s">
        <v>448</v>
      </c>
      <c r="C328" s="2" t="s">
        <v>58</v>
      </c>
      <c r="D328" s="2" t="s">
        <v>350</v>
      </c>
      <c r="E328" s="2" t="s">
        <v>220</v>
      </c>
    </row>
    <row r="329" spans="1:5" x14ac:dyDescent="0.15">
      <c r="A329" s="2" t="s">
        <v>17</v>
      </c>
      <c r="B329" s="2" t="s">
        <v>448</v>
      </c>
      <c r="C329" s="2" t="s">
        <v>64</v>
      </c>
      <c r="D329" s="2" t="s">
        <v>412</v>
      </c>
      <c r="E329" s="2" t="s">
        <v>220</v>
      </c>
    </row>
    <row r="330" spans="1:5" x14ac:dyDescent="0.15">
      <c r="A330" s="2" t="s">
        <v>17</v>
      </c>
      <c r="B330" s="2" t="s">
        <v>448</v>
      </c>
      <c r="C330" s="2" t="s">
        <v>155</v>
      </c>
      <c r="D330" s="2" t="s">
        <v>352</v>
      </c>
      <c r="E330" s="2" t="s">
        <v>220</v>
      </c>
    </row>
    <row r="331" spans="1:5" x14ac:dyDescent="0.15">
      <c r="A331" s="2" t="s">
        <v>17</v>
      </c>
      <c r="B331" s="2" t="s">
        <v>448</v>
      </c>
      <c r="C331" s="2" t="s">
        <v>156</v>
      </c>
      <c r="D331" s="2" t="s">
        <v>278</v>
      </c>
      <c r="E331" s="2" t="s">
        <v>220</v>
      </c>
    </row>
    <row r="332" spans="1:5" x14ac:dyDescent="0.15">
      <c r="A332" s="2" t="s">
        <v>17</v>
      </c>
      <c r="B332" s="2" t="s">
        <v>448</v>
      </c>
      <c r="C332" s="2" t="s">
        <v>157</v>
      </c>
      <c r="D332" s="2" t="s">
        <v>279</v>
      </c>
      <c r="E332" s="2" t="s">
        <v>220</v>
      </c>
    </row>
    <row r="333" spans="1:5" x14ac:dyDescent="0.15">
      <c r="A333" s="2" t="s">
        <v>17</v>
      </c>
      <c r="B333" s="2" t="s">
        <v>448</v>
      </c>
      <c r="C333" s="2" t="s">
        <v>158</v>
      </c>
      <c r="D333" s="2" t="s">
        <v>413</v>
      </c>
      <c r="E333" s="2" t="s">
        <v>220</v>
      </c>
    </row>
    <row r="334" spans="1:5" x14ac:dyDescent="0.15">
      <c r="A334" s="2" t="s">
        <v>17</v>
      </c>
      <c r="B334" s="2" t="s">
        <v>448</v>
      </c>
      <c r="C334" s="2" t="s">
        <v>227</v>
      </c>
      <c r="D334" s="2" t="s">
        <v>394</v>
      </c>
      <c r="E334" s="2" t="s">
        <v>220</v>
      </c>
    </row>
    <row r="335" spans="1:5" x14ac:dyDescent="0.15">
      <c r="A335" s="2" t="s">
        <v>17</v>
      </c>
      <c r="B335" s="2" t="s">
        <v>448</v>
      </c>
      <c r="C335" s="2" t="s">
        <v>226</v>
      </c>
      <c r="D335" s="2" t="s">
        <v>395</v>
      </c>
      <c r="E335" s="2" t="s">
        <v>220</v>
      </c>
    </row>
    <row r="336" spans="1:5" ht="409.5" x14ac:dyDescent="0.15">
      <c r="A336" s="2" t="s">
        <v>17</v>
      </c>
      <c r="B336" s="2" t="s">
        <v>460</v>
      </c>
      <c r="C336" s="2" t="s">
        <v>59</v>
      </c>
      <c r="D336" s="2" t="s">
        <v>424</v>
      </c>
      <c r="E336" s="3" t="s">
        <v>146</v>
      </c>
    </row>
    <row r="337" spans="1:5" ht="81" x14ac:dyDescent="0.15">
      <c r="A337" s="2" t="s">
        <v>17</v>
      </c>
      <c r="B337" s="2" t="s">
        <v>460</v>
      </c>
      <c r="C337" s="2" t="s">
        <v>58</v>
      </c>
      <c r="D337" s="2" t="s">
        <v>437</v>
      </c>
      <c r="E337" s="3" t="s">
        <v>461</v>
      </c>
    </row>
    <row r="338" spans="1:5" ht="409.5" x14ac:dyDescent="0.15">
      <c r="A338" s="2" t="s">
        <v>17</v>
      </c>
      <c r="B338" s="2" t="s">
        <v>462</v>
      </c>
      <c r="C338" s="2" t="s">
        <v>59</v>
      </c>
      <c r="D338" s="2" t="s">
        <v>424</v>
      </c>
      <c r="E338" s="3" t="s">
        <v>146</v>
      </c>
    </row>
    <row r="339" spans="1:5" x14ac:dyDescent="0.15">
      <c r="A339" s="2" t="s">
        <v>17</v>
      </c>
      <c r="B339" s="2" t="s">
        <v>462</v>
      </c>
      <c r="C339" s="2" t="s">
        <v>421</v>
      </c>
      <c r="D339" s="2" t="s">
        <v>436</v>
      </c>
      <c r="E339" s="2" t="s">
        <v>220</v>
      </c>
    </row>
    <row r="340" spans="1:5" ht="409.5" x14ac:dyDescent="0.15">
      <c r="A340" s="2" t="s">
        <v>17</v>
      </c>
      <c r="B340" s="2" t="s">
        <v>463</v>
      </c>
      <c r="C340" s="2" t="s">
        <v>59</v>
      </c>
      <c r="D340" s="2" t="s">
        <v>424</v>
      </c>
      <c r="E340" s="3" t="s">
        <v>146</v>
      </c>
    </row>
    <row r="341" spans="1:5" ht="121.5" x14ac:dyDescent="0.15">
      <c r="A341" s="2" t="s">
        <v>17</v>
      </c>
      <c r="B341" s="2" t="s">
        <v>467</v>
      </c>
      <c r="C341" s="2" t="s">
        <v>51</v>
      </c>
      <c r="D341" s="2" t="s">
        <v>1</v>
      </c>
      <c r="E341" s="3" t="s">
        <v>468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66"/>
  <sheetViews>
    <sheetView tabSelected="1" view="pageBreakPreview" topLeftCell="B1" zoomScale="85" zoomScaleNormal="100" zoomScaleSheetLayoutView="85" workbookViewId="0">
      <selection activeCell="P20" sqref="P20:Q20"/>
    </sheetView>
  </sheetViews>
  <sheetFormatPr defaultRowHeight="13.5" x14ac:dyDescent="0.15"/>
  <cols>
    <col min="1" max="1" width="4" hidden="1" customWidth="1"/>
    <col min="2" max="2" width="1.625" customWidth="1"/>
    <col min="3" max="3" width="12.375" customWidth="1"/>
    <col min="4" max="4" width="1.625" customWidth="1"/>
    <col min="5" max="5" width="3.125" customWidth="1"/>
    <col min="6" max="6" width="6.5" customWidth="1"/>
    <col min="9" max="9" width="13.125" customWidth="1"/>
    <col min="10" max="10" width="5.75" customWidth="1"/>
    <col min="11" max="11" width="2.375" customWidth="1"/>
    <col min="12" max="12" width="13.25" customWidth="1"/>
    <col min="13" max="13" width="7.875" customWidth="1"/>
    <col min="14" max="14" width="1.625" customWidth="1"/>
    <col min="15" max="15" width="1.625" hidden="1" customWidth="1"/>
    <col min="16" max="16" width="1.625" customWidth="1"/>
    <col min="17" max="17" width="7.875" customWidth="1"/>
  </cols>
  <sheetData>
    <row r="1" spans="1:17" ht="13.5" customHeight="1" x14ac:dyDescent="0.15">
      <c r="A1" s="11" t="s">
        <v>382</v>
      </c>
      <c r="B1" s="34" t="s">
        <v>0</v>
      </c>
      <c r="C1" s="34"/>
      <c r="D1" s="34"/>
      <c r="E1" s="34"/>
      <c r="F1" s="34"/>
      <c r="G1" s="34"/>
      <c r="H1" s="34"/>
      <c r="I1" s="34"/>
      <c r="Q1" s="12" t="str">
        <f>A1&amp;" / "&amp;A2</f>
        <v>##印刷情報.共通情報.単位ページ番号 / ##印刷情報.共通情報.単位ページ総数</v>
      </c>
    </row>
    <row r="2" spans="1:17" ht="13.5" customHeight="1" x14ac:dyDescent="0.15">
      <c r="A2" s="11" t="s">
        <v>383</v>
      </c>
      <c r="B2" s="35"/>
      <c r="C2" s="35"/>
      <c r="D2" s="35"/>
      <c r="E2" s="35"/>
      <c r="F2" s="35"/>
      <c r="G2" s="35"/>
      <c r="H2" s="35"/>
      <c r="I2" s="35"/>
    </row>
    <row r="3" spans="1:17" x14ac:dyDescent="0.15">
      <c r="B3" s="32" t="s">
        <v>5</v>
      </c>
      <c r="C3" s="32"/>
      <c r="D3" s="32"/>
      <c r="E3" s="20" t="s">
        <v>53</v>
      </c>
      <c r="F3" s="20"/>
      <c r="G3" s="20"/>
      <c r="H3" s="20"/>
      <c r="I3" s="20"/>
      <c r="L3" s="13" t="s">
        <v>2</v>
      </c>
      <c r="M3" s="25" t="s">
        <v>59</v>
      </c>
      <c r="N3" s="25"/>
      <c r="O3" s="25"/>
      <c r="P3" s="25"/>
      <c r="Q3" s="25"/>
    </row>
    <row r="4" spans="1:17" x14ac:dyDescent="0.15">
      <c r="B4" s="32" t="s">
        <v>6</v>
      </c>
      <c r="C4" s="32"/>
      <c r="D4" s="32"/>
      <c r="E4" s="20" t="s">
        <v>54</v>
      </c>
      <c r="F4" s="20"/>
      <c r="G4" s="20"/>
      <c r="H4" s="20"/>
      <c r="I4" s="20"/>
      <c r="L4" s="13" t="s">
        <v>11</v>
      </c>
      <c r="M4" s="26" t="s">
        <v>60</v>
      </c>
      <c r="N4" s="26"/>
      <c r="O4" s="26"/>
      <c r="P4" s="26"/>
      <c r="Q4" s="26"/>
    </row>
    <row r="5" spans="1:17" x14ac:dyDescent="0.15">
      <c r="B5" s="37" t="s">
        <v>7</v>
      </c>
      <c r="C5" s="38"/>
      <c r="D5" s="39"/>
      <c r="E5" s="21" t="s">
        <v>55</v>
      </c>
      <c r="F5" s="21"/>
      <c r="G5" s="21"/>
      <c r="H5" s="21"/>
      <c r="I5" s="21"/>
      <c r="L5" s="13" t="s">
        <v>67</v>
      </c>
      <c r="M5" s="25" t="s">
        <v>154</v>
      </c>
      <c r="N5" s="25"/>
      <c r="O5" s="25"/>
      <c r="P5" s="25"/>
      <c r="Q5" s="25"/>
    </row>
    <row r="6" spans="1:17" x14ac:dyDescent="0.15">
      <c r="B6" s="40"/>
      <c r="C6" s="41"/>
      <c r="D6" s="42"/>
      <c r="E6" s="21"/>
      <c r="F6" s="21"/>
      <c r="G6" s="21"/>
      <c r="H6" s="21"/>
      <c r="I6" s="21"/>
      <c r="L6" s="13" t="s">
        <v>3</v>
      </c>
      <c r="M6" s="25" t="s">
        <v>61</v>
      </c>
      <c r="N6" s="25"/>
      <c r="O6" s="25"/>
      <c r="P6" s="25"/>
      <c r="Q6" s="25"/>
    </row>
    <row r="7" spans="1:17" x14ac:dyDescent="0.15">
      <c r="B7" s="32" t="s">
        <v>8</v>
      </c>
      <c r="C7" s="32"/>
      <c r="D7" s="32"/>
      <c r="E7" s="22" t="s">
        <v>56</v>
      </c>
      <c r="F7" s="22"/>
      <c r="G7" s="22"/>
      <c r="H7" s="22"/>
      <c r="I7" s="22"/>
      <c r="L7" s="13" t="s">
        <v>66</v>
      </c>
      <c r="M7" s="4" t="s">
        <v>153</v>
      </c>
      <c r="N7" s="18" t="s">
        <v>68</v>
      </c>
      <c r="O7" s="18"/>
      <c r="P7" s="18"/>
      <c r="Q7" s="5" t="s">
        <v>69</v>
      </c>
    </row>
    <row r="8" spans="1:17" x14ac:dyDescent="0.15">
      <c r="B8" s="32" t="s">
        <v>9</v>
      </c>
      <c r="C8" s="32"/>
      <c r="D8" s="32"/>
      <c r="E8" s="22" t="s">
        <v>57</v>
      </c>
      <c r="F8" s="22"/>
      <c r="G8" s="22"/>
      <c r="H8" s="22"/>
      <c r="I8" s="22"/>
      <c r="L8" s="13" t="s">
        <v>4</v>
      </c>
      <c r="M8" s="27" t="s">
        <v>63</v>
      </c>
      <c r="N8" s="27"/>
      <c r="O8" s="27"/>
      <c r="P8" s="27"/>
      <c r="Q8" s="27"/>
    </row>
    <row r="9" spans="1:17" x14ac:dyDescent="0.15">
      <c r="B9" s="32" t="s">
        <v>10</v>
      </c>
      <c r="C9" s="32"/>
      <c r="D9" s="32"/>
      <c r="E9" s="17" t="str">
        <f>IF(F9="","無","有")</f>
        <v>有</v>
      </c>
      <c r="F9" s="23" t="s">
        <v>420</v>
      </c>
      <c r="G9" s="23"/>
      <c r="H9" s="23"/>
      <c r="I9" s="24"/>
      <c r="L9" s="13" t="s">
        <v>65</v>
      </c>
      <c r="M9" s="25" t="s">
        <v>64</v>
      </c>
      <c r="N9" s="25"/>
      <c r="O9" s="25"/>
      <c r="P9" s="25"/>
      <c r="Q9" s="25"/>
    </row>
    <row r="11" spans="1:17" ht="14.45" customHeight="1" x14ac:dyDescent="0.15">
      <c r="B11" s="32" t="s">
        <v>12</v>
      </c>
      <c r="C11" s="32"/>
      <c r="D11" s="32"/>
      <c r="E11" s="32" t="s">
        <v>13</v>
      </c>
      <c r="F11" s="32"/>
      <c r="G11" s="32"/>
      <c r="H11" s="32"/>
      <c r="I11" s="32"/>
      <c r="J11" s="32"/>
      <c r="K11" s="32" t="s">
        <v>144</v>
      </c>
      <c r="L11" s="32"/>
      <c r="M11" s="29" t="s">
        <v>14</v>
      </c>
      <c r="N11" s="30"/>
      <c r="O11" s="16"/>
      <c r="P11" s="32" t="s">
        <v>405</v>
      </c>
      <c r="Q11" s="32"/>
    </row>
    <row r="12" spans="1:17" ht="14.45" customHeight="1" x14ac:dyDescent="0.15">
      <c r="A12" s="10" t="s">
        <v>159</v>
      </c>
      <c r="B12" t="str">
        <f>IF(AND(A12&lt;&gt;"",A12&lt;&gt;"",IF(AND(A12="透析困難",A11="透析困難"),0,1)=1,IF(AND(A12="加算・管理料",A11="加算・管理料"),0,1)=1),A12,"")</f>
        <v>##レセプト.明細.データ分類</v>
      </c>
      <c r="C12" s="9"/>
      <c r="D12" s="8"/>
      <c r="E12" s="33" t="s">
        <v>155</v>
      </c>
      <c r="F12" s="33"/>
      <c r="G12" s="33"/>
      <c r="H12" s="33"/>
      <c r="I12" s="33"/>
      <c r="J12" s="33"/>
      <c r="K12" s="33" t="s">
        <v>156</v>
      </c>
      <c r="L12" s="33"/>
      <c r="M12" s="31" t="s">
        <v>259</v>
      </c>
      <c r="N12" s="31"/>
      <c r="O12" s="15" t="s">
        <v>158</v>
      </c>
      <c r="P12" s="28" t="str">
        <f>IF(O12&lt;&gt;"",O12,"")</f>
        <v>##レセプト.明細.単位</v>
      </c>
      <c r="Q12" s="28"/>
    </row>
    <row r="13" spans="1:17" ht="14.45" customHeight="1" x14ac:dyDescent="0.15">
      <c r="A13" s="10"/>
      <c r="B13" t="str">
        <f>IF(AND(A13&lt;&gt;"",A13&lt;&gt;"メーカ",IF(AND(A13="透析困難",A12="透析困難"),0,1)=1,IF(AND(A13="加算・管理料",A12="加算・管理料"),0,1)=1),A13,"")</f>
        <v/>
      </c>
      <c r="C13" s="9"/>
      <c r="D13" s="8" t="str">
        <f>IF(A13="メーカ",A13,"")</f>
        <v/>
      </c>
      <c r="E13" s="19"/>
      <c r="F13" s="19"/>
      <c r="G13" s="19"/>
      <c r="H13" s="19"/>
      <c r="I13" s="19"/>
      <c r="J13" s="19"/>
      <c r="K13" s="19"/>
      <c r="L13" s="19"/>
      <c r="M13" s="28"/>
      <c r="N13" s="28"/>
      <c r="O13" s="14"/>
      <c r="P13" s="28" t="str">
        <f>IF(O13&lt;&gt;"",O13,"")</f>
        <v/>
      </c>
      <c r="Q13" s="28"/>
    </row>
    <row r="14" spans="1:17" ht="14.45" customHeight="1" x14ac:dyDescent="0.15">
      <c r="A14" s="10"/>
      <c r="B14" t="str">
        <f>IF(AND(A14&lt;&gt;"",A14&lt;&gt;"面積",IF(AND(A14="透析困難",A13="透析困難"),0,1)=1,IF(AND(A14="加算・管理料",A13="加算・管理料"),0,1)=1),A14,"")</f>
        <v/>
      </c>
      <c r="C14" s="9"/>
      <c r="D14" s="8" t="str">
        <f>IF(A14="面積",A14,"")</f>
        <v/>
      </c>
      <c r="E14" s="19"/>
      <c r="F14" s="19"/>
      <c r="G14" s="19"/>
      <c r="H14" s="19"/>
      <c r="I14" s="19"/>
      <c r="J14" s="19"/>
      <c r="K14" s="19"/>
      <c r="L14" s="19"/>
      <c r="M14" s="28"/>
      <c r="N14" s="28"/>
      <c r="O14" s="14"/>
      <c r="P14" s="28" t="str">
        <f>IF(A14&lt;&gt;"",IF(A14="面積","㎡",IF(O14&lt;&gt;"",O14,"")),"")</f>
        <v/>
      </c>
      <c r="Q14" s="28"/>
    </row>
    <row r="15" spans="1:17" ht="14.45" customHeight="1" x14ac:dyDescent="0.15">
      <c r="A15" s="10"/>
      <c r="B15" t="str">
        <f>IF(AND(A15&lt;&gt;"",A15&lt;&gt;"機能分類",IF(AND(A15="透析困難",A14="透析困難"),0,1)=1,IF(AND(A15="加算・管理料",A14="加算・管理料"),0,1)=1),A15,"")</f>
        <v/>
      </c>
      <c r="C15" s="9"/>
      <c r="D15" s="8" t="str">
        <f>IF(A15="機能分類",A15,"")</f>
        <v/>
      </c>
      <c r="E15" s="19"/>
      <c r="F15" s="19"/>
      <c r="G15" s="19"/>
      <c r="H15" s="19"/>
      <c r="I15" s="19"/>
      <c r="J15" s="19"/>
      <c r="K15" s="19"/>
      <c r="L15" s="19"/>
      <c r="M15" s="28"/>
      <c r="N15" s="28"/>
      <c r="O15" s="14"/>
      <c r="P15" s="28" t="str">
        <f>IF(A15&lt;&gt;"",IF(A15="機能分類","型",IF(O15&lt;&gt;"",O15,"")),"")</f>
        <v/>
      </c>
      <c r="Q15" s="28"/>
    </row>
    <row r="16" spans="1:17" ht="14.45" customHeight="1" x14ac:dyDescent="0.15">
      <c r="A16" s="10"/>
      <c r="B16" t="str">
        <f>IF(AND(A16&lt;&gt;"",A16&lt;&gt;"滅菌",IF(AND(A16="透析困難",A15="透析困難"),0,1)=1,IF(AND(A16="加算・管理料",A15="加算・管理料"),0,1)=1),A16,"")</f>
        <v/>
      </c>
      <c r="C16" s="9"/>
      <c r="D16" s="8" t="str">
        <f>IF(A16="滅菌",A16,"")</f>
        <v/>
      </c>
      <c r="E16" s="19"/>
      <c r="F16" s="19"/>
      <c r="G16" s="19"/>
      <c r="H16" s="19"/>
      <c r="I16" s="19"/>
      <c r="J16" s="19"/>
      <c r="K16" s="19"/>
      <c r="L16" s="19"/>
      <c r="M16" s="28"/>
      <c r="N16" s="28"/>
      <c r="O16" s="14"/>
      <c r="P16" s="28" t="str">
        <f t="shared" ref="P16:P64" si="0">IF(O16&lt;&gt;"",O16,"")</f>
        <v/>
      </c>
      <c r="Q16" s="28"/>
    </row>
    <row r="17" spans="1:17" ht="14.45" customHeight="1" x14ac:dyDescent="0.15">
      <c r="A17" s="10"/>
      <c r="B17" t="str">
        <f t="shared" ref="B17:B64" si="1">IF(AND(A17&lt;&gt;"",A17&lt;&gt;"",IF(AND(A17="透析困難",A16="透析困難"),0,1)=1,IF(AND(A17="加算・管理料",A16="加算・管理料"),0,1)=1),A17,"")</f>
        <v/>
      </c>
      <c r="C17" s="9"/>
      <c r="D17" s="8"/>
      <c r="E17" s="19"/>
      <c r="F17" s="19"/>
      <c r="G17" s="19"/>
      <c r="H17" s="19"/>
      <c r="I17" s="19"/>
      <c r="J17" s="19"/>
      <c r="K17" s="19"/>
      <c r="L17" s="19"/>
      <c r="M17" s="28"/>
      <c r="N17" s="28"/>
      <c r="O17" s="14"/>
      <c r="P17" s="28" t="str">
        <f t="shared" si="0"/>
        <v/>
      </c>
      <c r="Q17" s="28"/>
    </row>
    <row r="18" spans="1:17" ht="14.45" customHeight="1" x14ac:dyDescent="0.15">
      <c r="A18" s="10"/>
      <c r="B18" t="str">
        <f t="shared" si="1"/>
        <v/>
      </c>
      <c r="C18" s="9"/>
      <c r="D18" s="8"/>
      <c r="E18" s="19"/>
      <c r="F18" s="19"/>
      <c r="G18" s="19"/>
      <c r="H18" s="19"/>
      <c r="I18" s="19"/>
      <c r="J18" s="19"/>
      <c r="K18" s="19"/>
      <c r="L18" s="19"/>
      <c r="M18" s="28"/>
      <c r="N18" s="28"/>
      <c r="O18" s="14"/>
      <c r="P18" s="28" t="str">
        <f t="shared" si="0"/>
        <v/>
      </c>
      <c r="Q18" s="28"/>
    </row>
    <row r="19" spans="1:17" ht="14.45" customHeight="1" x14ac:dyDescent="0.15">
      <c r="A19" s="10"/>
      <c r="B19" t="str">
        <f t="shared" si="1"/>
        <v/>
      </c>
      <c r="C19" s="9"/>
      <c r="D19" s="8"/>
      <c r="E19" s="19"/>
      <c r="F19" s="19"/>
      <c r="G19" s="19"/>
      <c r="H19" s="19"/>
      <c r="I19" s="19"/>
      <c r="J19" s="19"/>
      <c r="K19" s="19"/>
      <c r="L19" s="19"/>
      <c r="M19" s="28"/>
      <c r="N19" s="28"/>
      <c r="O19" s="14"/>
      <c r="P19" s="28" t="str">
        <f t="shared" si="0"/>
        <v/>
      </c>
      <c r="Q19" s="28"/>
    </row>
    <row r="20" spans="1:17" ht="14.45" customHeight="1" x14ac:dyDescent="0.15">
      <c r="A20" s="10"/>
      <c r="B20" t="str">
        <f t="shared" si="1"/>
        <v/>
      </c>
      <c r="C20" s="9"/>
      <c r="D20" s="8"/>
      <c r="E20" s="19"/>
      <c r="F20" s="19"/>
      <c r="G20" s="19"/>
      <c r="H20" s="19"/>
      <c r="I20" s="19"/>
      <c r="J20" s="19"/>
      <c r="K20" s="19"/>
      <c r="L20" s="19"/>
      <c r="M20" s="28"/>
      <c r="N20" s="28"/>
      <c r="O20" s="14"/>
      <c r="P20" s="28" t="str">
        <f t="shared" si="0"/>
        <v/>
      </c>
      <c r="Q20" s="28"/>
    </row>
    <row r="21" spans="1:17" ht="14.45" customHeight="1" x14ac:dyDescent="0.15">
      <c r="A21" s="10"/>
      <c r="B21" t="str">
        <f t="shared" si="1"/>
        <v/>
      </c>
      <c r="C21" s="9"/>
      <c r="D21" s="8"/>
      <c r="E21" s="19"/>
      <c r="F21" s="19"/>
      <c r="G21" s="19"/>
      <c r="H21" s="19"/>
      <c r="I21" s="19"/>
      <c r="J21" s="19"/>
      <c r="K21" s="19"/>
      <c r="L21" s="19"/>
      <c r="M21" s="28"/>
      <c r="N21" s="28"/>
      <c r="O21" s="14"/>
      <c r="P21" s="28" t="str">
        <f t="shared" si="0"/>
        <v/>
      </c>
      <c r="Q21" s="28"/>
    </row>
    <row r="22" spans="1:17" ht="14.45" customHeight="1" x14ac:dyDescent="0.15">
      <c r="A22" s="10"/>
      <c r="B22" t="str">
        <f t="shared" si="1"/>
        <v/>
      </c>
      <c r="C22" s="9"/>
      <c r="D22" s="8"/>
      <c r="E22" s="19"/>
      <c r="F22" s="19"/>
      <c r="G22" s="19"/>
      <c r="H22" s="19"/>
      <c r="I22" s="19"/>
      <c r="J22" s="19"/>
      <c r="K22" s="19"/>
      <c r="L22" s="19"/>
      <c r="M22" s="28"/>
      <c r="N22" s="28"/>
      <c r="O22" s="14"/>
      <c r="P22" s="28" t="str">
        <f t="shared" si="0"/>
        <v/>
      </c>
      <c r="Q22" s="28"/>
    </row>
    <row r="23" spans="1:17" ht="14.45" customHeight="1" x14ac:dyDescent="0.15">
      <c r="A23" s="10"/>
      <c r="B23" t="str">
        <f t="shared" si="1"/>
        <v/>
      </c>
      <c r="C23" s="9"/>
      <c r="D23" s="8"/>
      <c r="E23" s="19"/>
      <c r="F23" s="19"/>
      <c r="G23" s="19"/>
      <c r="H23" s="19"/>
      <c r="I23" s="19"/>
      <c r="J23" s="19"/>
      <c r="K23" s="19"/>
      <c r="L23" s="19"/>
      <c r="M23" s="28"/>
      <c r="N23" s="28"/>
      <c r="O23" s="14"/>
      <c r="P23" s="28" t="str">
        <f t="shared" si="0"/>
        <v/>
      </c>
      <c r="Q23" s="28"/>
    </row>
    <row r="24" spans="1:17" ht="14.45" customHeight="1" x14ac:dyDescent="0.15">
      <c r="A24" s="10"/>
      <c r="B24" t="str">
        <f t="shared" si="1"/>
        <v/>
      </c>
      <c r="C24" s="9"/>
      <c r="D24" s="8"/>
      <c r="E24" s="19"/>
      <c r="F24" s="19"/>
      <c r="G24" s="19"/>
      <c r="H24" s="19"/>
      <c r="I24" s="19"/>
      <c r="J24" s="19"/>
      <c r="K24" s="19"/>
      <c r="L24" s="19"/>
      <c r="M24" s="28"/>
      <c r="N24" s="28"/>
      <c r="O24" s="14"/>
      <c r="P24" s="28" t="str">
        <f t="shared" si="0"/>
        <v/>
      </c>
      <c r="Q24" s="28"/>
    </row>
    <row r="25" spans="1:17" ht="14.45" customHeight="1" x14ac:dyDescent="0.15">
      <c r="A25" s="10"/>
      <c r="B25" t="str">
        <f t="shared" si="1"/>
        <v/>
      </c>
      <c r="C25" s="9"/>
      <c r="D25" s="8"/>
      <c r="E25" s="19"/>
      <c r="F25" s="19"/>
      <c r="G25" s="19"/>
      <c r="H25" s="19"/>
      <c r="I25" s="19"/>
      <c r="J25" s="19"/>
      <c r="K25" s="19"/>
      <c r="L25" s="19"/>
      <c r="M25" s="28"/>
      <c r="N25" s="28"/>
      <c r="O25" s="14"/>
      <c r="P25" s="28" t="str">
        <f t="shared" si="0"/>
        <v/>
      </c>
      <c r="Q25" s="28"/>
    </row>
    <row r="26" spans="1:17" ht="14.45" customHeight="1" x14ac:dyDescent="0.15">
      <c r="A26" s="10"/>
      <c r="B26" t="str">
        <f t="shared" si="1"/>
        <v/>
      </c>
      <c r="C26" s="9"/>
      <c r="D26" s="8"/>
      <c r="E26" s="19"/>
      <c r="F26" s="19"/>
      <c r="G26" s="19"/>
      <c r="H26" s="19"/>
      <c r="I26" s="19"/>
      <c r="J26" s="19"/>
      <c r="K26" s="19"/>
      <c r="L26" s="19"/>
      <c r="M26" s="28"/>
      <c r="N26" s="28"/>
      <c r="O26" s="14"/>
      <c r="P26" s="28" t="str">
        <f t="shared" si="0"/>
        <v/>
      </c>
      <c r="Q26" s="28"/>
    </row>
    <row r="27" spans="1:17" ht="14.45" customHeight="1" x14ac:dyDescent="0.15">
      <c r="A27" s="10"/>
      <c r="B27" t="str">
        <f t="shared" si="1"/>
        <v/>
      </c>
      <c r="C27" s="9"/>
      <c r="D27" s="8"/>
      <c r="E27" s="19"/>
      <c r="F27" s="19"/>
      <c r="G27" s="19"/>
      <c r="H27" s="19"/>
      <c r="I27" s="19"/>
      <c r="J27" s="19"/>
      <c r="K27" s="19"/>
      <c r="L27" s="19"/>
      <c r="M27" s="28"/>
      <c r="N27" s="28"/>
      <c r="O27" s="14"/>
      <c r="P27" s="28" t="str">
        <f t="shared" si="0"/>
        <v/>
      </c>
      <c r="Q27" s="28"/>
    </row>
    <row r="28" spans="1:17" ht="14.45" customHeight="1" x14ac:dyDescent="0.15">
      <c r="A28" s="10"/>
      <c r="B28" t="str">
        <f t="shared" si="1"/>
        <v/>
      </c>
      <c r="C28" s="9"/>
      <c r="D28" s="8"/>
      <c r="E28" s="19"/>
      <c r="F28" s="19"/>
      <c r="G28" s="19"/>
      <c r="H28" s="19"/>
      <c r="I28" s="19"/>
      <c r="J28" s="19"/>
      <c r="K28" s="19"/>
      <c r="L28" s="19"/>
      <c r="M28" s="28"/>
      <c r="N28" s="28"/>
      <c r="O28" s="14"/>
      <c r="P28" s="28" t="str">
        <f t="shared" si="0"/>
        <v/>
      </c>
      <c r="Q28" s="28"/>
    </row>
    <row r="29" spans="1:17" ht="14.45" customHeight="1" x14ac:dyDescent="0.15">
      <c r="A29" s="10"/>
      <c r="B29" t="str">
        <f t="shared" si="1"/>
        <v/>
      </c>
      <c r="C29" s="9"/>
      <c r="D29" s="8"/>
      <c r="E29" s="19"/>
      <c r="F29" s="19"/>
      <c r="G29" s="19"/>
      <c r="H29" s="19"/>
      <c r="I29" s="19"/>
      <c r="J29" s="19"/>
      <c r="K29" s="19"/>
      <c r="L29" s="19"/>
      <c r="M29" s="28"/>
      <c r="N29" s="28"/>
      <c r="O29" s="14"/>
      <c r="P29" s="28" t="str">
        <f t="shared" si="0"/>
        <v/>
      </c>
      <c r="Q29" s="28"/>
    </row>
    <row r="30" spans="1:17" ht="14.45" customHeight="1" x14ac:dyDescent="0.15">
      <c r="A30" s="10"/>
      <c r="B30" t="str">
        <f t="shared" si="1"/>
        <v/>
      </c>
      <c r="C30" s="9"/>
      <c r="D30" s="8"/>
      <c r="E30" s="19"/>
      <c r="F30" s="19"/>
      <c r="G30" s="19"/>
      <c r="H30" s="19"/>
      <c r="I30" s="19"/>
      <c r="J30" s="19"/>
      <c r="K30" s="19"/>
      <c r="L30" s="19"/>
      <c r="M30" s="28"/>
      <c r="N30" s="28"/>
      <c r="O30" s="14"/>
      <c r="P30" s="28" t="str">
        <f t="shared" si="0"/>
        <v/>
      </c>
      <c r="Q30" s="28"/>
    </row>
    <row r="31" spans="1:17" ht="14.45" customHeight="1" x14ac:dyDescent="0.15">
      <c r="A31" s="10"/>
      <c r="B31" t="str">
        <f t="shared" si="1"/>
        <v/>
      </c>
      <c r="C31" s="9"/>
      <c r="D31" s="8"/>
      <c r="E31" s="19"/>
      <c r="F31" s="19"/>
      <c r="G31" s="19"/>
      <c r="H31" s="19"/>
      <c r="I31" s="19"/>
      <c r="J31" s="19"/>
      <c r="K31" s="19"/>
      <c r="L31" s="19"/>
      <c r="M31" s="28"/>
      <c r="N31" s="28"/>
      <c r="O31" s="14"/>
      <c r="P31" s="28" t="str">
        <f t="shared" si="0"/>
        <v/>
      </c>
      <c r="Q31" s="28"/>
    </row>
    <row r="32" spans="1:17" ht="14.45" customHeight="1" x14ac:dyDescent="0.15">
      <c r="A32" s="10"/>
      <c r="B32" t="str">
        <f t="shared" si="1"/>
        <v/>
      </c>
      <c r="C32" s="9"/>
      <c r="D32" s="8"/>
      <c r="E32" s="19"/>
      <c r="F32" s="19"/>
      <c r="G32" s="19"/>
      <c r="H32" s="19"/>
      <c r="I32" s="19"/>
      <c r="J32" s="19"/>
      <c r="K32" s="19"/>
      <c r="L32" s="19"/>
      <c r="M32" s="28"/>
      <c r="N32" s="28"/>
      <c r="O32" s="14"/>
      <c r="P32" s="28" t="str">
        <f t="shared" si="0"/>
        <v/>
      </c>
      <c r="Q32" s="28"/>
    </row>
    <row r="33" spans="1:17" ht="14.45" customHeight="1" x14ac:dyDescent="0.15">
      <c r="A33" s="10"/>
      <c r="B33" t="str">
        <f t="shared" si="1"/>
        <v/>
      </c>
      <c r="C33" s="9"/>
      <c r="D33" s="8"/>
      <c r="E33" s="19"/>
      <c r="F33" s="19"/>
      <c r="G33" s="19"/>
      <c r="H33" s="19"/>
      <c r="I33" s="19"/>
      <c r="J33" s="19"/>
      <c r="K33" s="19"/>
      <c r="L33" s="19"/>
      <c r="M33" s="28"/>
      <c r="N33" s="28"/>
      <c r="O33" s="14"/>
      <c r="P33" s="28" t="str">
        <f t="shared" si="0"/>
        <v/>
      </c>
      <c r="Q33" s="28"/>
    </row>
    <row r="34" spans="1:17" ht="14.45" customHeight="1" x14ac:dyDescent="0.15">
      <c r="A34" s="10"/>
      <c r="B34" t="str">
        <f t="shared" si="1"/>
        <v/>
      </c>
      <c r="C34" s="9"/>
      <c r="D34" s="8"/>
      <c r="E34" s="19"/>
      <c r="F34" s="19"/>
      <c r="G34" s="19"/>
      <c r="H34" s="19"/>
      <c r="I34" s="19"/>
      <c r="J34" s="19"/>
      <c r="K34" s="19"/>
      <c r="L34" s="19"/>
      <c r="M34" s="28"/>
      <c r="N34" s="28"/>
      <c r="O34" s="14"/>
      <c r="P34" s="28" t="str">
        <f t="shared" si="0"/>
        <v/>
      </c>
      <c r="Q34" s="28"/>
    </row>
    <row r="35" spans="1:17" ht="14.45" customHeight="1" x14ac:dyDescent="0.15">
      <c r="A35" s="10"/>
      <c r="B35" t="str">
        <f t="shared" si="1"/>
        <v/>
      </c>
      <c r="C35" s="9"/>
      <c r="D35" s="8"/>
      <c r="E35" s="19"/>
      <c r="F35" s="19"/>
      <c r="G35" s="19"/>
      <c r="H35" s="19"/>
      <c r="I35" s="19"/>
      <c r="J35" s="19"/>
      <c r="K35" s="19"/>
      <c r="L35" s="19"/>
      <c r="M35" s="28"/>
      <c r="N35" s="28"/>
      <c r="O35" s="14"/>
      <c r="P35" s="28" t="str">
        <f t="shared" si="0"/>
        <v/>
      </c>
      <c r="Q35" s="28"/>
    </row>
    <row r="36" spans="1:17" ht="14.45" customHeight="1" x14ac:dyDescent="0.15">
      <c r="A36" s="10"/>
      <c r="B36" t="str">
        <f t="shared" si="1"/>
        <v/>
      </c>
      <c r="C36" s="9"/>
      <c r="D36" s="8"/>
      <c r="E36" s="19"/>
      <c r="F36" s="19"/>
      <c r="G36" s="19"/>
      <c r="H36" s="19"/>
      <c r="I36" s="19"/>
      <c r="J36" s="19"/>
      <c r="K36" s="19"/>
      <c r="L36" s="19"/>
      <c r="M36" s="28"/>
      <c r="N36" s="28"/>
      <c r="O36" s="14"/>
      <c r="P36" s="28" t="str">
        <f t="shared" si="0"/>
        <v/>
      </c>
      <c r="Q36" s="28"/>
    </row>
    <row r="37" spans="1:17" ht="14.45" customHeight="1" x14ac:dyDescent="0.15">
      <c r="A37" s="10"/>
      <c r="B37" t="str">
        <f t="shared" si="1"/>
        <v/>
      </c>
      <c r="C37" s="9"/>
      <c r="D37" s="8"/>
      <c r="E37" s="19"/>
      <c r="F37" s="19"/>
      <c r="G37" s="19"/>
      <c r="H37" s="19"/>
      <c r="I37" s="19"/>
      <c r="J37" s="19"/>
      <c r="K37" s="19"/>
      <c r="L37" s="19"/>
      <c r="M37" s="28"/>
      <c r="N37" s="28"/>
      <c r="O37" s="14"/>
      <c r="P37" s="28" t="str">
        <f t="shared" si="0"/>
        <v/>
      </c>
      <c r="Q37" s="28"/>
    </row>
    <row r="38" spans="1:17" ht="14.45" customHeight="1" x14ac:dyDescent="0.15">
      <c r="A38" s="10"/>
      <c r="B38" t="str">
        <f t="shared" si="1"/>
        <v/>
      </c>
      <c r="C38" s="9"/>
      <c r="D38" s="8"/>
      <c r="E38" s="19"/>
      <c r="F38" s="19"/>
      <c r="G38" s="19"/>
      <c r="H38" s="19"/>
      <c r="I38" s="19"/>
      <c r="J38" s="19"/>
      <c r="K38" s="19"/>
      <c r="L38" s="19"/>
      <c r="M38" s="28"/>
      <c r="N38" s="28"/>
      <c r="O38" s="14"/>
      <c r="P38" s="28" t="str">
        <f t="shared" si="0"/>
        <v/>
      </c>
      <c r="Q38" s="28"/>
    </row>
    <row r="39" spans="1:17" ht="14.45" customHeight="1" x14ac:dyDescent="0.15">
      <c r="A39" s="10"/>
      <c r="B39" t="str">
        <f t="shared" si="1"/>
        <v/>
      </c>
      <c r="C39" s="9"/>
      <c r="D39" s="8"/>
      <c r="E39" s="19"/>
      <c r="F39" s="19"/>
      <c r="G39" s="19"/>
      <c r="H39" s="19"/>
      <c r="I39" s="19"/>
      <c r="J39" s="19"/>
      <c r="K39" s="19"/>
      <c r="L39" s="19"/>
      <c r="M39" s="28"/>
      <c r="N39" s="28"/>
      <c r="O39" s="14"/>
      <c r="P39" s="28" t="str">
        <f t="shared" si="0"/>
        <v/>
      </c>
      <c r="Q39" s="28"/>
    </row>
    <row r="40" spans="1:17" ht="14.45" customHeight="1" x14ac:dyDescent="0.15">
      <c r="A40" s="10"/>
      <c r="B40" t="str">
        <f t="shared" si="1"/>
        <v/>
      </c>
      <c r="C40" s="9"/>
      <c r="D40" s="8"/>
      <c r="E40" s="19"/>
      <c r="F40" s="19"/>
      <c r="G40" s="19"/>
      <c r="H40" s="19"/>
      <c r="I40" s="19"/>
      <c r="J40" s="19"/>
      <c r="K40" s="19"/>
      <c r="L40" s="19"/>
      <c r="M40" s="28"/>
      <c r="N40" s="28"/>
      <c r="O40" s="14"/>
      <c r="P40" s="28" t="str">
        <f t="shared" si="0"/>
        <v/>
      </c>
      <c r="Q40" s="28"/>
    </row>
    <row r="41" spans="1:17" ht="14.45" customHeight="1" x14ac:dyDescent="0.15">
      <c r="A41" s="10"/>
      <c r="B41" t="str">
        <f t="shared" si="1"/>
        <v/>
      </c>
      <c r="C41" s="9"/>
      <c r="D41" s="8"/>
      <c r="E41" s="19"/>
      <c r="F41" s="19"/>
      <c r="G41" s="19"/>
      <c r="H41" s="19"/>
      <c r="I41" s="19"/>
      <c r="J41" s="19"/>
      <c r="K41" s="19"/>
      <c r="L41" s="19"/>
      <c r="M41" s="28"/>
      <c r="N41" s="28"/>
      <c r="O41" s="14"/>
      <c r="P41" s="28" t="str">
        <f t="shared" si="0"/>
        <v/>
      </c>
      <c r="Q41" s="28"/>
    </row>
    <row r="42" spans="1:17" ht="14.45" customHeight="1" x14ac:dyDescent="0.15">
      <c r="A42" s="10"/>
      <c r="B42" t="str">
        <f t="shared" si="1"/>
        <v/>
      </c>
      <c r="C42" s="9"/>
      <c r="D42" s="8"/>
      <c r="E42" s="19"/>
      <c r="F42" s="19"/>
      <c r="G42" s="19"/>
      <c r="H42" s="19"/>
      <c r="I42" s="19"/>
      <c r="J42" s="19"/>
      <c r="K42" s="19"/>
      <c r="L42" s="19"/>
      <c r="M42" s="28"/>
      <c r="N42" s="28"/>
      <c r="O42" s="14"/>
      <c r="P42" s="28" t="str">
        <f t="shared" si="0"/>
        <v/>
      </c>
      <c r="Q42" s="28"/>
    </row>
    <row r="43" spans="1:17" ht="14.45" customHeight="1" x14ac:dyDescent="0.15">
      <c r="A43" s="10"/>
      <c r="B43" t="str">
        <f t="shared" si="1"/>
        <v/>
      </c>
      <c r="C43" s="9"/>
      <c r="D43" s="8"/>
      <c r="E43" s="19"/>
      <c r="F43" s="19"/>
      <c r="G43" s="19"/>
      <c r="H43" s="19"/>
      <c r="I43" s="19"/>
      <c r="J43" s="19"/>
      <c r="K43" s="19"/>
      <c r="L43" s="19"/>
      <c r="M43" s="28"/>
      <c r="N43" s="28"/>
      <c r="O43" s="14"/>
      <c r="P43" s="28" t="str">
        <f t="shared" si="0"/>
        <v/>
      </c>
      <c r="Q43" s="28"/>
    </row>
    <row r="44" spans="1:17" ht="14.45" customHeight="1" x14ac:dyDescent="0.15">
      <c r="A44" s="10"/>
      <c r="B44" t="str">
        <f t="shared" si="1"/>
        <v/>
      </c>
      <c r="C44" s="9"/>
      <c r="D44" s="8"/>
      <c r="E44" s="19"/>
      <c r="F44" s="19"/>
      <c r="G44" s="19"/>
      <c r="H44" s="19"/>
      <c r="I44" s="19"/>
      <c r="J44" s="19"/>
      <c r="K44" s="19"/>
      <c r="L44" s="19"/>
      <c r="M44" s="28"/>
      <c r="N44" s="28"/>
      <c r="O44" s="14"/>
      <c r="P44" s="28" t="str">
        <f t="shared" si="0"/>
        <v/>
      </c>
      <c r="Q44" s="28"/>
    </row>
    <row r="45" spans="1:17" ht="14.45" customHeight="1" x14ac:dyDescent="0.15">
      <c r="A45" s="10"/>
      <c r="B45" t="str">
        <f t="shared" si="1"/>
        <v/>
      </c>
      <c r="C45" s="9"/>
      <c r="D45" s="8"/>
      <c r="E45" s="19"/>
      <c r="F45" s="19"/>
      <c r="G45" s="19"/>
      <c r="H45" s="19"/>
      <c r="I45" s="19"/>
      <c r="J45" s="19"/>
      <c r="K45" s="19"/>
      <c r="L45" s="19"/>
      <c r="M45" s="28"/>
      <c r="N45" s="28"/>
      <c r="O45" s="14"/>
      <c r="P45" s="28" t="str">
        <f t="shared" si="0"/>
        <v/>
      </c>
      <c r="Q45" s="28"/>
    </row>
    <row r="46" spans="1:17" ht="14.45" customHeight="1" x14ac:dyDescent="0.15">
      <c r="A46" s="10"/>
      <c r="B46" t="str">
        <f t="shared" si="1"/>
        <v/>
      </c>
      <c r="C46" s="9"/>
      <c r="D46" s="8"/>
      <c r="E46" s="19"/>
      <c r="F46" s="19"/>
      <c r="G46" s="19"/>
      <c r="H46" s="19"/>
      <c r="I46" s="19"/>
      <c r="J46" s="19"/>
      <c r="K46" s="19"/>
      <c r="L46" s="19"/>
      <c r="M46" s="28"/>
      <c r="N46" s="28"/>
      <c r="O46" s="14"/>
      <c r="P46" s="28" t="str">
        <f t="shared" si="0"/>
        <v/>
      </c>
      <c r="Q46" s="28"/>
    </row>
    <row r="47" spans="1:17" ht="14.45" customHeight="1" x14ac:dyDescent="0.15">
      <c r="A47" s="10"/>
      <c r="B47" t="str">
        <f t="shared" si="1"/>
        <v/>
      </c>
      <c r="C47" s="9"/>
      <c r="D47" s="8"/>
      <c r="E47" s="19"/>
      <c r="F47" s="19"/>
      <c r="G47" s="19"/>
      <c r="H47" s="19"/>
      <c r="I47" s="19"/>
      <c r="J47" s="19"/>
      <c r="K47" s="19"/>
      <c r="L47" s="19"/>
      <c r="M47" s="28"/>
      <c r="N47" s="28"/>
      <c r="O47" s="14"/>
      <c r="P47" s="28" t="str">
        <f t="shared" si="0"/>
        <v/>
      </c>
      <c r="Q47" s="28"/>
    </row>
    <row r="48" spans="1:17" ht="14.45" customHeight="1" x14ac:dyDescent="0.15">
      <c r="A48" s="10"/>
      <c r="B48" t="str">
        <f t="shared" si="1"/>
        <v/>
      </c>
      <c r="C48" s="9"/>
      <c r="D48" s="8"/>
      <c r="E48" s="19"/>
      <c r="F48" s="19"/>
      <c r="G48" s="19"/>
      <c r="H48" s="19"/>
      <c r="I48" s="19"/>
      <c r="J48" s="19"/>
      <c r="K48" s="19"/>
      <c r="L48" s="19"/>
      <c r="M48" s="28"/>
      <c r="N48" s="28"/>
      <c r="O48" s="14"/>
      <c r="P48" s="28" t="str">
        <f t="shared" si="0"/>
        <v/>
      </c>
      <c r="Q48" s="28"/>
    </row>
    <row r="49" spans="1:17" ht="14.45" customHeight="1" x14ac:dyDescent="0.15">
      <c r="A49" s="10"/>
      <c r="B49" t="str">
        <f t="shared" si="1"/>
        <v/>
      </c>
      <c r="C49" s="9"/>
      <c r="D49" s="8"/>
      <c r="E49" s="19"/>
      <c r="F49" s="19"/>
      <c r="G49" s="19"/>
      <c r="H49" s="19"/>
      <c r="I49" s="19"/>
      <c r="J49" s="19"/>
      <c r="K49" s="19"/>
      <c r="L49" s="19"/>
      <c r="M49" s="28"/>
      <c r="N49" s="28"/>
      <c r="O49" s="14"/>
      <c r="P49" s="28" t="str">
        <f t="shared" si="0"/>
        <v/>
      </c>
      <c r="Q49" s="28"/>
    </row>
    <row r="50" spans="1:17" ht="14.45" customHeight="1" x14ac:dyDescent="0.15">
      <c r="A50" s="10"/>
      <c r="B50" t="str">
        <f t="shared" si="1"/>
        <v/>
      </c>
      <c r="C50" s="9"/>
      <c r="D50" s="8"/>
      <c r="E50" s="19"/>
      <c r="F50" s="19"/>
      <c r="G50" s="19"/>
      <c r="H50" s="19"/>
      <c r="I50" s="19"/>
      <c r="J50" s="19"/>
      <c r="K50" s="19"/>
      <c r="L50" s="19"/>
      <c r="M50" s="28"/>
      <c r="N50" s="28"/>
      <c r="O50" s="14"/>
      <c r="P50" s="28" t="str">
        <f t="shared" si="0"/>
        <v/>
      </c>
      <c r="Q50" s="28"/>
    </row>
    <row r="51" spans="1:17" ht="14.45" customHeight="1" x14ac:dyDescent="0.15">
      <c r="A51" s="10"/>
      <c r="B51" t="str">
        <f t="shared" si="1"/>
        <v/>
      </c>
      <c r="C51" s="9"/>
      <c r="D51" s="8"/>
      <c r="E51" s="19"/>
      <c r="F51" s="19"/>
      <c r="G51" s="19"/>
      <c r="H51" s="19"/>
      <c r="I51" s="19"/>
      <c r="J51" s="19"/>
      <c r="K51" s="19"/>
      <c r="L51" s="19"/>
      <c r="M51" s="28"/>
      <c r="N51" s="28"/>
      <c r="O51" s="14"/>
      <c r="P51" s="28" t="str">
        <f t="shared" si="0"/>
        <v/>
      </c>
      <c r="Q51" s="28"/>
    </row>
    <row r="52" spans="1:17" ht="14.45" customHeight="1" x14ac:dyDescent="0.15">
      <c r="A52" s="10"/>
      <c r="B52" t="str">
        <f t="shared" si="1"/>
        <v/>
      </c>
      <c r="C52" s="9"/>
      <c r="D52" s="8"/>
      <c r="E52" s="19"/>
      <c r="F52" s="19"/>
      <c r="G52" s="19"/>
      <c r="H52" s="19"/>
      <c r="I52" s="19"/>
      <c r="J52" s="19"/>
      <c r="K52" s="19"/>
      <c r="L52" s="19"/>
      <c r="M52" s="28"/>
      <c r="N52" s="28"/>
      <c r="O52" s="14"/>
      <c r="P52" s="28" t="str">
        <f t="shared" si="0"/>
        <v/>
      </c>
      <c r="Q52" s="28"/>
    </row>
    <row r="53" spans="1:17" ht="14.45" customHeight="1" x14ac:dyDescent="0.15">
      <c r="A53" s="10"/>
      <c r="B53" t="str">
        <f t="shared" si="1"/>
        <v/>
      </c>
      <c r="C53" s="9"/>
      <c r="D53" s="8"/>
      <c r="E53" s="19"/>
      <c r="F53" s="19"/>
      <c r="G53" s="19"/>
      <c r="H53" s="19"/>
      <c r="I53" s="19"/>
      <c r="J53" s="19"/>
      <c r="K53" s="19"/>
      <c r="L53" s="19"/>
      <c r="M53" s="28"/>
      <c r="N53" s="28"/>
      <c r="O53" s="14"/>
      <c r="P53" s="28" t="str">
        <f t="shared" si="0"/>
        <v/>
      </c>
      <c r="Q53" s="28"/>
    </row>
    <row r="54" spans="1:17" ht="14.45" customHeight="1" x14ac:dyDescent="0.15">
      <c r="A54" s="10"/>
      <c r="B54" t="str">
        <f t="shared" si="1"/>
        <v/>
      </c>
      <c r="C54" s="9"/>
      <c r="D54" s="8"/>
      <c r="E54" s="19"/>
      <c r="F54" s="19"/>
      <c r="G54" s="19"/>
      <c r="H54" s="19"/>
      <c r="I54" s="19"/>
      <c r="J54" s="19"/>
      <c r="K54" s="19"/>
      <c r="L54" s="19"/>
      <c r="M54" s="28"/>
      <c r="N54" s="28"/>
      <c r="O54" s="14"/>
      <c r="P54" s="28" t="str">
        <f t="shared" si="0"/>
        <v/>
      </c>
      <c r="Q54" s="28"/>
    </row>
    <row r="55" spans="1:17" ht="14.45" customHeight="1" x14ac:dyDescent="0.15">
      <c r="A55" s="10"/>
      <c r="B55" t="str">
        <f t="shared" si="1"/>
        <v/>
      </c>
      <c r="C55" s="9"/>
      <c r="D55" s="8"/>
      <c r="E55" s="19"/>
      <c r="F55" s="19"/>
      <c r="G55" s="19"/>
      <c r="H55" s="19"/>
      <c r="I55" s="19"/>
      <c r="J55" s="19"/>
      <c r="K55" s="19"/>
      <c r="L55" s="19"/>
      <c r="M55" s="28"/>
      <c r="N55" s="28"/>
      <c r="O55" s="14"/>
      <c r="P55" s="28" t="str">
        <f t="shared" si="0"/>
        <v/>
      </c>
      <c r="Q55" s="28"/>
    </row>
    <row r="56" spans="1:17" ht="14.45" customHeight="1" x14ac:dyDescent="0.15">
      <c r="A56" s="10"/>
      <c r="B56" t="str">
        <f t="shared" si="1"/>
        <v/>
      </c>
      <c r="C56" s="9"/>
      <c r="D56" s="8"/>
      <c r="E56" s="19"/>
      <c r="F56" s="19"/>
      <c r="G56" s="19"/>
      <c r="H56" s="19"/>
      <c r="I56" s="19"/>
      <c r="J56" s="19"/>
      <c r="K56" s="19"/>
      <c r="L56" s="19"/>
      <c r="M56" s="28"/>
      <c r="N56" s="28"/>
      <c r="O56" s="14"/>
      <c r="P56" s="28" t="str">
        <f t="shared" si="0"/>
        <v/>
      </c>
      <c r="Q56" s="28"/>
    </row>
    <row r="57" spans="1:17" ht="14.45" customHeight="1" x14ac:dyDescent="0.15">
      <c r="A57" s="10"/>
      <c r="B57" t="str">
        <f t="shared" si="1"/>
        <v/>
      </c>
      <c r="C57" s="9"/>
      <c r="D57" s="8"/>
      <c r="E57" s="19"/>
      <c r="F57" s="19"/>
      <c r="G57" s="19"/>
      <c r="H57" s="19"/>
      <c r="I57" s="19"/>
      <c r="J57" s="19"/>
      <c r="K57" s="19"/>
      <c r="L57" s="19"/>
      <c r="M57" s="28"/>
      <c r="N57" s="28"/>
      <c r="O57" s="14"/>
      <c r="P57" s="28" t="str">
        <f t="shared" si="0"/>
        <v/>
      </c>
      <c r="Q57" s="28"/>
    </row>
    <row r="58" spans="1:17" ht="14.45" customHeight="1" x14ac:dyDescent="0.15">
      <c r="A58" s="10"/>
      <c r="B58" t="str">
        <f t="shared" si="1"/>
        <v/>
      </c>
      <c r="C58" s="9"/>
      <c r="D58" s="8"/>
      <c r="E58" s="19"/>
      <c r="F58" s="19"/>
      <c r="G58" s="19"/>
      <c r="H58" s="19"/>
      <c r="I58" s="19"/>
      <c r="J58" s="19"/>
      <c r="K58" s="19"/>
      <c r="L58" s="19"/>
      <c r="M58" s="28"/>
      <c r="N58" s="28"/>
      <c r="O58" s="14"/>
      <c r="P58" s="28" t="str">
        <f t="shared" si="0"/>
        <v/>
      </c>
      <c r="Q58" s="28"/>
    </row>
    <row r="59" spans="1:17" ht="14.45" customHeight="1" x14ac:dyDescent="0.15">
      <c r="A59" s="10"/>
      <c r="B59" t="str">
        <f t="shared" si="1"/>
        <v/>
      </c>
      <c r="C59" s="9"/>
      <c r="D59" s="8"/>
      <c r="E59" s="19"/>
      <c r="F59" s="19"/>
      <c r="G59" s="19"/>
      <c r="H59" s="19"/>
      <c r="I59" s="19"/>
      <c r="J59" s="19"/>
      <c r="K59" s="19"/>
      <c r="L59" s="19"/>
      <c r="M59" s="28"/>
      <c r="N59" s="28"/>
      <c r="O59" s="14"/>
      <c r="P59" s="28" t="str">
        <f t="shared" si="0"/>
        <v/>
      </c>
      <c r="Q59" s="28"/>
    </row>
    <row r="60" spans="1:17" ht="14.45" customHeight="1" x14ac:dyDescent="0.15">
      <c r="A60" s="10"/>
      <c r="B60" t="str">
        <f t="shared" si="1"/>
        <v/>
      </c>
      <c r="C60" s="9"/>
      <c r="D60" s="8"/>
      <c r="E60" s="19"/>
      <c r="F60" s="19"/>
      <c r="G60" s="19"/>
      <c r="H60" s="19"/>
      <c r="I60" s="19"/>
      <c r="J60" s="19"/>
      <c r="K60" s="19"/>
      <c r="L60" s="19"/>
      <c r="M60" s="28"/>
      <c r="N60" s="28"/>
      <c r="O60" s="14"/>
      <c r="P60" s="28" t="str">
        <f t="shared" si="0"/>
        <v/>
      </c>
      <c r="Q60" s="28"/>
    </row>
    <row r="61" spans="1:17" ht="14.45" customHeight="1" x14ac:dyDescent="0.15">
      <c r="A61" s="10"/>
      <c r="B61" t="str">
        <f t="shared" si="1"/>
        <v/>
      </c>
      <c r="C61" s="9"/>
      <c r="D61" s="8"/>
      <c r="E61" s="19"/>
      <c r="F61" s="19"/>
      <c r="G61" s="19"/>
      <c r="H61" s="19"/>
      <c r="I61" s="19"/>
      <c r="J61" s="19"/>
      <c r="K61" s="19"/>
      <c r="L61" s="19"/>
      <c r="M61" s="28"/>
      <c r="N61" s="28"/>
      <c r="O61" s="14"/>
      <c r="P61" s="28" t="str">
        <f t="shared" si="0"/>
        <v/>
      </c>
      <c r="Q61" s="28"/>
    </row>
    <row r="62" spans="1:17" ht="14.45" customHeight="1" x14ac:dyDescent="0.15">
      <c r="A62" s="10"/>
      <c r="B62" t="str">
        <f t="shared" si="1"/>
        <v/>
      </c>
      <c r="C62" s="9"/>
      <c r="D62" s="8"/>
      <c r="E62" s="19"/>
      <c r="F62" s="19"/>
      <c r="G62" s="19"/>
      <c r="H62" s="19"/>
      <c r="I62" s="19"/>
      <c r="J62" s="19"/>
      <c r="K62" s="19"/>
      <c r="L62" s="19"/>
      <c r="M62" s="28"/>
      <c r="N62" s="28"/>
      <c r="O62" s="14"/>
      <c r="P62" s="28" t="str">
        <f t="shared" si="0"/>
        <v/>
      </c>
      <c r="Q62" s="28"/>
    </row>
    <row r="63" spans="1:17" ht="14.45" customHeight="1" x14ac:dyDescent="0.15">
      <c r="A63" s="10"/>
      <c r="B63" t="str">
        <f t="shared" si="1"/>
        <v/>
      </c>
      <c r="C63" s="9"/>
      <c r="D63" s="8"/>
      <c r="E63" s="19"/>
      <c r="F63" s="19"/>
      <c r="G63" s="19"/>
      <c r="H63" s="19"/>
      <c r="I63" s="19"/>
      <c r="J63" s="19"/>
      <c r="K63" s="19"/>
      <c r="L63" s="19"/>
      <c r="M63" s="28"/>
      <c r="N63" s="28"/>
      <c r="O63" s="14"/>
      <c r="P63" s="28" t="str">
        <f t="shared" si="0"/>
        <v/>
      </c>
      <c r="Q63" s="28"/>
    </row>
    <row r="64" spans="1:17" ht="14.45" customHeight="1" x14ac:dyDescent="0.15">
      <c r="A64" s="10"/>
      <c r="B64" t="str">
        <f t="shared" si="1"/>
        <v/>
      </c>
      <c r="C64" s="9"/>
      <c r="D64" s="8"/>
      <c r="E64" s="19"/>
      <c r="F64" s="19"/>
      <c r="G64" s="19"/>
      <c r="H64" s="19"/>
      <c r="I64" s="19"/>
      <c r="J64" s="19"/>
      <c r="K64" s="19"/>
      <c r="L64" s="19"/>
      <c r="M64" s="28"/>
      <c r="N64" s="28"/>
      <c r="O64" s="14"/>
      <c r="P64" s="28" t="str">
        <f t="shared" si="0"/>
        <v/>
      </c>
      <c r="Q64" s="28"/>
    </row>
    <row r="65" spans="4:12" ht="14.45" customHeight="1" x14ac:dyDescent="0.15">
      <c r="D65" s="7"/>
      <c r="I65" s="6"/>
    </row>
    <row r="66" spans="4:12" x14ac:dyDescent="0.15">
      <c r="D66" s="7"/>
      <c r="G66" s="36" t="s">
        <v>228</v>
      </c>
      <c r="H66" s="36"/>
      <c r="I66" s="36"/>
      <c r="J66" s="28" t="s">
        <v>226</v>
      </c>
      <c r="K66" s="28"/>
      <c r="L66" s="28"/>
    </row>
  </sheetData>
  <mergeCells count="239">
    <mergeCell ref="P59:Q59"/>
    <mergeCell ref="P60:Q60"/>
    <mergeCell ref="P61:Q61"/>
    <mergeCell ref="P62:Q62"/>
    <mergeCell ref="P63:Q63"/>
    <mergeCell ref="P64:Q64"/>
    <mergeCell ref="P11:Q11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51:Q51"/>
    <mergeCell ref="P52:Q52"/>
    <mergeCell ref="P53:Q53"/>
    <mergeCell ref="P47:Q47"/>
    <mergeCell ref="P48:Q48"/>
    <mergeCell ref="P49:Q49"/>
    <mergeCell ref="P50:Q50"/>
    <mergeCell ref="P43:Q43"/>
    <mergeCell ref="B1:I2"/>
    <mergeCell ref="M64:N64"/>
    <mergeCell ref="G66:I66"/>
    <mergeCell ref="J66:L66"/>
    <mergeCell ref="E63:J63"/>
    <mergeCell ref="K63:L63"/>
    <mergeCell ref="M63:N63"/>
    <mergeCell ref="B3:D3"/>
    <mergeCell ref="B4:D4"/>
    <mergeCell ref="B7:D7"/>
    <mergeCell ref="B8:D8"/>
    <mergeCell ref="B9:D9"/>
    <mergeCell ref="B5:D6"/>
    <mergeCell ref="B11:D11"/>
    <mergeCell ref="E64:J64"/>
    <mergeCell ref="K64:L64"/>
    <mergeCell ref="E61:J61"/>
    <mergeCell ref="K61:L61"/>
    <mergeCell ref="E56:J56"/>
    <mergeCell ref="K56:L56"/>
    <mergeCell ref="M58:N58"/>
    <mergeCell ref="M61:N61"/>
    <mergeCell ref="E62:J62"/>
    <mergeCell ref="K62:L62"/>
    <mergeCell ref="M62:N62"/>
    <mergeCell ref="E59:J59"/>
    <mergeCell ref="K59:L59"/>
    <mergeCell ref="M59:N59"/>
    <mergeCell ref="E60:J60"/>
    <mergeCell ref="K60:L60"/>
    <mergeCell ref="M60:N60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E58:J58"/>
    <mergeCell ref="K58:L58"/>
    <mergeCell ref="E54:J54"/>
    <mergeCell ref="K54:L54"/>
    <mergeCell ref="M54:N54"/>
    <mergeCell ref="E55:J55"/>
    <mergeCell ref="K55:L55"/>
    <mergeCell ref="M55:N55"/>
    <mergeCell ref="M56:N56"/>
    <mergeCell ref="E57:J57"/>
    <mergeCell ref="K57:L57"/>
    <mergeCell ref="M57:N57"/>
    <mergeCell ref="P54:Q54"/>
    <mergeCell ref="P55:Q55"/>
    <mergeCell ref="P56:Q56"/>
    <mergeCell ref="P57:Q57"/>
    <mergeCell ref="P58:Q58"/>
    <mergeCell ref="E53:J53"/>
    <mergeCell ref="K53:L53"/>
    <mergeCell ref="M53:N53"/>
    <mergeCell ref="E51:J51"/>
    <mergeCell ref="K51:L51"/>
    <mergeCell ref="M51:N51"/>
    <mergeCell ref="E52:J52"/>
    <mergeCell ref="K52:L52"/>
    <mergeCell ref="M52:N52"/>
    <mergeCell ref="K43:L43"/>
    <mergeCell ref="M43:N43"/>
    <mergeCell ref="E44:J44"/>
    <mergeCell ref="K44:L44"/>
    <mergeCell ref="M44:N44"/>
    <mergeCell ref="E45:J45"/>
    <mergeCell ref="K45:L45"/>
    <mergeCell ref="M49:N49"/>
    <mergeCell ref="E50:J50"/>
    <mergeCell ref="K50:L50"/>
    <mergeCell ref="M50:N50"/>
    <mergeCell ref="E47:J47"/>
    <mergeCell ref="K47:L47"/>
    <mergeCell ref="M47:N47"/>
    <mergeCell ref="E48:J48"/>
    <mergeCell ref="K48:L48"/>
    <mergeCell ref="M48:N48"/>
    <mergeCell ref="K49:L49"/>
    <mergeCell ref="E49:J49"/>
    <mergeCell ref="P44:Q44"/>
    <mergeCell ref="P45:Q45"/>
    <mergeCell ref="P46:Q46"/>
    <mergeCell ref="M41:N41"/>
    <mergeCell ref="E42:J42"/>
    <mergeCell ref="K42:L42"/>
    <mergeCell ref="M42:N42"/>
    <mergeCell ref="E39:J39"/>
    <mergeCell ref="K39:L39"/>
    <mergeCell ref="M39:N39"/>
    <mergeCell ref="E40:J40"/>
    <mergeCell ref="K40:L40"/>
    <mergeCell ref="M40:N40"/>
    <mergeCell ref="E41:J41"/>
    <mergeCell ref="K41:L41"/>
    <mergeCell ref="P39:Q39"/>
    <mergeCell ref="P40:Q40"/>
    <mergeCell ref="P41:Q41"/>
    <mergeCell ref="P42:Q42"/>
    <mergeCell ref="M45:N45"/>
    <mergeCell ref="E46:J46"/>
    <mergeCell ref="K46:L46"/>
    <mergeCell ref="M46:N46"/>
    <mergeCell ref="E43:J43"/>
    <mergeCell ref="K37:L37"/>
    <mergeCell ref="M37:N37"/>
    <mergeCell ref="E38:J38"/>
    <mergeCell ref="K38:L38"/>
    <mergeCell ref="M38:N38"/>
    <mergeCell ref="E35:J35"/>
    <mergeCell ref="K35:L35"/>
    <mergeCell ref="M35:N35"/>
    <mergeCell ref="E36:J36"/>
    <mergeCell ref="K36:L36"/>
    <mergeCell ref="M36:N36"/>
    <mergeCell ref="E37:J37"/>
    <mergeCell ref="E33:J33"/>
    <mergeCell ref="K33:L33"/>
    <mergeCell ref="M33:N33"/>
    <mergeCell ref="E34:J34"/>
    <mergeCell ref="K34:L34"/>
    <mergeCell ref="M34:N34"/>
    <mergeCell ref="E31:J31"/>
    <mergeCell ref="K31:L31"/>
    <mergeCell ref="M31:N31"/>
    <mergeCell ref="E32:J32"/>
    <mergeCell ref="K32:L32"/>
    <mergeCell ref="M32:N32"/>
    <mergeCell ref="E29:J29"/>
    <mergeCell ref="K29:L29"/>
    <mergeCell ref="M29:N29"/>
    <mergeCell ref="E30:J30"/>
    <mergeCell ref="K30:L30"/>
    <mergeCell ref="M30:N30"/>
    <mergeCell ref="K26:L26"/>
    <mergeCell ref="K27:L27"/>
    <mergeCell ref="K28:L28"/>
    <mergeCell ref="E28:J28"/>
    <mergeCell ref="M28:N28"/>
    <mergeCell ref="E26:J26"/>
    <mergeCell ref="E27:J27"/>
    <mergeCell ref="M26:N26"/>
    <mergeCell ref="M27:N27"/>
    <mergeCell ref="P26:Q26"/>
    <mergeCell ref="P27:Q27"/>
    <mergeCell ref="P28:Q28"/>
    <mergeCell ref="P29:Q29"/>
    <mergeCell ref="M23:N23"/>
    <mergeCell ref="M24:N24"/>
    <mergeCell ref="M25:N25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P21:Q21"/>
    <mergeCell ref="P22:Q22"/>
    <mergeCell ref="P23:Q23"/>
    <mergeCell ref="P24:Q24"/>
    <mergeCell ref="P25:Q25"/>
    <mergeCell ref="M20:N20"/>
    <mergeCell ref="M21:N21"/>
    <mergeCell ref="M22:N22"/>
    <mergeCell ref="M18:N18"/>
    <mergeCell ref="M19:N19"/>
    <mergeCell ref="E18:J18"/>
    <mergeCell ref="E19:J19"/>
    <mergeCell ref="K20:L20"/>
    <mergeCell ref="K21:L21"/>
    <mergeCell ref="K22:L22"/>
    <mergeCell ref="K23:L23"/>
    <mergeCell ref="E23:J23"/>
    <mergeCell ref="K24:L24"/>
    <mergeCell ref="K25:L25"/>
    <mergeCell ref="E20:J20"/>
    <mergeCell ref="E21:J21"/>
    <mergeCell ref="E22:J22"/>
    <mergeCell ref="E24:J24"/>
    <mergeCell ref="E25:J25"/>
    <mergeCell ref="M3:Q3"/>
    <mergeCell ref="M4:Q4"/>
    <mergeCell ref="M5:Q5"/>
    <mergeCell ref="M6:Q6"/>
    <mergeCell ref="M8:Q8"/>
    <mergeCell ref="M13:N13"/>
    <mergeCell ref="M14:N14"/>
    <mergeCell ref="M15:N15"/>
    <mergeCell ref="M16:N16"/>
    <mergeCell ref="M9:Q9"/>
    <mergeCell ref="M11:N11"/>
    <mergeCell ref="M12:N12"/>
    <mergeCell ref="E11:J11"/>
    <mergeCell ref="E12:J12"/>
    <mergeCell ref="E13:J13"/>
    <mergeCell ref="E14:J14"/>
    <mergeCell ref="M17:N17"/>
    <mergeCell ref="N7:P7"/>
    <mergeCell ref="E15:J15"/>
    <mergeCell ref="E16:J16"/>
    <mergeCell ref="E17:J17"/>
    <mergeCell ref="E3:I3"/>
    <mergeCell ref="E4:I4"/>
    <mergeCell ref="E5:I6"/>
    <mergeCell ref="E7:I7"/>
    <mergeCell ref="E8:I8"/>
    <mergeCell ref="F9:I9"/>
  </mergeCells>
  <phoneticPr fontId="1"/>
  <conditionalFormatting sqref="B12:B65">
    <cfRule type="expression" dxfId="3" priority="5">
      <formula>IF(OR($D12&lt;&gt;"",$E12&lt;&gt;""),1,0)</formula>
    </cfRule>
  </conditionalFormatting>
  <conditionalFormatting sqref="C12:C64">
    <cfRule type="expression" dxfId="2" priority="4">
      <formula>IF(OR($D12&lt;&gt;"",$E12&lt;&gt;""),1,0)</formula>
    </cfRule>
  </conditionalFormatting>
  <conditionalFormatting sqref="D12:D64">
    <cfRule type="expression" dxfId="1" priority="3">
      <formula>IF(OR($D12&lt;&gt;"",$E12&lt;&gt;""),1,0)</formula>
    </cfRule>
  </conditionalFormatting>
  <conditionalFormatting sqref="E12:Q64">
    <cfRule type="expression" dxfId="0" priority="1">
      <formula>IF(OR($D12&lt;&gt;"",$E12&lt;&gt;""),1,0)</formula>
    </cfRule>
  </conditionalFormatting>
  <pageMargins left="0.70866141732283472" right="0.70866141732283472" top="0.31496062992125984" bottom="0.31496062992125984" header="0.31496062992125984" footer="0.31496062992125984"/>
  <pageSetup paperSize="9" scale="9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226A9E-5A03-4381-BEFC-A7E2BAD11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6AECC0-CA3E-4738-A91F-E435450C547D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0C624C5D-DFD6-4599-9DB6-7A544898D0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090204</dc:creator>
  <cp:lastModifiedBy>堀内 英史</cp:lastModifiedBy>
  <cp:lastPrinted>2025-04-15T00:29:40Z</cp:lastPrinted>
  <dcterms:created xsi:type="dcterms:W3CDTF">2011-09-13T02:17:11Z</dcterms:created>
  <dcterms:modified xsi:type="dcterms:W3CDTF">2026-06-09T04:19:53Z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